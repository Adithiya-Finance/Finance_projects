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hidePivotFieldList="1" defaultThemeVersion="202300"/>
  <mc:AlternateContent xmlns:mc="http://schemas.openxmlformats.org/markup-compatibility/2006">
    <mc:Choice Requires="x15">
      <x15ac:absPath xmlns:x15ac="http://schemas.microsoft.com/office/spreadsheetml/2010/11/ac" url="/Users/adithiya/"/>
    </mc:Choice>
  </mc:AlternateContent>
  <xr:revisionPtr revIDLastSave="0" documentId="8_{0C4774EB-6D1A-6940-84AD-68B4FE675528}" xr6:coauthVersionLast="47" xr6:coauthVersionMax="47" xr10:uidLastSave="{00000000-0000-0000-0000-000000000000}"/>
  <bookViews>
    <workbookView xWindow="760" yWindow="620" windowWidth="32440" windowHeight="19980" xr2:uid="{725BD4E8-D6D3-E74F-88B9-1C091B8756DA}"/>
  </bookViews>
  <sheets>
    <sheet name="AP Dashboard" sheetId="5" r:id="rId1"/>
    <sheet name="Ap Invoice " sheetId="1" r:id="rId2"/>
    <sheet name="Data analysis 1" sheetId="3" r:id="rId3"/>
    <sheet name="Data anaysis 2" sheetId="4" r:id="rId4"/>
  </sheets>
  <definedNames>
    <definedName name="Slicer_Department">#N/A</definedName>
    <definedName name="Slicer_Status">#N/A</definedName>
    <definedName name="Slicer_Vendo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5" l="1"/>
  <c r="K2" i="5"/>
  <c r="J2" i="5"/>
  <c r="I2" i="5"/>
  <c r="H2" i="5"/>
  <c r="G2" i="5"/>
  <c r="F2" i="5"/>
  <c r="E2" i="5"/>
  <c r="D2" i="5"/>
  <c r="C2" i="5"/>
  <c r="B2" i="5"/>
  <c r="A2" i="5"/>
  <c r="K2" i="1"/>
  <c r="K3" i="1"/>
  <c r="K4" i="1"/>
  <c r="K5" i="1"/>
  <c r="K6" i="1"/>
  <c r="K7" i="1"/>
  <c r="K8" i="1"/>
  <c r="K9" i="1"/>
  <c r="K10" i="1"/>
  <c r="K11" i="1"/>
  <c r="I3" i="1"/>
  <c r="J3" i="1" s="1"/>
  <c r="I4" i="1"/>
  <c r="J4" i="1" s="1"/>
  <c r="I5" i="1"/>
  <c r="J5" i="1" s="1"/>
  <c r="I6" i="1"/>
  <c r="J6" i="1" s="1"/>
  <c r="I7" i="1"/>
  <c r="J7" i="1" s="1"/>
  <c r="I8" i="1"/>
  <c r="J8" i="1" s="1"/>
  <c r="I9" i="1"/>
  <c r="J9" i="1" s="1"/>
  <c r="I10" i="1"/>
  <c r="J10" i="1" s="1"/>
  <c r="I11" i="1"/>
  <c r="J11" i="1" s="1"/>
  <c r="I2" i="1"/>
  <c r="J2" i="1" s="1"/>
</calcChain>
</file>

<file path=xl/sharedStrings.xml><?xml version="1.0" encoding="utf-8"?>
<sst xmlns="http://schemas.openxmlformats.org/spreadsheetml/2006/main" count="118" uniqueCount="62">
  <si>
    <t>INV001</t>
  </si>
  <si>
    <t>INV002</t>
  </si>
  <si>
    <t>INV003</t>
  </si>
  <si>
    <t>INV004</t>
  </si>
  <si>
    <t>INV005</t>
  </si>
  <si>
    <t>Status</t>
  </si>
  <si>
    <t>Paid</t>
  </si>
  <si>
    <t>Pending</t>
  </si>
  <si>
    <t>Vendor</t>
  </si>
  <si>
    <t>ABC Ltd</t>
  </si>
  <si>
    <t>XYZ Ltd</t>
  </si>
  <si>
    <t>PQR Ltd</t>
  </si>
  <si>
    <t>Grand Total</t>
  </si>
  <si>
    <t>Row Labels</t>
  </si>
  <si>
    <t>Invoice ID</t>
  </si>
  <si>
    <t>Invoice Date</t>
  </si>
  <si>
    <t>Department</t>
  </si>
  <si>
    <t>Invoice Amount</t>
  </si>
  <si>
    <t>Due Date</t>
  </si>
  <si>
    <t>Payment Date</t>
  </si>
  <si>
    <t>INV006</t>
  </si>
  <si>
    <t>INV007</t>
  </si>
  <si>
    <t>INV008</t>
  </si>
  <si>
    <t>INV009</t>
  </si>
  <si>
    <t>INV010</t>
  </si>
  <si>
    <t>Finance</t>
  </si>
  <si>
    <t>IT</t>
  </si>
  <si>
    <t>Operations</t>
  </si>
  <si>
    <t>HR</t>
  </si>
  <si>
    <t>Overdue</t>
  </si>
  <si>
    <t>LMN Ltd</t>
  </si>
  <si>
    <t xml:space="preserve">Invoice Age Staus </t>
  </si>
  <si>
    <t>Invoice age</t>
  </si>
  <si>
    <t>Payment Check</t>
  </si>
  <si>
    <t>Column Labels</t>
  </si>
  <si>
    <t>Sum of Invoice Amount</t>
  </si>
  <si>
    <t>Feb</t>
  </si>
  <si>
    <t>Mar</t>
  </si>
  <si>
    <t>Jan</t>
  </si>
  <si>
    <t>Apr</t>
  </si>
  <si>
    <t>3-Feb</t>
  </si>
  <si>
    <t>18-Mar</t>
  </si>
  <si>
    <t>5-Jan</t>
  </si>
  <si>
    <t>15-Feb</t>
  </si>
  <si>
    <t>20-Jan</t>
  </si>
  <si>
    <t>10-Mar</t>
  </si>
  <si>
    <t>15-Apr</t>
  </si>
  <si>
    <t>2-Apr</t>
  </si>
  <si>
    <t>12-Jan</t>
  </si>
  <si>
    <t>25-Feb</t>
  </si>
  <si>
    <t>Total Invoices</t>
  </si>
  <si>
    <t xml:space="preserve">Total invoice value </t>
  </si>
  <si>
    <t>Paid amount</t>
  </si>
  <si>
    <t>Pending amount</t>
  </si>
  <si>
    <t>Overdue amount</t>
  </si>
  <si>
    <t>Overdue invoices</t>
  </si>
  <si>
    <t>Pending invoices</t>
  </si>
  <si>
    <t>Paid invoice count</t>
  </si>
  <si>
    <t>Pending invoices %</t>
  </si>
  <si>
    <t>Overdue invoices %</t>
  </si>
  <si>
    <t>Unpaid amount</t>
  </si>
  <si>
    <t>Unpaid amount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</si>
</sst>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yy;@"/>
    <numFmt numFmtId="165" formatCode="_ [$₹-449]\ * #,##0.00_ ;_ [$₹-449]\ * \-#,##0.00_ ;_ [$₹-449]\ * &quot;-&quot;??_ ;_ @_ "/>
  </numFmts>
  <fonts count="7" x14ac:knownFonts="1">
    <font>
      <sz val="12"/>
      <color theme="1"/>
      <name val="Aptos Narrow"/>
      <family val="2"/>
      <scheme val="minor"/>
    </font>
    <font>
      <b/>
      <sz val="12"/>
      <color theme="1"/>
      <name val="Aptos Narrow"/>
      <family val="2"/>
      <scheme val="minor"/>
    </font>
    <font>
      <sz val="8"/>
      <name val="Aptos Narrow"/>
      <family val="2"/>
      <scheme val="minor"/>
    </font>
    <font>
      <sz val="10"/>
      <color theme="1"/>
      <name val="Arial Unicode MS"/>
      <family val="2"/>
    </font>
    <font>
      <b/>
      <sz val="12"/>
      <color theme="1"/>
      <name val="Aptos Narrow"/>
      <scheme val="minor"/>
    </font>
    <font>
      <sz val="12"/>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9" fontId="5" fillId="0" borderId="0" applyFont="0" applyFill="0" applyBorder="0" applyAlignment="0" applyProtection="0"/>
  </cellStyleXfs>
  <cellXfs count="22">
    <xf numFmtId="0" fontId="0" fillId="0" borderId="0" xfId="0"/>
    <xf numFmtId="0" fontId="0" fillId="2" borderId="0" xfId="0" applyFill="1"/>
    <xf numFmtId="0" fontId="0" fillId="0" borderId="0" xfId="0" pivotButton="1"/>
    <xf numFmtId="0" fontId="0" fillId="0" borderId="0" xfId="0" applyAlignment="1">
      <alignment horizontal="left"/>
    </xf>
    <xf numFmtId="0" fontId="0" fillId="2" borderId="0" xfId="0" applyFill="1" applyAlignment="1">
      <alignment horizontal="center"/>
    </xf>
    <xf numFmtId="15" fontId="3" fillId="2" borderId="0" xfId="0" applyNumberFormat="1" applyFont="1" applyFill="1" applyAlignment="1">
      <alignment horizontal="center"/>
    </xf>
    <xf numFmtId="0" fontId="4" fillId="0" borderId="0" xfId="0" applyFont="1" applyAlignment="1">
      <alignment horizontal="center"/>
    </xf>
    <xf numFmtId="0" fontId="1" fillId="0" borderId="0" xfId="0" applyFont="1" applyAlignment="1">
      <alignment horizontal="center"/>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0" fillId="0" borderId="0" xfId="0" applyNumberFormat="1"/>
    <xf numFmtId="0" fontId="4" fillId="2" borderId="1" xfId="0" applyFont="1" applyFill="1" applyBorder="1" applyAlignment="1">
      <alignment horizontal="center" vertical="center"/>
    </xf>
    <xf numFmtId="2" fontId="0" fillId="2" borderId="2" xfId="0" applyNumberFormat="1" applyFill="1" applyBorder="1" applyAlignment="1">
      <alignment horizontal="center" vertical="center"/>
    </xf>
    <xf numFmtId="165" fontId="0" fillId="2" borderId="2" xfId="0" applyNumberFormat="1" applyFill="1" applyBorder="1" applyAlignment="1">
      <alignment horizontal="center" vertical="center"/>
    </xf>
    <xf numFmtId="9" fontId="0" fillId="2" borderId="2" xfId="1" applyFont="1" applyFill="1" applyBorder="1" applyAlignment="1">
      <alignment horizontal="center"/>
    </xf>
    <xf numFmtId="165" fontId="0" fillId="2" borderId="2" xfId="0" applyNumberFormat="1" applyFill="1" applyBorder="1" applyAlignment="1">
      <alignment horizontal="center"/>
    </xf>
    <xf numFmtId="2" fontId="0" fillId="2" borderId="2" xfId="0" applyNumberFormat="1" applyFill="1" applyBorder="1" applyAlignment="1">
      <alignment horizontal="center"/>
    </xf>
    <xf numFmtId="0" fontId="6" fillId="0" borderId="0" xfId="0" applyFont="1" applyAlignment="1">
      <alignment horizontal="center"/>
    </xf>
    <xf numFmtId="15" fontId="6" fillId="0" borderId="0" xfId="0" applyNumberFormat="1" applyFont="1" applyAlignment="1">
      <alignment horizontal="center"/>
    </xf>
    <xf numFmtId="1" fontId="6" fillId="0" borderId="0" xfId="0" applyNumberFormat="1" applyFont="1" applyAlignment="1">
      <alignment horizontal="center"/>
    </xf>
  </cellXfs>
  <cellStyles count="2">
    <cellStyle name="Normal" xfId="0" builtinId="0"/>
    <cellStyle name="Percent" xfId="1" builtinId="5"/>
  </cellStyles>
  <dxfs count="13">
    <dxf>
      <font>
        <strike val="0"/>
        <outline val="0"/>
        <shadow val="0"/>
        <u val="none"/>
        <vertAlign val="baseline"/>
        <sz val="11"/>
        <color theme="1"/>
        <name val="Aptos Narrow"/>
        <family val="2"/>
        <scheme val="minor"/>
      </font>
      <alignment horizontal="center" vertical="bottom" textRotation="0" wrapText="0" indent="0" justifyLastLine="0" shrinkToFit="0" readingOrder="0"/>
    </dxf>
    <dxf>
      <font>
        <strike val="0"/>
        <outline val="0"/>
        <shadow val="0"/>
        <u val="none"/>
        <vertAlign val="baseline"/>
        <sz val="11"/>
        <color theme="1"/>
        <name val="Aptos Narrow"/>
        <family val="2"/>
        <scheme val="minor"/>
      </font>
      <numFmt numFmtId="20" formatCode="d\-mmm\-yy"/>
      <alignment horizontal="center" vertical="bottom" textRotation="0" wrapText="0" indent="0" justifyLastLine="0" shrinkToFit="0" readingOrder="0"/>
    </dxf>
    <dxf>
      <font>
        <strike val="0"/>
        <outline val="0"/>
        <shadow val="0"/>
        <u val="none"/>
        <vertAlign val="baseline"/>
        <sz val="11"/>
        <color theme="1"/>
        <name val="Aptos Narrow"/>
        <family val="2"/>
        <scheme val="minor"/>
      </font>
      <numFmt numFmtId="20" formatCode="d\-mmm\-yy"/>
      <alignment horizontal="center" vertical="bottom" textRotation="0" wrapText="0" indent="0" justifyLastLine="0" shrinkToFit="0" readingOrder="0"/>
    </dxf>
    <dxf>
      <font>
        <strike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strike val="0"/>
        <outline val="0"/>
        <shadow val="0"/>
        <u val="none"/>
        <vertAlign val="baseline"/>
        <sz val="11"/>
        <color theme="1"/>
        <name val="Aptos Narrow"/>
        <family val="2"/>
        <scheme val="minor"/>
      </font>
      <alignment horizontal="center" vertical="bottom" textRotation="0" wrapText="0" indent="0" justifyLastLine="0" shrinkToFit="0" readingOrder="0"/>
    </dxf>
    <dxf>
      <font>
        <strike val="0"/>
        <outline val="0"/>
        <shadow val="0"/>
        <u val="none"/>
        <vertAlign val="baseline"/>
        <sz val="11"/>
        <color theme="1"/>
        <name val="Aptos Narrow"/>
        <family val="2"/>
        <scheme val="minor"/>
      </font>
      <numFmt numFmtId="20" formatCode="d\-mmm\-yy"/>
      <alignment horizontal="center" vertical="bottom" textRotation="0" wrapText="0" indent="0" justifyLastLine="0" shrinkToFit="0" readingOrder="0"/>
    </dxf>
    <dxf>
      <font>
        <strike val="0"/>
        <outline val="0"/>
        <shadow val="0"/>
        <u val="none"/>
        <vertAlign val="baseline"/>
        <sz val="11"/>
        <color theme="1"/>
        <name val="Aptos Narrow"/>
        <family val="2"/>
        <scheme val="minor"/>
      </font>
      <alignment horizontal="center" vertical="bottom" textRotation="0" wrapText="0" indent="0" justifyLastLine="0" shrinkToFit="0" readingOrder="0"/>
    </dxf>
    <dxf>
      <font>
        <strike val="0"/>
        <outline val="0"/>
        <shadow val="0"/>
        <u val="none"/>
        <vertAlign val="baseline"/>
        <sz val="11"/>
        <color theme="1"/>
        <name val="Aptos Narrow"/>
        <family val="2"/>
        <scheme val="minor"/>
      </font>
      <alignment horizontal="center" vertical="bottom" textRotation="0" wrapText="0" indent="0" justifyLastLine="0" shrinkToFit="0" readingOrder="0"/>
    </dxf>
    <dxf>
      <font>
        <strike val="0"/>
        <outline val="0"/>
        <shadow val="0"/>
        <u val="none"/>
        <vertAlign val="baseline"/>
        <sz val="11"/>
        <color theme="1"/>
        <name val="Aptos Narrow"/>
        <family val="2"/>
        <scheme val="minor"/>
      </font>
      <alignment horizontal="center" vertical="bottom" textRotation="0" wrapText="0" indent="0" justifyLastLine="0" shrinkToFit="0" readingOrder="0"/>
    </dxf>
    <dxf>
      <font>
        <strike val="0"/>
        <outline val="0"/>
        <shadow val="0"/>
        <u val="none"/>
        <vertAlign val="baseline"/>
        <sz val="11"/>
        <color theme="1"/>
        <name val="Aptos Narrow"/>
        <family val="2"/>
        <scheme val="minor"/>
      </font>
      <alignment horizontal="center" vertical="bottom" textRotation="0" wrapText="0" indent="0" justifyLastLine="0" shrinkToFit="0" readingOrder="0"/>
    </dxf>
    <dxf>
      <font>
        <strike val="0"/>
        <outline val="0"/>
        <shadow val="0"/>
        <u val="none"/>
        <vertAlign val="baseline"/>
        <sz val="11"/>
        <color theme="1"/>
        <name val="Aptos Narrow"/>
        <family val="2"/>
        <scheme val="minor"/>
      </font>
      <numFmt numFmtId="20" formatCode="d\-mmm\-yy"/>
      <alignment horizontal="center" vertical="bottom" textRotation="0" wrapText="0" indent="0" justifyLastLine="0" shrinkToFit="0" readingOrder="0"/>
    </dxf>
    <dxf>
      <font>
        <strike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1"/>
        <name val="Aptos Narrow"/>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[AP_Invoice_Dashboard.xlsx]Data analysis 1!PivotTable1</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AP Invoice Dashboard</a:t>
            </a:r>
            <a:endParaRPr lang="en-US"/>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freezing"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 1'!$B$3</c:f>
              <c:strCache>
                <c:ptCount val="1"/>
                <c:pt idx="0">
                  <c:v>Total</c:v>
                </c:pt>
              </c:strCache>
            </c:strRef>
          </c:tx>
          <c:spPr>
            <a:solidFill>
              <a:schemeClr val="accent1"/>
            </a:solidFill>
            <a:ln>
              <a:noFill/>
            </a:ln>
            <a:effectLst/>
            <a:scene3d>
              <a:camera prst="orthographicFront"/>
              <a:lightRig rig="freezing" dir="t"/>
            </a:scene3d>
            <a:sp3d prstMaterial="matte"/>
          </c:spPr>
          <c:invertIfNegative val="0"/>
          <c:cat>
            <c:multiLvlStrRef>
              <c:f>'Data analysis 1'!$A$4:$A$44</c:f>
              <c:multiLvlStrCache>
                <c:ptCount val="10"/>
                <c:lvl>
                  <c:pt idx="0">
                    <c:v>HR</c:v>
                  </c:pt>
                  <c:pt idx="1">
                    <c:v>Finance</c:v>
                  </c:pt>
                  <c:pt idx="2">
                    <c:v>Finance</c:v>
                  </c:pt>
                  <c:pt idx="3">
                    <c:v>Finance</c:v>
                  </c:pt>
                  <c:pt idx="4">
                    <c:v>Operations</c:v>
                  </c:pt>
                  <c:pt idx="5">
                    <c:v>Operations</c:v>
                  </c:pt>
                  <c:pt idx="6">
                    <c:v>IT</c:v>
                  </c:pt>
                  <c:pt idx="7">
                    <c:v>HR</c:v>
                  </c:pt>
                  <c:pt idx="8">
                    <c:v>IT</c:v>
                  </c:pt>
                  <c:pt idx="9">
                    <c:v>IT</c:v>
                  </c:pt>
                </c:lvl>
                <c:lvl>
                  <c:pt idx="0">
                    <c:v>3-Feb</c:v>
                  </c:pt>
                  <c:pt idx="1">
                    <c:v>18-Mar</c:v>
                  </c:pt>
                  <c:pt idx="2">
                    <c:v>5-Jan</c:v>
                  </c:pt>
                  <c:pt idx="3">
                    <c:v>15-Feb</c:v>
                  </c:pt>
                  <c:pt idx="4">
                    <c:v>20-Jan</c:v>
                  </c:pt>
                  <c:pt idx="5">
                    <c:v>10-Mar</c:v>
                  </c:pt>
                  <c:pt idx="6">
                    <c:v>15-Apr</c:v>
                  </c:pt>
                  <c:pt idx="7">
                    <c:v>2-Apr</c:v>
                  </c:pt>
                  <c:pt idx="8">
                    <c:v>12-Jan</c:v>
                  </c:pt>
                  <c:pt idx="9">
                    <c:v>25-Feb</c:v>
                  </c:pt>
                </c:lvl>
                <c:lvl>
                  <c:pt idx="0">
                    <c:v>Feb</c:v>
                  </c:pt>
                  <c:pt idx="1">
                    <c:v>Mar</c:v>
                  </c:pt>
                  <c:pt idx="2">
                    <c:v>Jan</c:v>
                  </c:pt>
                  <c:pt idx="3">
                    <c:v>Feb</c:v>
                  </c:pt>
                  <c:pt idx="4">
                    <c:v>Jan</c:v>
                  </c:pt>
                  <c:pt idx="5">
                    <c:v>Mar</c:v>
                  </c:pt>
                  <c:pt idx="6">
                    <c:v>Apr</c:v>
                  </c:pt>
                  <c:pt idx="7">
                    <c:v>Apr</c:v>
                  </c:pt>
                  <c:pt idx="8">
                    <c:v>Jan</c:v>
                  </c:pt>
                  <c:pt idx="9">
                    <c:v>Feb</c:v>
                  </c:pt>
                </c:lvl>
                <c:lvl>
                  <c:pt idx="0">
                    <c:v>ABC Ltd</c:v>
                  </c:pt>
                  <c:pt idx="2">
                    <c:v>ABC Ltd</c:v>
                  </c:pt>
                  <c:pt idx="3">
                    <c:v>LMN Ltd</c:v>
                  </c:pt>
                  <c:pt idx="4">
                    <c:v>PQR Ltd</c:v>
                  </c:pt>
                  <c:pt idx="6">
                    <c:v>XYZ Ltd</c:v>
                  </c:pt>
                  <c:pt idx="7">
                    <c:v>LMN Ltd</c:v>
                  </c:pt>
                  <c:pt idx="8">
                    <c:v>XYZ Ltd</c:v>
                  </c:pt>
                </c:lvl>
                <c:lvl>
                  <c:pt idx="0">
                    <c:v>Overdue</c:v>
                  </c:pt>
                  <c:pt idx="2">
                    <c:v>Paid</c:v>
                  </c:pt>
                  <c:pt idx="7">
                    <c:v>Pending</c:v>
                  </c:pt>
                </c:lvl>
              </c:multiLvlStrCache>
            </c:multiLvlStrRef>
          </c:cat>
          <c:val>
            <c:numRef>
              <c:f>'Data analysis 1'!$B$4:$B$44</c:f>
              <c:numCache>
                <c:formatCode>General</c:formatCode>
                <c:ptCount val="10"/>
                <c:pt idx="0">
                  <c:v>15000</c:v>
                </c:pt>
                <c:pt idx="1">
                  <c:v>42000</c:v>
                </c:pt>
                <c:pt idx="2">
                  <c:v>12500</c:v>
                </c:pt>
                <c:pt idx="3">
                  <c:v>32000</c:v>
                </c:pt>
                <c:pt idx="4">
                  <c:v>8500</c:v>
                </c:pt>
                <c:pt idx="5">
                  <c:v>18500</c:v>
                </c:pt>
                <c:pt idx="6">
                  <c:v>22500</c:v>
                </c:pt>
                <c:pt idx="7">
                  <c:v>11000</c:v>
                </c:pt>
                <c:pt idx="8">
                  <c:v>28000</c:v>
                </c:pt>
                <c:pt idx="9">
                  <c:v>7500</c:v>
                </c:pt>
              </c:numCache>
            </c:numRef>
          </c:val>
          <c:extLst>
            <c:ext xmlns:c16="http://schemas.microsoft.com/office/drawing/2014/chart" uri="{C3380CC4-5D6E-409C-BE32-E72D297353CC}">
              <c16:uniqueId val="{00000000-88CF-9742-BA33-17870978DC29}"/>
            </c:ext>
          </c:extLst>
        </c:ser>
        <c:dLbls>
          <c:showLegendKey val="0"/>
          <c:showVal val="0"/>
          <c:showCatName val="0"/>
          <c:showSerName val="0"/>
          <c:showPercent val="0"/>
          <c:showBubbleSize val="0"/>
        </c:dLbls>
        <c:gapWidth val="219"/>
        <c:overlap val="-27"/>
        <c:axId val="1759343296"/>
        <c:axId val="1792753664"/>
      </c:barChart>
      <c:catAx>
        <c:axId val="1759343296"/>
        <c:scaling>
          <c:orientation val="minMax"/>
        </c:scaling>
        <c:delete val="0"/>
        <c:axPos val="b"/>
        <c:numFmt formatCode="General" sourceLinked="1"/>
        <c:majorTickMark val="none"/>
        <c:minorTickMark val="none"/>
        <c:tickLblPos val="nextTo"/>
        <c:spPr>
          <a:noFill/>
          <a:ln w="9525" cap="rnd" cmpd="sng" algn="ctr">
            <a:noFill/>
            <a:bevel/>
          </a:ln>
          <a:effectLst/>
        </c:spPr>
        <c:txPr>
          <a:bodyPr rot="0" spcFirstLastPara="1" vertOverflow="ellipsis" wrap="square" anchor="t"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753664"/>
        <c:crosses val="autoZero"/>
        <c:auto val="1"/>
        <c:lblAlgn val="ctr"/>
        <c:lblOffset val="100"/>
        <c:noMultiLvlLbl val="0"/>
      </c:catAx>
      <c:valAx>
        <c:axId val="1792753664"/>
        <c:scaling>
          <c:orientation val="minMax"/>
        </c:scaling>
        <c:delete val="0"/>
        <c:axPos val="l"/>
        <c:majorGridlines>
          <c:spPr>
            <a:ln w="9525" cap="flat" cmpd="sng" algn="ctr">
              <a:solidFill>
                <a:schemeClr val="tx1">
                  <a:lumMod val="15000"/>
                  <a:lumOff val="85000"/>
                </a:schemeClr>
              </a:solidFill>
              <a:round/>
            </a:ln>
            <a:effectLst/>
          </c:spPr>
        </c:majorGridlines>
        <c:numFmt formatCode="_([$₹-449]* #,##0.00_);_([$₹-449]* \(#,##0.00\);_([$₹-449]* &quot;-&quot;??_);_(@_)" sourceLinked="0"/>
        <c:majorTickMark val="none"/>
        <c:minorTickMark val="none"/>
        <c:tickLblPos val="nextTo"/>
        <c:spPr>
          <a:noFill/>
          <a:ln>
            <a:solidFill>
              <a:schemeClr val="accent1"/>
            </a:solidFill>
            <a:headEnd type="oval"/>
            <a:tailEnd type="triangle"/>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34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[AP_Invoice_Dashboard.xlsx]Data anaysis 2!PivotTable2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anaysis 2'!$B$3:$B$4</c:f>
              <c:strCache>
                <c:ptCount val="1"/>
                <c:pt idx="0">
                  <c:v>Overdue</c:v>
                </c:pt>
              </c:strCache>
            </c:strRef>
          </c:tx>
          <c:spPr>
            <a:solidFill>
              <a:schemeClr val="accent1"/>
            </a:solidFill>
            <a:ln>
              <a:noFill/>
            </a:ln>
            <a:effectLst/>
          </c:spPr>
          <c:invertIfNegative val="0"/>
          <c:cat>
            <c:strRef>
              <c:f>'Data anaysis 2'!$A$5:$A$9</c:f>
              <c:strCache>
                <c:ptCount val="4"/>
                <c:pt idx="0">
                  <c:v>ABC Ltd</c:v>
                </c:pt>
                <c:pt idx="1">
                  <c:v>LMN Ltd</c:v>
                </c:pt>
                <c:pt idx="2">
                  <c:v>PQR Ltd</c:v>
                </c:pt>
                <c:pt idx="3">
                  <c:v>XYZ Ltd</c:v>
                </c:pt>
              </c:strCache>
            </c:strRef>
          </c:cat>
          <c:val>
            <c:numRef>
              <c:f>'Data anaysis 2'!$B$5:$B$9</c:f>
              <c:numCache>
                <c:formatCode>General</c:formatCode>
                <c:ptCount val="4"/>
                <c:pt idx="0">
                  <c:v>57000</c:v>
                </c:pt>
              </c:numCache>
            </c:numRef>
          </c:val>
          <c:extLst>
            <c:ext xmlns:c16="http://schemas.microsoft.com/office/drawing/2014/chart" uri="{C3380CC4-5D6E-409C-BE32-E72D297353CC}">
              <c16:uniqueId val="{00000000-039D-F641-B67E-DBA9F8C45E95}"/>
            </c:ext>
          </c:extLst>
        </c:ser>
        <c:ser>
          <c:idx val="1"/>
          <c:order val="1"/>
          <c:tx>
            <c:strRef>
              <c:f>'Data anaysis 2'!$C$3:$C$4</c:f>
              <c:strCache>
                <c:ptCount val="1"/>
                <c:pt idx="0">
                  <c:v>Paid</c:v>
                </c:pt>
              </c:strCache>
            </c:strRef>
          </c:tx>
          <c:spPr>
            <a:solidFill>
              <a:schemeClr val="accent2"/>
            </a:solidFill>
            <a:ln>
              <a:noFill/>
            </a:ln>
            <a:effectLst/>
          </c:spPr>
          <c:invertIfNegative val="0"/>
          <c:cat>
            <c:strRef>
              <c:f>'Data anaysis 2'!$A$5:$A$9</c:f>
              <c:strCache>
                <c:ptCount val="4"/>
                <c:pt idx="0">
                  <c:v>ABC Ltd</c:v>
                </c:pt>
                <c:pt idx="1">
                  <c:v>LMN Ltd</c:v>
                </c:pt>
                <c:pt idx="2">
                  <c:v>PQR Ltd</c:v>
                </c:pt>
                <c:pt idx="3">
                  <c:v>XYZ Ltd</c:v>
                </c:pt>
              </c:strCache>
            </c:strRef>
          </c:cat>
          <c:val>
            <c:numRef>
              <c:f>'Data anaysis 2'!$C$5:$C$9</c:f>
              <c:numCache>
                <c:formatCode>General</c:formatCode>
                <c:ptCount val="4"/>
                <c:pt idx="0">
                  <c:v>12500</c:v>
                </c:pt>
                <c:pt idx="1">
                  <c:v>32000</c:v>
                </c:pt>
                <c:pt idx="2">
                  <c:v>27000</c:v>
                </c:pt>
                <c:pt idx="3">
                  <c:v>22500</c:v>
                </c:pt>
              </c:numCache>
            </c:numRef>
          </c:val>
          <c:extLst>
            <c:ext xmlns:c16="http://schemas.microsoft.com/office/drawing/2014/chart" uri="{C3380CC4-5D6E-409C-BE32-E72D297353CC}">
              <c16:uniqueId val="{00000001-039D-F641-B67E-DBA9F8C45E95}"/>
            </c:ext>
          </c:extLst>
        </c:ser>
        <c:ser>
          <c:idx val="2"/>
          <c:order val="2"/>
          <c:tx>
            <c:strRef>
              <c:f>'Data anaysis 2'!$D$3:$D$4</c:f>
              <c:strCache>
                <c:ptCount val="1"/>
                <c:pt idx="0">
                  <c:v>Pending</c:v>
                </c:pt>
              </c:strCache>
            </c:strRef>
          </c:tx>
          <c:spPr>
            <a:solidFill>
              <a:schemeClr val="accent3"/>
            </a:solidFill>
            <a:ln>
              <a:noFill/>
            </a:ln>
            <a:effectLst/>
          </c:spPr>
          <c:invertIfNegative val="0"/>
          <c:cat>
            <c:strRef>
              <c:f>'Data anaysis 2'!$A$5:$A$9</c:f>
              <c:strCache>
                <c:ptCount val="4"/>
                <c:pt idx="0">
                  <c:v>ABC Ltd</c:v>
                </c:pt>
                <c:pt idx="1">
                  <c:v>LMN Ltd</c:v>
                </c:pt>
                <c:pt idx="2">
                  <c:v>PQR Ltd</c:v>
                </c:pt>
                <c:pt idx="3">
                  <c:v>XYZ Ltd</c:v>
                </c:pt>
              </c:strCache>
            </c:strRef>
          </c:cat>
          <c:val>
            <c:numRef>
              <c:f>'Data anaysis 2'!$D$5:$D$9</c:f>
              <c:numCache>
                <c:formatCode>General</c:formatCode>
                <c:ptCount val="4"/>
                <c:pt idx="1">
                  <c:v>11000</c:v>
                </c:pt>
                <c:pt idx="3">
                  <c:v>35500</c:v>
                </c:pt>
              </c:numCache>
            </c:numRef>
          </c:val>
          <c:extLst>
            <c:ext xmlns:c16="http://schemas.microsoft.com/office/drawing/2014/chart" uri="{C3380CC4-5D6E-409C-BE32-E72D297353CC}">
              <c16:uniqueId val="{00000002-039D-F641-B67E-DBA9F8C45E95}"/>
            </c:ext>
          </c:extLst>
        </c:ser>
        <c:dLbls>
          <c:showLegendKey val="0"/>
          <c:showVal val="0"/>
          <c:showCatName val="0"/>
          <c:showSerName val="0"/>
          <c:showPercent val="0"/>
          <c:showBubbleSize val="0"/>
        </c:dLbls>
        <c:gapWidth val="219"/>
        <c:overlap val="-27"/>
        <c:axId val="1806847936"/>
        <c:axId val="1806852416"/>
      </c:barChart>
      <c:catAx>
        <c:axId val="18068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52416"/>
        <c:crosses val="autoZero"/>
        <c:auto val="1"/>
        <c:lblAlgn val="ctr"/>
        <c:lblOffset val="100"/>
        <c:noMultiLvlLbl val="0"/>
      </c:catAx>
      <c:valAx>
        <c:axId val="1806852416"/>
        <c:scaling>
          <c:orientation val="minMax"/>
        </c:scaling>
        <c:delete val="0"/>
        <c:axPos val="l"/>
        <c:majorGridlines>
          <c:spPr>
            <a:ln w="9525" cap="flat" cmpd="sng" algn="ctr">
              <a:solidFill>
                <a:schemeClr val="tx1">
                  <a:lumMod val="15000"/>
                  <a:lumOff val="85000"/>
                </a:schemeClr>
              </a:solidFill>
              <a:round/>
            </a:ln>
            <a:effectLst/>
          </c:spPr>
        </c:majorGridlines>
        <c:numFmt formatCode="_([$₹-449]* #,##0.00_);_([$₹-449]* \(#,##0.00\);_([$₹-44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4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79993</xdr:colOff>
      <xdr:row>3</xdr:row>
      <xdr:rowOff>44530</xdr:rowOff>
    </xdr:from>
    <xdr:to>
      <xdr:col>11</xdr:col>
      <xdr:colOff>79993</xdr:colOff>
      <xdr:row>44</xdr:row>
      <xdr:rowOff>124460</xdr:rowOff>
    </xdr:to>
    <xdr:graphicFrame macro="">
      <xdr:nvGraphicFramePr>
        <xdr:cNvPr id="6" name="Chart 5">
          <a:extLst>
            <a:ext uri="{FF2B5EF4-FFF2-40B4-BE49-F238E27FC236}">
              <a16:creationId xmlns:a16="http://schemas.microsoft.com/office/drawing/2014/main" id="{6712D54D-A718-D694-C78D-CCF5196CE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3</xdr:row>
      <xdr:rowOff>0</xdr:rowOff>
    </xdr:from>
    <xdr:to>
      <xdr:col>27</xdr:col>
      <xdr:colOff>242845</xdr:colOff>
      <xdr:row>18</xdr:row>
      <xdr:rowOff>16696</xdr:rowOff>
    </xdr:to>
    <xdr:graphicFrame macro="">
      <xdr:nvGraphicFramePr>
        <xdr:cNvPr id="2" name="Chart 1">
          <a:extLst>
            <a:ext uri="{FF2B5EF4-FFF2-40B4-BE49-F238E27FC236}">
              <a16:creationId xmlns:a16="http://schemas.microsoft.com/office/drawing/2014/main" id="{66E5447A-FABB-E640-B846-37A32F2F1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787400</xdr:colOff>
      <xdr:row>2</xdr:row>
      <xdr:rowOff>25400</xdr:rowOff>
    </xdr:from>
    <xdr:to>
      <xdr:col>8</xdr:col>
      <xdr:colOff>139700</xdr:colOff>
      <xdr:row>15</xdr:row>
      <xdr:rowOff>3172</xdr:rowOff>
    </xdr:to>
    <mc:AlternateContent xmlns:mc="http://schemas.openxmlformats.org/markup-compatibility/2006" xmlns:a14="http://schemas.microsoft.com/office/drawing/2010/main">
      <mc:Choice Requires="a14">
        <xdr:graphicFrame macro="">
          <xdr:nvGraphicFramePr>
            <xdr:cNvPr id="3" name="Status">
              <a:extLst>
                <a:ext uri="{FF2B5EF4-FFF2-40B4-BE49-F238E27FC236}">
                  <a16:creationId xmlns:a16="http://schemas.microsoft.com/office/drawing/2014/main" id="{83CC7DD7-38A0-42F7-05DA-12875742A3FB}"/>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5397500" y="4318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266700</xdr:colOff>
      <xdr:row>2</xdr:row>
      <xdr:rowOff>50800</xdr:rowOff>
    </xdr:from>
    <xdr:to>
      <xdr:col>10</xdr:col>
      <xdr:colOff>444500</xdr:colOff>
      <xdr:row>15</xdr:row>
      <xdr:rowOff>0</xdr:rowOff>
    </xdr:to>
    <mc:AlternateContent xmlns:mc="http://schemas.openxmlformats.org/markup-compatibility/2006" xmlns:a14="http://schemas.microsoft.com/office/drawing/2010/main">
      <mc:Choice Requires="a14">
        <xdr:graphicFrame macro="">
          <xdr:nvGraphicFramePr>
            <xdr:cNvPr id="4" name="Vendor">
              <a:extLst>
                <a:ext uri="{FF2B5EF4-FFF2-40B4-BE49-F238E27FC236}">
                  <a16:creationId xmlns:a16="http://schemas.microsoft.com/office/drawing/2014/main" id="{CF29D0C0-8B83-7C2B-5B74-6B16E84B2BF9}"/>
                </a:ext>
              </a:extLst>
            </xdr:cNvPr>
            <xdr:cNvGraphicFramePr/>
          </xdr:nvGraphicFramePr>
          <xdr:xfrm>
            <a:off x="0" y="0"/>
            <a:ext cx="0" cy="0"/>
          </xdr:xfrm>
          <a:graphic>
            <a:graphicData uri="http://schemas.microsoft.com/office/drawing/2010/slicer">
              <sle:slicer xmlns:sle="http://schemas.microsoft.com/office/drawing/2010/slicer" name="Vendor"/>
            </a:graphicData>
          </a:graphic>
        </xdr:graphicFrame>
      </mc:Choice>
      <mc:Fallback xmlns="">
        <xdr:sp macro="" textlink="">
          <xdr:nvSpPr>
            <xdr:cNvPr id="0" name=""/>
            <xdr:cNvSpPr>
              <a:spLocks noTextEdit="1"/>
            </xdr:cNvSpPr>
          </xdr:nvSpPr>
          <xdr:spPr>
            <a:xfrm>
              <a:off x="7353300" y="457200"/>
              <a:ext cx="1828800" cy="2590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533400</xdr:colOff>
      <xdr:row>2</xdr:row>
      <xdr:rowOff>50800</xdr:rowOff>
    </xdr:from>
    <xdr:to>
      <xdr:col>12</xdr:col>
      <xdr:colOff>711200</xdr:colOff>
      <xdr:row>14</xdr:row>
      <xdr:rowOff>177800</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AAB0B88E-DA43-E517-20A3-C67F0A8B71A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271000" y="457200"/>
              <a:ext cx="1828800" cy="256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hiya" refreshedDate="46275.986638888891" createdVersion="8" refreshedVersion="8" minRefreshableVersion="3" recordCount="10" xr:uid="{A7B29B5D-DBB5-7149-B4DA-99DFCD538088}">
  <cacheSource type="worksheet">
    <worksheetSource name="Table8"/>
  </cacheSource>
  <cacheFields count="13">
    <cacheField name="Invoice ID" numFmtId="0">
      <sharedItems/>
    </cacheField>
    <cacheField name="Invoice Date" numFmtId="15">
      <sharedItems containsSemiMixedTypes="0" containsNonDate="0" containsDate="1" containsString="0" minDate="2026-01-05T00:00:00" maxDate="2026-04-16T00:00:00" count="10">
        <d v="2026-01-05T00:00:00"/>
        <d v="2026-01-12T00:00:00"/>
        <d v="2026-01-20T00:00:00"/>
        <d v="2026-02-03T00:00:00"/>
        <d v="2026-02-15T00:00:00"/>
        <d v="2026-02-25T00:00:00"/>
        <d v="2026-03-10T00:00:00"/>
        <d v="2026-03-18T00:00:00"/>
        <d v="2026-04-02T00:00:00"/>
        <d v="2026-04-15T00:00:00"/>
      </sharedItems>
      <fieldGroup par="12"/>
    </cacheField>
    <cacheField name="Vendor" numFmtId="0">
      <sharedItems count="4">
        <s v="ABC Ltd"/>
        <s v="XYZ Ltd"/>
        <s v="PQR Ltd"/>
        <s v="LMN Ltd"/>
      </sharedItems>
    </cacheField>
    <cacheField name="Department" numFmtId="0">
      <sharedItems count="4">
        <s v="Finance"/>
        <s v="IT"/>
        <s v="Operations"/>
        <s v="HR"/>
      </sharedItems>
    </cacheField>
    <cacheField name="Invoice Amount" numFmtId="0">
      <sharedItems containsSemiMixedTypes="0" containsString="0" containsNumber="1" containsInteger="1" minValue="7500" maxValue="42000"/>
    </cacheField>
    <cacheField name="Status" numFmtId="0">
      <sharedItems count="3">
        <s v="Paid"/>
        <s v="Pending"/>
        <s v="Overdue"/>
      </sharedItems>
    </cacheField>
    <cacheField name="Due Date" numFmtId="15">
      <sharedItems containsSemiMixedTypes="0" containsNonDate="0" containsDate="1" containsString="0" minDate="2026-02-04T00:00:00" maxDate="2026-05-16T00:00:00"/>
    </cacheField>
    <cacheField name="Payment Date" numFmtId="15">
      <sharedItems containsNonDate="0" containsDate="1" containsString="0" containsBlank="1" minDate="2026-01-28T00:00:00" maxDate="2026-05-09T00:00:00"/>
    </cacheField>
    <cacheField name="Invoice age" numFmtId="1">
      <sharedItems containsSemiMixedTypes="0" containsString="0" containsNumber="1" containsInteger="1" minValue="148" maxValue="248"/>
    </cacheField>
    <cacheField name="Invoice Age Staus " numFmtId="15">
      <sharedItems/>
    </cacheField>
    <cacheField name="Payment Check" numFmtId="15">
      <sharedItems/>
    </cacheField>
    <cacheField name="Days (Invoice Date)" numFmtId="0" databaseField="0">
      <fieldGroup base="1">
        <rangePr groupBy="days" startDate="2026-01-05T00:00:00" endDate="2026-04-16T00:00:00"/>
        <groupItems count="368">
          <s v="&lt;1/5/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16/26"/>
        </groupItems>
      </fieldGroup>
    </cacheField>
    <cacheField name="Months (Invoice Date)" numFmtId="0" databaseField="0">
      <fieldGroup base="1">
        <rangePr groupBy="months" startDate="2026-01-05T00:00:00" endDate="2026-04-16T00:00:00"/>
        <groupItems count="14">
          <s v="&lt;1/5/26"/>
          <s v="Jan"/>
          <s v="Feb"/>
          <s v="Mar"/>
          <s v="Apr"/>
          <s v="May"/>
          <s v="Jun"/>
          <s v="Jul"/>
          <s v="Aug"/>
          <s v="Sep"/>
          <s v="Oct"/>
          <s v="Nov"/>
          <s v="Dec"/>
          <s v="&gt;4/16/26"/>
        </groupItems>
      </fieldGroup>
    </cacheField>
  </cacheFields>
  <extLst>
    <ext xmlns:x14="http://schemas.microsoft.com/office/spreadsheetml/2009/9/main" uri="{725AE2AE-9491-48be-B2B4-4EB974FC3084}">
      <x14:pivotCacheDefinition pivotCacheId="18588823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INV001"/>
    <x v="0"/>
    <x v="0"/>
    <x v="0"/>
    <n v="12500"/>
    <x v="0"/>
    <d v="2026-02-04T00:00:00"/>
    <d v="2026-01-28T00:00:00"/>
    <n v="248"/>
    <s v="90+ days"/>
    <s v="Payment Completed"/>
  </r>
  <r>
    <s v="INV002"/>
    <x v="1"/>
    <x v="1"/>
    <x v="1"/>
    <n v="28000"/>
    <x v="1"/>
    <d v="2026-02-11T00:00:00"/>
    <m/>
    <n v="241"/>
    <s v="90+ days"/>
    <s v="Payment Pending"/>
  </r>
  <r>
    <s v="INV003"/>
    <x v="2"/>
    <x v="2"/>
    <x v="2"/>
    <n v="8500"/>
    <x v="0"/>
    <d v="2026-02-19T00:00:00"/>
    <d v="2026-02-15T00:00:00"/>
    <n v="233"/>
    <s v="90+ days"/>
    <s v="Payment Completed"/>
  </r>
  <r>
    <s v="INV004"/>
    <x v="3"/>
    <x v="0"/>
    <x v="3"/>
    <n v="15000"/>
    <x v="2"/>
    <d v="2026-03-05T00:00:00"/>
    <m/>
    <n v="219"/>
    <s v="90+ days"/>
    <s v="Payment Pending"/>
  </r>
  <r>
    <s v="INV005"/>
    <x v="4"/>
    <x v="3"/>
    <x v="0"/>
    <n v="32000"/>
    <x v="0"/>
    <d v="2026-03-17T00:00:00"/>
    <d v="2026-03-10T00:00:00"/>
    <n v="207"/>
    <s v="90+ days"/>
    <s v="Payment Completed"/>
  </r>
  <r>
    <s v="INV006"/>
    <x v="5"/>
    <x v="1"/>
    <x v="1"/>
    <n v="7500"/>
    <x v="1"/>
    <d v="2026-03-27T00:00:00"/>
    <m/>
    <n v="197"/>
    <s v="90+ days"/>
    <s v="Payment Pending"/>
  </r>
  <r>
    <s v="INV007"/>
    <x v="6"/>
    <x v="2"/>
    <x v="2"/>
    <n v="18500"/>
    <x v="0"/>
    <d v="2026-04-09T00:00:00"/>
    <d v="2026-04-05T00:00:00"/>
    <n v="184"/>
    <s v="90+ days"/>
    <s v="Payment Completed"/>
  </r>
  <r>
    <s v="INV008"/>
    <x v="7"/>
    <x v="0"/>
    <x v="0"/>
    <n v="42000"/>
    <x v="2"/>
    <d v="2026-04-17T00:00:00"/>
    <m/>
    <n v="176"/>
    <s v="90+ days"/>
    <s v="Payment Pending"/>
  </r>
  <r>
    <s v="INV009"/>
    <x v="8"/>
    <x v="3"/>
    <x v="3"/>
    <n v="11000"/>
    <x v="1"/>
    <d v="2026-05-02T00:00:00"/>
    <m/>
    <n v="161"/>
    <s v="90+ days"/>
    <s v="Payment Pending"/>
  </r>
  <r>
    <s v="INV010"/>
    <x v="9"/>
    <x v="1"/>
    <x v="1"/>
    <n v="22500"/>
    <x v="0"/>
    <d v="2026-05-15T00:00:00"/>
    <d v="2026-05-08T00:00:00"/>
    <n v="148"/>
    <s v="90+ days"/>
    <s v="Payment Comple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9F1E9E-2452-AE4C-99B6-8457D1CB64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44" firstHeaderRow="1" firstDataRow="1" firstDataCol="1"/>
  <pivotFields count="13">
    <pivotField showAll="0"/>
    <pivotField numFmtId="164" showAll="0">
      <items count="11">
        <item x="0"/>
        <item x="1"/>
        <item x="2"/>
        <item x="3"/>
        <item x="4"/>
        <item x="5"/>
        <item x="6"/>
        <item x="7"/>
        <item x="8"/>
        <item x="9"/>
        <item t="default"/>
      </items>
    </pivotField>
    <pivotField axis="axisRow" showAll="0">
      <items count="5">
        <item x="0"/>
        <item x="3"/>
        <item x="2"/>
        <item x="1"/>
        <item t="default"/>
      </items>
    </pivotField>
    <pivotField axis="axisRow" showAll="0">
      <items count="5">
        <item x="0"/>
        <item x="3"/>
        <item x="1"/>
        <item x="2"/>
        <item t="default"/>
      </items>
    </pivotField>
    <pivotField dataField="1" showAll="0"/>
    <pivotField axis="axisRow" showAll="0">
      <items count="4">
        <item x="2"/>
        <item x="0"/>
        <item x="1"/>
        <item t="default"/>
      </items>
    </pivotField>
    <pivotField numFmtId="15" showAll="0"/>
    <pivotField showAll="0"/>
    <pivotField numFmtId="1" showAll="0"/>
    <pivotField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5">
    <field x="5"/>
    <field x="2"/>
    <field x="12"/>
    <field x="11"/>
    <field x="3"/>
  </rowFields>
  <rowItems count="41">
    <i>
      <x/>
    </i>
    <i r="1">
      <x/>
    </i>
    <i r="2">
      <x v="2"/>
    </i>
    <i r="3">
      <x v="34"/>
    </i>
    <i r="4">
      <x v="1"/>
    </i>
    <i r="2">
      <x v="3"/>
    </i>
    <i r="3">
      <x v="78"/>
    </i>
    <i r="4">
      <x/>
    </i>
    <i>
      <x v="1"/>
    </i>
    <i r="1">
      <x/>
    </i>
    <i r="2">
      <x v="1"/>
    </i>
    <i r="3">
      <x v="5"/>
    </i>
    <i r="4">
      <x/>
    </i>
    <i r="1">
      <x v="1"/>
    </i>
    <i r="2">
      <x v="2"/>
    </i>
    <i r="3">
      <x v="46"/>
    </i>
    <i r="4">
      <x/>
    </i>
    <i r="1">
      <x v="2"/>
    </i>
    <i r="2">
      <x v="1"/>
    </i>
    <i r="3">
      <x v="20"/>
    </i>
    <i r="4">
      <x v="3"/>
    </i>
    <i r="2">
      <x v="3"/>
    </i>
    <i r="3">
      <x v="70"/>
    </i>
    <i r="4">
      <x v="3"/>
    </i>
    <i r="1">
      <x v="3"/>
    </i>
    <i r="2">
      <x v="4"/>
    </i>
    <i r="3">
      <x v="106"/>
    </i>
    <i r="4">
      <x v="2"/>
    </i>
    <i>
      <x v="2"/>
    </i>
    <i r="1">
      <x v="1"/>
    </i>
    <i r="2">
      <x v="4"/>
    </i>
    <i r="3">
      <x v="93"/>
    </i>
    <i r="4">
      <x v="1"/>
    </i>
    <i r="1">
      <x v="3"/>
    </i>
    <i r="2">
      <x v="1"/>
    </i>
    <i r="3">
      <x v="12"/>
    </i>
    <i r="4">
      <x v="2"/>
    </i>
    <i r="2">
      <x v="2"/>
    </i>
    <i r="3">
      <x v="56"/>
    </i>
    <i r="4">
      <x v="2"/>
    </i>
    <i t="grand">
      <x/>
    </i>
  </rowItems>
  <colItems count="1">
    <i/>
  </colItems>
  <dataFields count="1">
    <dataField name="Sum of Invoice Amount" fld="4"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8BCF25-0CC5-6F4F-8B29-16F693041A9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9" firstHeaderRow="1" firstDataRow="2" firstDataCol="1"/>
  <pivotFields count="13">
    <pivotField showAll="0"/>
    <pivotField numFmtId="15" showAll="0">
      <items count="11">
        <item x="0"/>
        <item x="1"/>
        <item x="2"/>
        <item x="3"/>
        <item x="4"/>
        <item x="5"/>
        <item x="6"/>
        <item x="7"/>
        <item x="8"/>
        <item x="9"/>
        <item t="default"/>
      </items>
    </pivotField>
    <pivotField axis="axisRow" showAll="0">
      <items count="5">
        <item x="0"/>
        <item x="3"/>
        <item x="2"/>
        <item x="1"/>
        <item t="default"/>
      </items>
    </pivotField>
    <pivotField showAll="0">
      <items count="5">
        <item x="0"/>
        <item x="3"/>
        <item x="1"/>
        <item x="2"/>
        <item t="default"/>
      </items>
    </pivotField>
    <pivotField dataField="1" showAll="0"/>
    <pivotField axis="axisCol" showAll="0">
      <items count="4">
        <item x="2"/>
        <item x="0"/>
        <item x="1"/>
        <item t="default"/>
      </items>
    </pivotField>
    <pivotField numFmtId="15" showAll="0"/>
    <pivotField showAll="0"/>
    <pivotField numFmtI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Fields count="1">
    <field x="5"/>
  </colFields>
  <colItems count="4">
    <i>
      <x/>
    </i>
    <i>
      <x v="1"/>
    </i>
    <i>
      <x v="2"/>
    </i>
    <i t="grand">
      <x/>
    </i>
  </colItems>
  <dataFields count="1">
    <dataField name="Sum of Invoice Amount" fld="4" baseField="0" baseItem="0"/>
  </dataFields>
  <chartFormats count="1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2" format="8" series="1">
      <pivotArea type="data" outline="0" fieldPosition="0">
        <references count="2">
          <reference field="4294967294" count="1" selected="0">
            <x v="0"/>
          </reference>
          <reference field="5" count="1" selected="0">
            <x v="2"/>
          </reference>
        </references>
      </pivotArea>
    </chartFormat>
    <chartFormat chart="3" format="9" series="1">
      <pivotArea type="data" outline="0" fieldPosition="0">
        <references count="2">
          <reference field="4294967294" count="1" selected="0">
            <x v="0"/>
          </reference>
          <reference field="5" count="1" selected="0">
            <x v="0"/>
          </reference>
        </references>
      </pivotArea>
    </chartFormat>
    <chartFormat chart="3" format="10" series="1">
      <pivotArea type="data" outline="0" fieldPosition="0">
        <references count="2">
          <reference field="4294967294" count="1" selected="0">
            <x v="0"/>
          </reference>
          <reference field="5" count="1" selected="0">
            <x v="1"/>
          </reference>
        </references>
      </pivotArea>
    </chartFormat>
    <chartFormat chart="3" format="11" series="1">
      <pivotArea type="data" outline="0" fieldPosition="0">
        <references count="2">
          <reference field="4294967294" count="1" selected="0">
            <x v="0"/>
          </reference>
          <reference field="5" count="1" selected="0">
            <x v="2"/>
          </reference>
        </references>
      </pivotArea>
    </chartFormat>
    <chartFormat chart="4" format="12" series="1">
      <pivotArea type="data" outline="0" fieldPosition="0">
        <references count="2">
          <reference field="4294967294" count="1" selected="0">
            <x v="0"/>
          </reference>
          <reference field="5" count="1" selected="0">
            <x v="0"/>
          </reference>
        </references>
      </pivotArea>
    </chartFormat>
    <chartFormat chart="4" format="13" series="1">
      <pivotArea type="data" outline="0" fieldPosition="0">
        <references count="2">
          <reference field="4294967294" count="1" selected="0">
            <x v="0"/>
          </reference>
          <reference field="5" count="1" selected="0">
            <x v="1"/>
          </reference>
        </references>
      </pivotArea>
    </chartFormat>
    <chartFormat chart="4" format="14" series="1">
      <pivotArea type="data" outline="0" fieldPosition="0">
        <references count="2">
          <reference field="4294967294" count="1" selected="0">
            <x v="0"/>
          </reference>
          <reference field="5" count="1" selected="0">
            <x v="2"/>
          </reference>
        </references>
      </pivotArea>
    </chartFormat>
    <chartFormat chart="5" format="15" series="1">
      <pivotArea type="data" outline="0" fieldPosition="0">
        <references count="2">
          <reference field="4294967294" count="1" selected="0">
            <x v="0"/>
          </reference>
          <reference field="5" count="1" selected="0">
            <x v="0"/>
          </reference>
        </references>
      </pivotArea>
    </chartFormat>
    <chartFormat chart="5" format="16" series="1">
      <pivotArea type="data" outline="0" fieldPosition="0">
        <references count="2">
          <reference field="4294967294" count="1" selected="0">
            <x v="0"/>
          </reference>
          <reference field="5" count="1" selected="0">
            <x v="1"/>
          </reference>
        </references>
      </pivotArea>
    </chartFormat>
    <chartFormat chart="5" format="17" series="1">
      <pivotArea type="data" outline="0" fieldPosition="0">
        <references count="2">
          <reference field="4294967294" count="1" selected="0">
            <x v="0"/>
          </reference>
          <reference field="5" count="1" selected="0">
            <x v="2"/>
          </reference>
        </references>
      </pivotArea>
    </chartFormat>
    <chartFormat chart="6" format="15" series="1">
      <pivotArea type="data" outline="0" fieldPosition="0">
        <references count="2">
          <reference field="4294967294" count="1" selected="0">
            <x v="0"/>
          </reference>
          <reference field="5" count="1" selected="0">
            <x v="0"/>
          </reference>
        </references>
      </pivotArea>
    </chartFormat>
    <chartFormat chart="6" format="16" series="1">
      <pivotArea type="data" outline="0" fieldPosition="0">
        <references count="2">
          <reference field="4294967294" count="1" selected="0">
            <x v="0"/>
          </reference>
          <reference field="5" count="1" selected="0">
            <x v="1"/>
          </reference>
        </references>
      </pivotArea>
    </chartFormat>
    <chartFormat chart="6" format="17"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7547880-F62A-214B-B8E6-689E593D12E0}" sourceName="Status">
  <pivotTables>
    <pivotTable tabId="4" name="PivotTable2"/>
    <pivotTable tabId="3" name="PivotTable1"/>
  </pivotTables>
  <data>
    <tabular pivotCacheId="185888237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 xr10:uid="{01CCA7B9-2FDF-224A-BE93-9CEC96FEAADB}" sourceName="Vendor">
  <pivotTables>
    <pivotTable tabId="4" name="PivotTable2"/>
    <pivotTable tabId="3" name="PivotTable1"/>
  </pivotTables>
  <data>
    <tabular pivotCacheId="1858882378">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9629CA3-35C8-9D4B-B998-3B00D5E8049C}" sourceName="Department">
  <pivotTables>
    <pivotTable tabId="4" name="PivotTable2"/>
    <pivotTable tabId="3" name="PivotTable1"/>
  </pivotTables>
  <data>
    <tabular pivotCacheId="1858882378">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3BA4CF71-50E8-D34E-80D8-21F1A2434AEE}" cache="Slicer_Status" caption="Status" rowHeight="251883"/>
  <slicer name="Vendor" xr10:uid="{E71AF09C-CF8E-7949-9512-D3755B5D96A0}" cache="Slicer_Vendor" caption="Vendor" rowHeight="251883"/>
  <slicer name="Department" xr10:uid="{6E14DEDB-B3EC-5640-A2B1-AB42F683B2F8}" cache="Slicer_Department" caption="Department"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0C53ED7-F254-BC4C-A77D-7F731366FEED}" name="Table8" displayName="Table8" ref="A1:K11" totalsRowShown="0" headerRowDxfId="12" dataDxfId="0">
  <autoFilter ref="A1:K11" xr:uid="{C0C53ED7-F254-BC4C-A77D-7F731366FEED}"/>
  <tableColumns count="11">
    <tableColumn id="1" xr3:uid="{19259A78-FEA9-9E44-B8C5-A05A13717A7C}" name="Invoice ID" dataDxfId="11"/>
    <tableColumn id="2" xr3:uid="{CFF72B78-E6DB-404B-966A-A05CD9D8BD30}" name="Invoice Date" dataDxfId="10"/>
    <tableColumn id="3" xr3:uid="{83829046-A891-9D42-866C-5679D579BAFE}" name="Vendor" dataDxfId="9"/>
    <tableColumn id="4" xr3:uid="{3C1E5470-A24C-9C42-8F6B-D921DF6BFE2C}" name="Department" dataDxfId="8"/>
    <tableColumn id="5" xr3:uid="{5CF73E19-05C3-D94C-BD99-3BEDDC0A202D}" name="Invoice Amount" dataDxfId="7"/>
    <tableColumn id="6" xr3:uid="{DA52309F-6D48-2840-BF40-B90618AC6DF2}" name="Status" dataDxfId="6"/>
    <tableColumn id="7" xr3:uid="{B143CD62-798A-EE4C-9529-FB089575EF14}" name="Due Date" dataDxfId="5"/>
    <tableColumn id="8" xr3:uid="{4783B88F-8907-C14C-98D1-82DD80704464}" name="Payment Date" dataDxfId="4"/>
    <tableColumn id="9" xr3:uid="{A332EB02-CF6C-2845-B9BC-3F68CF6B41C2}" name="Invoice age" dataDxfId="3">
      <calculatedColumnFormula>TODAY()-Table8[[#This Row],[Invoice Date]]</calculatedColumnFormula>
    </tableColumn>
    <tableColumn id="10" xr3:uid="{BACF32EB-730A-414A-8A9A-1B89A871B9F5}" name="Invoice Age Staus " dataDxfId="2">
      <calculatedColumnFormula>IF(Table8[[#This Row],[Invoice age]]&lt;=30,"Current",IF(Table8[[#This Row],[Invoice age]]&lt;=60,"31-60 days",IF(Table8[[#This Row],[Invoice age]]&lt;=90,"61-90","90+ days")))</calculatedColumnFormula>
    </tableColumn>
    <tableColumn id="11" xr3:uid="{461DC1FB-5B33-DE47-9BFF-3973E95B1D9C}" name="Payment Check" dataDxfId="1">
      <calculatedColumnFormula>IF(Table8[[#This Row],[Status]]="Paid","Payment Completed","Payment Pending")</calculatedColumnFormula>
    </tableColumn>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5C32-E0A8-6541-B29C-F4E038AA4BEC}">
  <dimension ref="A1:L2"/>
  <sheetViews>
    <sheetView tabSelected="1" topLeftCell="A14" zoomScale="87" workbookViewId="0">
      <selection activeCell="Q34" sqref="Q34"/>
    </sheetView>
  </sheetViews>
  <sheetFormatPr baseColWidth="10" defaultRowHeight="16" x14ac:dyDescent="0.2"/>
  <cols>
    <col min="1" max="1" width="12.83203125" style="1" bestFit="1" customWidth="1"/>
    <col min="2" max="2" width="17" style="1" bestFit="1" customWidth="1"/>
    <col min="3" max="3" width="13.5" style="1" bestFit="1" customWidth="1"/>
    <col min="4" max="4" width="14.83203125" style="1" bestFit="1" customWidth="1"/>
    <col min="5" max="5" width="15.1640625" style="1" bestFit="1" customWidth="1"/>
    <col min="6" max="6" width="16" style="1" bestFit="1" customWidth="1"/>
    <col min="7" max="7" width="15" style="1" bestFit="1" customWidth="1"/>
    <col min="8" max="8" width="16" style="1" bestFit="1" customWidth="1"/>
    <col min="9" max="9" width="17" style="1" bestFit="1" customWidth="1"/>
    <col min="10" max="10" width="17.1640625" style="1" bestFit="1" customWidth="1"/>
    <col min="11" max="11" width="12.5" style="1" bestFit="1" customWidth="1"/>
    <col min="12" max="16384" width="10.83203125" style="1"/>
  </cols>
  <sheetData>
    <row r="1" spans="1:12" x14ac:dyDescent="0.2">
      <c r="A1" s="13" t="s">
        <v>50</v>
      </c>
      <c r="B1" s="13" t="s">
        <v>51</v>
      </c>
      <c r="C1" s="13" t="s">
        <v>52</v>
      </c>
      <c r="D1" s="13" t="s">
        <v>53</v>
      </c>
      <c r="E1" s="13" t="s">
        <v>54</v>
      </c>
      <c r="F1" s="13" t="s">
        <v>55</v>
      </c>
      <c r="G1" s="13" t="s">
        <v>56</v>
      </c>
      <c r="H1" s="13" t="s">
        <v>57</v>
      </c>
      <c r="I1" s="13" t="s">
        <v>58</v>
      </c>
      <c r="J1" s="13" t="s">
        <v>59</v>
      </c>
      <c r="K1" s="13" t="s">
        <v>60</v>
      </c>
      <c r="L1" s="13" t="s">
        <v>61</v>
      </c>
    </row>
    <row r="2" spans="1:12" x14ac:dyDescent="0.2">
      <c r="A2" s="14">
        <f>COUNTA(Table8[Invoice ID])</f>
        <v>10</v>
      </c>
      <c r="B2" s="15">
        <f>SUM(Table8[Invoice Amount])</f>
        <v>197500</v>
      </c>
      <c r="C2" s="15">
        <f>SUMIF(Table8[Status],"Paid",Table8[Invoice Amount])</f>
        <v>94000</v>
      </c>
      <c r="D2" s="15">
        <f>SUMIF(Table8[Status],"Pending",Table8[Invoice Amount])</f>
        <v>46500</v>
      </c>
      <c r="E2" s="15">
        <f>SUMIF(Table8[Status],"Overdue",Table8[Invoice Amount])</f>
        <v>57000</v>
      </c>
      <c r="F2" s="18">
        <f>COUNTIF(Table8[Status],"overdue")</f>
        <v>2</v>
      </c>
      <c r="G2" s="18">
        <f>COUNTIF(Table8[Status],"Pending")</f>
        <v>3</v>
      </c>
      <c r="H2" s="18">
        <f>COUNTIF(Table8[Status],"Paid")</f>
        <v>5</v>
      </c>
      <c r="I2" s="16">
        <f>G2/A2</f>
        <v>0.3</v>
      </c>
      <c r="J2" s="16">
        <f>F2/A2</f>
        <v>0.2</v>
      </c>
      <c r="K2" s="17">
        <f>D2+E2</f>
        <v>103500</v>
      </c>
      <c r="L2" s="16">
        <f>K2/B2</f>
        <v>0.52405063291139242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AA788-266B-1D46-A752-96502F2942C6}">
  <dimension ref="A1:K12"/>
  <sheetViews>
    <sheetView zoomScale="132" workbookViewId="0">
      <selection activeCell="E22" sqref="E22"/>
    </sheetView>
  </sheetViews>
  <sheetFormatPr baseColWidth="10" defaultRowHeight="16" x14ac:dyDescent="0.2"/>
  <cols>
    <col min="1" max="1" width="14.1640625" style="4" bestFit="1" customWidth="1"/>
    <col min="2" max="2" width="16.6640625" style="4" bestFit="1" customWidth="1"/>
    <col min="3" max="3" width="12" style="4" bestFit="1" customWidth="1"/>
    <col min="4" max="4" width="16.1640625" style="4" bestFit="1" customWidth="1"/>
    <col min="5" max="5" width="18.83203125" style="4" bestFit="1" customWidth="1"/>
    <col min="6" max="6" width="11.5" style="4" bestFit="1" customWidth="1"/>
    <col min="7" max="7" width="13.83203125" style="4" bestFit="1" customWidth="1"/>
    <col min="8" max="8" width="14.33203125" style="4" customWidth="1"/>
    <col min="9" max="9" width="15.33203125" style="4" bestFit="1" customWidth="1"/>
    <col min="10" max="10" width="20.83203125" style="4" bestFit="1" customWidth="1"/>
    <col min="11" max="11" width="19.1640625" style="4" bestFit="1" customWidth="1"/>
    <col min="12" max="16384" width="10.83203125" style="4"/>
  </cols>
  <sheetData>
    <row r="1" spans="1:11" s="1" customFormat="1" x14ac:dyDescent="0.2">
      <c r="A1" s="6" t="s">
        <v>14</v>
      </c>
      <c r="B1" s="6" t="s">
        <v>15</v>
      </c>
      <c r="C1" s="6" t="s">
        <v>8</v>
      </c>
      <c r="D1" s="6" t="s">
        <v>16</v>
      </c>
      <c r="E1" s="6" t="s">
        <v>17</v>
      </c>
      <c r="F1" s="6" t="s">
        <v>5</v>
      </c>
      <c r="G1" s="6" t="s">
        <v>18</v>
      </c>
      <c r="H1" s="6" t="s">
        <v>19</v>
      </c>
      <c r="I1" s="7" t="s">
        <v>32</v>
      </c>
      <c r="J1" s="7" t="s">
        <v>31</v>
      </c>
      <c r="K1" s="7" t="s">
        <v>33</v>
      </c>
    </row>
    <row r="2" spans="1:11" x14ac:dyDescent="0.2">
      <c r="A2" s="19" t="s">
        <v>0</v>
      </c>
      <c r="B2" s="20">
        <v>46027</v>
      </c>
      <c r="C2" s="19" t="s">
        <v>9</v>
      </c>
      <c r="D2" s="19" t="s">
        <v>25</v>
      </c>
      <c r="E2" s="19">
        <v>12500</v>
      </c>
      <c r="F2" s="19" t="s">
        <v>6</v>
      </c>
      <c r="G2" s="20">
        <v>46057</v>
      </c>
      <c r="H2" s="20">
        <v>46050</v>
      </c>
      <c r="I2" s="21">
        <f ca="1">TODAY()-Table8[[#This Row],[Invoice Date]]</f>
        <v>250</v>
      </c>
      <c r="J2" s="20" t="str">
        <f ca="1">IF(Table8[[#This Row],[Invoice age]]&lt;=30,"Current",IF(Table8[[#This Row],[Invoice age]]&lt;=60,"31-60 days",IF(Table8[[#This Row],[Invoice age]]&lt;=90,"61-90","90+ days")))</f>
        <v>90+ days</v>
      </c>
      <c r="K2" s="20" t="str">
        <f>IF(Table8[[#This Row],[Status]]="Paid","Payment Completed","Payment Pending")</f>
        <v>Payment Completed</v>
      </c>
    </row>
    <row r="3" spans="1:11" x14ac:dyDescent="0.2">
      <c r="A3" s="19" t="s">
        <v>1</v>
      </c>
      <c r="B3" s="20">
        <v>46034</v>
      </c>
      <c r="C3" s="19" t="s">
        <v>10</v>
      </c>
      <c r="D3" s="19" t="s">
        <v>26</v>
      </c>
      <c r="E3" s="19">
        <v>28000</v>
      </c>
      <c r="F3" s="19" t="s">
        <v>7</v>
      </c>
      <c r="G3" s="20">
        <v>46064</v>
      </c>
      <c r="H3" s="20"/>
      <c r="I3" s="21">
        <f ca="1">TODAY()-Table8[[#This Row],[Invoice Date]]</f>
        <v>243</v>
      </c>
      <c r="J3" s="20" t="str">
        <f ca="1">IF(Table8[[#This Row],[Invoice age]]&lt;=30,"Current",IF(Table8[[#This Row],[Invoice age]]&lt;=60,"31-60 days",IF(Table8[[#This Row],[Invoice age]]&lt;=90,"61-90","90+ days")))</f>
        <v>90+ days</v>
      </c>
      <c r="K3" s="20" t="str">
        <f>IF(Table8[[#This Row],[Status]]="Paid","Payment Completed","Payment Pending")</f>
        <v>Payment Pending</v>
      </c>
    </row>
    <row r="4" spans="1:11" x14ac:dyDescent="0.2">
      <c r="A4" s="19" t="s">
        <v>2</v>
      </c>
      <c r="B4" s="20">
        <v>46042</v>
      </c>
      <c r="C4" s="19" t="s">
        <v>11</v>
      </c>
      <c r="D4" s="19" t="s">
        <v>27</v>
      </c>
      <c r="E4" s="19">
        <v>8500</v>
      </c>
      <c r="F4" s="19" t="s">
        <v>6</v>
      </c>
      <c r="G4" s="20">
        <v>46072</v>
      </c>
      <c r="H4" s="20">
        <v>46068</v>
      </c>
      <c r="I4" s="21">
        <f ca="1">TODAY()-Table8[[#This Row],[Invoice Date]]</f>
        <v>235</v>
      </c>
      <c r="J4" s="20" t="str">
        <f ca="1">IF(Table8[[#This Row],[Invoice age]]&lt;=30,"Current",IF(Table8[[#This Row],[Invoice age]]&lt;=60,"31-60 days",IF(Table8[[#This Row],[Invoice age]]&lt;=90,"61-90","90+ days")))</f>
        <v>90+ days</v>
      </c>
      <c r="K4" s="20" t="str">
        <f>IF(Table8[[#This Row],[Status]]="Paid","Payment Completed","Payment Pending")</f>
        <v>Payment Completed</v>
      </c>
    </row>
    <row r="5" spans="1:11" x14ac:dyDescent="0.2">
      <c r="A5" s="19" t="s">
        <v>3</v>
      </c>
      <c r="B5" s="20">
        <v>46056</v>
      </c>
      <c r="C5" s="19" t="s">
        <v>9</v>
      </c>
      <c r="D5" s="19" t="s">
        <v>28</v>
      </c>
      <c r="E5" s="19">
        <v>15000</v>
      </c>
      <c r="F5" s="19" t="s">
        <v>29</v>
      </c>
      <c r="G5" s="20">
        <v>46086</v>
      </c>
      <c r="H5" s="20"/>
      <c r="I5" s="21">
        <f ca="1">TODAY()-Table8[[#This Row],[Invoice Date]]</f>
        <v>221</v>
      </c>
      <c r="J5" s="20" t="str">
        <f ca="1">IF(Table8[[#This Row],[Invoice age]]&lt;=30,"Current",IF(Table8[[#This Row],[Invoice age]]&lt;=60,"31-60 days",IF(Table8[[#This Row],[Invoice age]]&lt;=90,"61-90","90+ days")))</f>
        <v>90+ days</v>
      </c>
      <c r="K5" s="20" t="str">
        <f>IF(Table8[[#This Row],[Status]]="Paid","Payment Completed","Payment Pending")</f>
        <v>Payment Pending</v>
      </c>
    </row>
    <row r="6" spans="1:11" x14ac:dyDescent="0.2">
      <c r="A6" s="19" t="s">
        <v>4</v>
      </c>
      <c r="B6" s="20">
        <v>46068</v>
      </c>
      <c r="C6" s="19" t="s">
        <v>30</v>
      </c>
      <c r="D6" s="19" t="s">
        <v>25</v>
      </c>
      <c r="E6" s="19">
        <v>32000</v>
      </c>
      <c r="F6" s="19" t="s">
        <v>6</v>
      </c>
      <c r="G6" s="20">
        <v>46098</v>
      </c>
      <c r="H6" s="20">
        <v>46091</v>
      </c>
      <c r="I6" s="21">
        <f ca="1">TODAY()-Table8[[#This Row],[Invoice Date]]</f>
        <v>209</v>
      </c>
      <c r="J6" s="20" t="str">
        <f ca="1">IF(Table8[[#This Row],[Invoice age]]&lt;=30,"Current",IF(Table8[[#This Row],[Invoice age]]&lt;=60,"31-60 days",IF(Table8[[#This Row],[Invoice age]]&lt;=90,"61-90","90+ days")))</f>
        <v>90+ days</v>
      </c>
      <c r="K6" s="20" t="str">
        <f>IF(Table8[[#This Row],[Status]]="Paid","Payment Completed","Payment Pending")</f>
        <v>Payment Completed</v>
      </c>
    </row>
    <row r="7" spans="1:11" x14ac:dyDescent="0.2">
      <c r="A7" s="19" t="s">
        <v>20</v>
      </c>
      <c r="B7" s="20">
        <v>46078</v>
      </c>
      <c r="C7" s="19" t="s">
        <v>10</v>
      </c>
      <c r="D7" s="19" t="s">
        <v>26</v>
      </c>
      <c r="E7" s="19">
        <v>7500</v>
      </c>
      <c r="F7" s="19" t="s">
        <v>7</v>
      </c>
      <c r="G7" s="20">
        <v>46108</v>
      </c>
      <c r="H7" s="20"/>
      <c r="I7" s="21">
        <f ca="1">TODAY()-Table8[[#This Row],[Invoice Date]]</f>
        <v>199</v>
      </c>
      <c r="J7" s="20" t="str">
        <f ca="1">IF(Table8[[#This Row],[Invoice age]]&lt;=30,"Current",IF(Table8[[#This Row],[Invoice age]]&lt;=60,"31-60 days",IF(Table8[[#This Row],[Invoice age]]&lt;=90,"61-90","90+ days")))</f>
        <v>90+ days</v>
      </c>
      <c r="K7" s="20" t="str">
        <f>IF(Table8[[#This Row],[Status]]="Paid","Payment Completed","Payment Pending")</f>
        <v>Payment Pending</v>
      </c>
    </row>
    <row r="8" spans="1:11" x14ac:dyDescent="0.2">
      <c r="A8" s="19" t="s">
        <v>21</v>
      </c>
      <c r="B8" s="20">
        <v>46091</v>
      </c>
      <c r="C8" s="19" t="s">
        <v>11</v>
      </c>
      <c r="D8" s="19" t="s">
        <v>27</v>
      </c>
      <c r="E8" s="19">
        <v>18500</v>
      </c>
      <c r="F8" s="19" t="s">
        <v>6</v>
      </c>
      <c r="G8" s="20">
        <v>46121</v>
      </c>
      <c r="H8" s="20">
        <v>46117</v>
      </c>
      <c r="I8" s="21">
        <f ca="1">TODAY()-Table8[[#This Row],[Invoice Date]]</f>
        <v>186</v>
      </c>
      <c r="J8" s="20" t="str">
        <f ca="1">IF(Table8[[#This Row],[Invoice age]]&lt;=30,"Current",IF(Table8[[#This Row],[Invoice age]]&lt;=60,"31-60 days",IF(Table8[[#This Row],[Invoice age]]&lt;=90,"61-90","90+ days")))</f>
        <v>90+ days</v>
      </c>
      <c r="K8" s="20" t="str">
        <f>IF(Table8[[#This Row],[Status]]="Paid","Payment Completed","Payment Pending")</f>
        <v>Payment Completed</v>
      </c>
    </row>
    <row r="9" spans="1:11" x14ac:dyDescent="0.2">
      <c r="A9" s="19" t="s">
        <v>22</v>
      </c>
      <c r="B9" s="20">
        <v>46099</v>
      </c>
      <c r="C9" s="19" t="s">
        <v>9</v>
      </c>
      <c r="D9" s="19" t="s">
        <v>25</v>
      </c>
      <c r="E9" s="19">
        <v>42000</v>
      </c>
      <c r="F9" s="19" t="s">
        <v>29</v>
      </c>
      <c r="G9" s="20">
        <v>46129</v>
      </c>
      <c r="H9" s="20"/>
      <c r="I9" s="21">
        <f ca="1">TODAY()-Table8[[#This Row],[Invoice Date]]</f>
        <v>178</v>
      </c>
      <c r="J9" s="20" t="str">
        <f ca="1">IF(Table8[[#This Row],[Invoice age]]&lt;=30,"Current",IF(Table8[[#This Row],[Invoice age]]&lt;=60,"31-60 days",IF(Table8[[#This Row],[Invoice age]]&lt;=90,"61-90","90+ days")))</f>
        <v>90+ days</v>
      </c>
      <c r="K9" s="20" t="str">
        <f>IF(Table8[[#This Row],[Status]]="Paid","Payment Completed","Payment Pending")</f>
        <v>Payment Pending</v>
      </c>
    </row>
    <row r="10" spans="1:11" x14ac:dyDescent="0.2">
      <c r="A10" s="19" t="s">
        <v>23</v>
      </c>
      <c r="B10" s="20">
        <v>46114</v>
      </c>
      <c r="C10" s="19" t="s">
        <v>30</v>
      </c>
      <c r="D10" s="19" t="s">
        <v>28</v>
      </c>
      <c r="E10" s="19">
        <v>11000</v>
      </c>
      <c r="F10" s="19" t="s">
        <v>7</v>
      </c>
      <c r="G10" s="20">
        <v>46144</v>
      </c>
      <c r="H10" s="20"/>
      <c r="I10" s="21">
        <f ca="1">TODAY()-Table8[[#This Row],[Invoice Date]]</f>
        <v>163</v>
      </c>
      <c r="J10" s="20" t="str">
        <f ca="1">IF(Table8[[#This Row],[Invoice age]]&lt;=30,"Current",IF(Table8[[#This Row],[Invoice age]]&lt;=60,"31-60 days",IF(Table8[[#This Row],[Invoice age]]&lt;=90,"61-90","90+ days")))</f>
        <v>90+ days</v>
      </c>
      <c r="K10" s="20" t="str">
        <f>IF(Table8[[#This Row],[Status]]="Paid","Payment Completed","Payment Pending")</f>
        <v>Payment Pending</v>
      </c>
    </row>
    <row r="11" spans="1:11" x14ac:dyDescent="0.2">
      <c r="A11" s="19" t="s">
        <v>24</v>
      </c>
      <c r="B11" s="20">
        <v>46127</v>
      </c>
      <c r="C11" s="19" t="s">
        <v>10</v>
      </c>
      <c r="D11" s="19" t="s">
        <v>26</v>
      </c>
      <c r="E11" s="19">
        <v>22500</v>
      </c>
      <c r="F11" s="19" t="s">
        <v>6</v>
      </c>
      <c r="G11" s="20">
        <v>46157</v>
      </c>
      <c r="H11" s="20">
        <v>46150</v>
      </c>
      <c r="I11" s="21">
        <f ca="1">TODAY()-Table8[[#This Row],[Invoice Date]]</f>
        <v>150</v>
      </c>
      <c r="J11" s="20" t="str">
        <f ca="1">IF(Table8[[#This Row],[Invoice age]]&lt;=30,"Current",IF(Table8[[#This Row],[Invoice age]]&lt;=60,"31-60 days",IF(Table8[[#This Row],[Invoice age]]&lt;=90,"61-90","90+ days")))</f>
        <v>90+ days</v>
      </c>
      <c r="K11" s="20" t="str">
        <f>IF(Table8[[#This Row],[Status]]="Paid","Payment Completed","Payment Pending")</f>
        <v>Payment Completed</v>
      </c>
    </row>
    <row r="12" spans="1:11" ht="17" x14ac:dyDescent="0.25">
      <c r="B12" s="5"/>
      <c r="C12" s="5"/>
    </row>
  </sheetData>
  <phoneticPr fontId="2" type="noConversion"/>
  <conditionalFormatting sqref="J2:J11">
    <cfRule type="colorScale" priority="1">
      <colorScale>
        <cfvo type="num" val="30"/>
        <cfvo type="num" val="60"/>
        <color rgb="FFFF7128"/>
        <color rgb="FFFFEF9C"/>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FC80F-7CAB-E44C-B680-E82FAA1FE099}">
  <dimension ref="A3:B44"/>
  <sheetViews>
    <sheetView zoomScale="125" workbookViewId="0">
      <selection activeCell="A8" sqref="A8"/>
    </sheetView>
  </sheetViews>
  <sheetFormatPr baseColWidth="10" defaultRowHeight="16" x14ac:dyDescent="0.2"/>
  <cols>
    <col min="1" max="1" width="18.83203125" style="1" bestFit="1" customWidth="1"/>
    <col min="2" max="2" width="20" style="1" bestFit="1" customWidth="1"/>
    <col min="3" max="3" width="16" style="1" bestFit="1" customWidth="1"/>
    <col min="4" max="4" width="10.5" style="1" bestFit="1" customWidth="1"/>
    <col min="5" max="16384" width="10.83203125" style="1"/>
  </cols>
  <sheetData>
    <row r="3" spans="1:2" x14ac:dyDescent="0.2">
      <c r="A3" s="2" t="s">
        <v>13</v>
      </c>
      <c r="B3" t="s">
        <v>35</v>
      </c>
    </row>
    <row r="4" spans="1:2" x14ac:dyDescent="0.2">
      <c r="A4" s="3" t="s">
        <v>29</v>
      </c>
      <c r="B4" s="12">
        <v>57000</v>
      </c>
    </row>
    <row r="5" spans="1:2" x14ac:dyDescent="0.2">
      <c r="A5" s="8" t="s">
        <v>9</v>
      </c>
      <c r="B5" s="12">
        <v>57000</v>
      </c>
    </row>
    <row r="6" spans="1:2" x14ac:dyDescent="0.2">
      <c r="A6" s="9" t="s">
        <v>36</v>
      </c>
      <c r="B6" s="12">
        <v>15000</v>
      </c>
    </row>
    <row r="7" spans="1:2" x14ac:dyDescent="0.2">
      <c r="A7" s="10" t="s">
        <v>40</v>
      </c>
      <c r="B7" s="12">
        <v>15000</v>
      </c>
    </row>
    <row r="8" spans="1:2" x14ac:dyDescent="0.2">
      <c r="A8" s="11" t="s">
        <v>28</v>
      </c>
      <c r="B8" s="12">
        <v>15000</v>
      </c>
    </row>
    <row r="9" spans="1:2" x14ac:dyDescent="0.2">
      <c r="A9" s="9" t="s">
        <v>37</v>
      </c>
      <c r="B9" s="12">
        <v>42000</v>
      </c>
    </row>
    <row r="10" spans="1:2" x14ac:dyDescent="0.2">
      <c r="A10" s="10" t="s">
        <v>41</v>
      </c>
      <c r="B10" s="12">
        <v>42000</v>
      </c>
    </row>
    <row r="11" spans="1:2" x14ac:dyDescent="0.2">
      <c r="A11" s="11" t="s">
        <v>25</v>
      </c>
      <c r="B11" s="12">
        <v>42000</v>
      </c>
    </row>
    <row r="12" spans="1:2" x14ac:dyDescent="0.2">
      <c r="A12" s="3" t="s">
        <v>6</v>
      </c>
      <c r="B12" s="12">
        <v>94000</v>
      </c>
    </row>
    <row r="13" spans="1:2" x14ac:dyDescent="0.2">
      <c r="A13" s="8" t="s">
        <v>9</v>
      </c>
      <c r="B13" s="12">
        <v>12500</v>
      </c>
    </row>
    <row r="14" spans="1:2" x14ac:dyDescent="0.2">
      <c r="A14" s="9" t="s">
        <v>38</v>
      </c>
      <c r="B14" s="12">
        <v>12500</v>
      </c>
    </row>
    <row r="15" spans="1:2" x14ac:dyDescent="0.2">
      <c r="A15" s="10" t="s">
        <v>42</v>
      </c>
      <c r="B15" s="12">
        <v>12500</v>
      </c>
    </row>
    <row r="16" spans="1:2" x14ac:dyDescent="0.2">
      <c r="A16" s="11" t="s">
        <v>25</v>
      </c>
      <c r="B16" s="12">
        <v>12500</v>
      </c>
    </row>
    <row r="17" spans="1:2" x14ac:dyDescent="0.2">
      <c r="A17" s="8" t="s">
        <v>30</v>
      </c>
      <c r="B17" s="12">
        <v>32000</v>
      </c>
    </row>
    <row r="18" spans="1:2" x14ac:dyDescent="0.2">
      <c r="A18" s="9" t="s">
        <v>36</v>
      </c>
      <c r="B18" s="12">
        <v>32000</v>
      </c>
    </row>
    <row r="19" spans="1:2" x14ac:dyDescent="0.2">
      <c r="A19" s="10" t="s">
        <v>43</v>
      </c>
      <c r="B19" s="12">
        <v>32000</v>
      </c>
    </row>
    <row r="20" spans="1:2" x14ac:dyDescent="0.2">
      <c r="A20" s="11" t="s">
        <v>25</v>
      </c>
      <c r="B20" s="12">
        <v>32000</v>
      </c>
    </row>
    <row r="21" spans="1:2" x14ac:dyDescent="0.2">
      <c r="A21" s="8" t="s">
        <v>11</v>
      </c>
      <c r="B21" s="12">
        <v>27000</v>
      </c>
    </row>
    <row r="22" spans="1:2" x14ac:dyDescent="0.2">
      <c r="A22" s="9" t="s">
        <v>38</v>
      </c>
      <c r="B22" s="12">
        <v>8500</v>
      </c>
    </row>
    <row r="23" spans="1:2" x14ac:dyDescent="0.2">
      <c r="A23" s="10" t="s">
        <v>44</v>
      </c>
      <c r="B23" s="12">
        <v>8500</v>
      </c>
    </row>
    <row r="24" spans="1:2" x14ac:dyDescent="0.2">
      <c r="A24" s="11" t="s">
        <v>27</v>
      </c>
      <c r="B24" s="12">
        <v>8500</v>
      </c>
    </row>
    <row r="25" spans="1:2" x14ac:dyDescent="0.2">
      <c r="A25" s="9" t="s">
        <v>37</v>
      </c>
      <c r="B25" s="12">
        <v>18500</v>
      </c>
    </row>
    <row r="26" spans="1:2" x14ac:dyDescent="0.2">
      <c r="A26" s="10" t="s">
        <v>45</v>
      </c>
      <c r="B26" s="12">
        <v>18500</v>
      </c>
    </row>
    <row r="27" spans="1:2" x14ac:dyDescent="0.2">
      <c r="A27" s="11" t="s">
        <v>27</v>
      </c>
      <c r="B27" s="12">
        <v>18500</v>
      </c>
    </row>
    <row r="28" spans="1:2" x14ac:dyDescent="0.2">
      <c r="A28" s="8" t="s">
        <v>10</v>
      </c>
      <c r="B28" s="12">
        <v>22500</v>
      </c>
    </row>
    <row r="29" spans="1:2" x14ac:dyDescent="0.2">
      <c r="A29" s="9" t="s">
        <v>39</v>
      </c>
      <c r="B29" s="12">
        <v>22500</v>
      </c>
    </row>
    <row r="30" spans="1:2" x14ac:dyDescent="0.2">
      <c r="A30" s="10" t="s">
        <v>46</v>
      </c>
      <c r="B30" s="12">
        <v>22500</v>
      </c>
    </row>
    <row r="31" spans="1:2" x14ac:dyDescent="0.2">
      <c r="A31" s="11" t="s">
        <v>26</v>
      </c>
      <c r="B31" s="12">
        <v>22500</v>
      </c>
    </row>
    <row r="32" spans="1:2" x14ac:dyDescent="0.2">
      <c r="A32" s="3" t="s">
        <v>7</v>
      </c>
      <c r="B32" s="12">
        <v>46500</v>
      </c>
    </row>
    <row r="33" spans="1:2" x14ac:dyDescent="0.2">
      <c r="A33" s="8" t="s">
        <v>30</v>
      </c>
      <c r="B33" s="12">
        <v>11000</v>
      </c>
    </row>
    <row r="34" spans="1:2" x14ac:dyDescent="0.2">
      <c r="A34" s="9" t="s">
        <v>39</v>
      </c>
      <c r="B34" s="12">
        <v>11000</v>
      </c>
    </row>
    <row r="35" spans="1:2" x14ac:dyDescent="0.2">
      <c r="A35" s="10" t="s">
        <v>47</v>
      </c>
      <c r="B35" s="12">
        <v>11000</v>
      </c>
    </row>
    <row r="36" spans="1:2" x14ac:dyDescent="0.2">
      <c r="A36" s="11" t="s">
        <v>28</v>
      </c>
      <c r="B36" s="12">
        <v>11000</v>
      </c>
    </row>
    <row r="37" spans="1:2" x14ac:dyDescent="0.2">
      <c r="A37" s="8" t="s">
        <v>10</v>
      </c>
      <c r="B37" s="12">
        <v>35500</v>
      </c>
    </row>
    <row r="38" spans="1:2" x14ac:dyDescent="0.2">
      <c r="A38" s="9" t="s">
        <v>38</v>
      </c>
      <c r="B38" s="12">
        <v>28000</v>
      </c>
    </row>
    <row r="39" spans="1:2" x14ac:dyDescent="0.2">
      <c r="A39" s="10" t="s">
        <v>48</v>
      </c>
      <c r="B39" s="12">
        <v>28000</v>
      </c>
    </row>
    <row r="40" spans="1:2" x14ac:dyDescent="0.2">
      <c r="A40" s="11" t="s">
        <v>26</v>
      </c>
      <c r="B40" s="12">
        <v>28000</v>
      </c>
    </row>
    <row r="41" spans="1:2" x14ac:dyDescent="0.2">
      <c r="A41" s="9" t="s">
        <v>36</v>
      </c>
      <c r="B41" s="12">
        <v>7500</v>
      </c>
    </row>
    <row r="42" spans="1:2" x14ac:dyDescent="0.2">
      <c r="A42" s="10" t="s">
        <v>49</v>
      </c>
      <c r="B42" s="12">
        <v>7500</v>
      </c>
    </row>
    <row r="43" spans="1:2" x14ac:dyDescent="0.2">
      <c r="A43" s="11" t="s">
        <v>26</v>
      </c>
      <c r="B43" s="12">
        <v>7500</v>
      </c>
    </row>
    <row r="44" spans="1:2" x14ac:dyDescent="0.2">
      <c r="A44" s="3" t="s">
        <v>12</v>
      </c>
      <c r="B44" s="12">
        <v>197500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72E9E-489D-E84C-8257-80ED6410E70F}">
  <dimension ref="A3:E9"/>
  <sheetViews>
    <sheetView workbookViewId="0">
      <selection activeCell="I18" sqref="I18"/>
    </sheetView>
  </sheetViews>
  <sheetFormatPr baseColWidth="10" defaultRowHeight="16" x14ac:dyDescent="0.2"/>
  <cols>
    <col min="1" max="1" width="20" style="1" bestFit="1" customWidth="1"/>
    <col min="2" max="2" width="16" style="1" bestFit="1" customWidth="1"/>
    <col min="3" max="3" width="6.1640625" style="1" bestFit="1" customWidth="1"/>
    <col min="4" max="4" width="7.83203125" style="1" bestFit="1" customWidth="1"/>
    <col min="5" max="5" width="10.5" style="1" bestFit="1" customWidth="1"/>
    <col min="6" max="16384" width="10.83203125" style="1"/>
  </cols>
  <sheetData>
    <row r="3" spans="1:5" customFormat="1" x14ac:dyDescent="0.2">
      <c r="A3" s="2" t="s">
        <v>35</v>
      </c>
      <c r="B3" s="2" t="s">
        <v>34</v>
      </c>
    </row>
    <row r="4" spans="1:5" x14ac:dyDescent="0.2">
      <c r="A4" s="2" t="s">
        <v>13</v>
      </c>
      <c r="B4" t="s">
        <v>29</v>
      </c>
      <c r="C4" t="s">
        <v>6</v>
      </c>
      <c r="D4" t="s">
        <v>7</v>
      </c>
      <c r="E4" t="s">
        <v>12</v>
      </c>
    </row>
    <row r="5" spans="1:5" x14ac:dyDescent="0.2">
      <c r="A5" s="3" t="s">
        <v>9</v>
      </c>
      <c r="B5" s="12">
        <v>57000</v>
      </c>
      <c r="C5" s="12">
        <v>12500</v>
      </c>
      <c r="D5" s="12"/>
      <c r="E5" s="12">
        <v>69500</v>
      </c>
    </row>
    <row r="6" spans="1:5" x14ac:dyDescent="0.2">
      <c r="A6" s="3" t="s">
        <v>30</v>
      </c>
      <c r="B6" s="12"/>
      <c r="C6" s="12">
        <v>32000</v>
      </c>
      <c r="D6" s="12">
        <v>11000</v>
      </c>
      <c r="E6" s="12">
        <v>43000</v>
      </c>
    </row>
    <row r="7" spans="1:5" x14ac:dyDescent="0.2">
      <c r="A7" s="3" t="s">
        <v>11</v>
      </c>
      <c r="B7" s="12"/>
      <c r="C7" s="12">
        <v>27000</v>
      </c>
      <c r="D7" s="12"/>
      <c r="E7" s="12">
        <v>27000</v>
      </c>
    </row>
    <row r="8" spans="1:5" x14ac:dyDescent="0.2">
      <c r="A8" s="3" t="s">
        <v>10</v>
      </c>
      <c r="B8" s="12"/>
      <c r="C8" s="12">
        <v>22500</v>
      </c>
      <c r="D8" s="12">
        <v>35500</v>
      </c>
      <c r="E8" s="12">
        <v>58000</v>
      </c>
    </row>
    <row r="9" spans="1:5" x14ac:dyDescent="0.2">
      <c r="A9" s="3" t="s">
        <v>12</v>
      </c>
      <c r="B9" s="12">
        <v>57000</v>
      </c>
      <c r="C9" s="12">
        <v>94000</v>
      </c>
      <c r="D9" s="12">
        <v>46500</v>
      </c>
      <c r="E9" s="12">
        <v>197500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AP Dashboard</vt:lpstr>
      <vt:lpstr>Ap Invoice </vt:lpstr>
      <vt:lpstr>Data analysis 1</vt:lpstr>
      <vt:lpstr>Data anaysis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Adithiya</dc:creator>
  <cp:lastModifiedBy>Adithiya</cp:lastModifiedBy>
  <dcterms:created xsi:type="dcterms:W3CDTF">2026-09-10T15:34:52Z</dcterms:created>
  <dcterms:modified xsi:type="dcterms:W3CDTF">2026-09-12T12:28:07Z</dcterms:modified>
</cp:coreProperties>
</file>