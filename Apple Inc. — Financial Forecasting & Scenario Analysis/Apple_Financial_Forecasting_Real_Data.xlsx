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adithiya/FInance_ projects_ /"/>
    </mc:Choice>
  </mc:AlternateContent>
  <xr:revisionPtr revIDLastSave="0" documentId="8_{7E251E89-1F6A-7C42-8303-176576D96B97}" xr6:coauthVersionLast="47" xr6:coauthVersionMax="47" xr10:uidLastSave="{00000000-0000-0000-0000-000000000000}"/>
  <bookViews>
    <workbookView xWindow="760" yWindow="620" windowWidth="32840" windowHeight="20380" xr2:uid="{00000000-000D-0000-FFFF-FFFF00000000}"/>
  </bookViews>
  <sheets>
    <sheet name="Historical_Financials" sheetId="1" r:id="rId1"/>
    <sheet name="Assumptions" sheetId="2" r:id="rId2"/>
    <sheet name="Revenue_Forecast" sheetId="3" r:id="rId3"/>
    <sheet name="P&amp;L_Forecast" sheetId="4" r:id="rId4"/>
    <sheet name="Cash_Flow_Forecast" sheetId="5" r:id="rId5"/>
    <sheet name="Scenario_Analysis" sheetId="6" r:id="rId6"/>
    <sheet name="Dashboard" sheetId="7" r:id="rId7"/>
    <sheet name="Sources" sheetId="8" r:id="rId8"/>
    <sheet name="Formula_Guide" sheetId="9" r:id="rId9"/>
  </sheets>
  <externalReferences>
    <externalReference r:id="rId1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7" l="1"/>
  <c r="C12" i="7"/>
  <c r="B12" i="7"/>
  <c r="D11" i="7"/>
  <c r="C11" i="7"/>
  <c r="B11" i="7"/>
  <c r="D10" i="7"/>
  <c r="C10" i="7"/>
  <c r="B10" i="7"/>
  <c r="G5" i="7"/>
  <c r="E5" i="7"/>
  <c r="C5" i="7"/>
  <c r="A5" i="7"/>
  <c r="F6" i="6"/>
  <c r="G6" i="6" s="1"/>
  <c r="C6" i="6"/>
  <c r="B6" i="6"/>
  <c r="B5" i="6"/>
  <c r="C5" i="6" s="1"/>
  <c r="B4" i="6"/>
  <c r="C4" i="6" s="1"/>
  <c r="B10" i="5"/>
  <c r="C9" i="5"/>
  <c r="B9" i="5"/>
  <c r="B7" i="5"/>
  <c r="B8" i="5" s="1"/>
  <c r="D6" i="5"/>
  <c r="D8" i="5" s="1"/>
  <c r="C6" i="5"/>
  <c r="B6" i="5"/>
  <c r="D5" i="5"/>
  <c r="C5" i="5"/>
  <c r="B5" i="5"/>
  <c r="D4" i="5"/>
  <c r="C4" i="5"/>
  <c r="B4" i="5"/>
  <c r="B18" i="4"/>
  <c r="B12" i="4"/>
  <c r="B10" i="4"/>
  <c r="B17" i="4" s="1"/>
  <c r="B9" i="4"/>
  <c r="B8" i="4"/>
  <c r="B16" i="4" s="1"/>
  <c r="C7" i="4"/>
  <c r="D7" i="4" s="1"/>
  <c r="B7" i="4"/>
  <c r="B6" i="4"/>
  <c r="B15" i="4" s="1"/>
  <c r="B5" i="4"/>
  <c r="B4" i="4"/>
  <c r="B6" i="3"/>
  <c r="B7" i="3" s="1"/>
  <c r="B5" i="3"/>
  <c r="B4" i="3"/>
  <c r="C5" i="3" s="1"/>
  <c r="C9" i="2"/>
  <c r="B9" i="2"/>
  <c r="D7" i="5" s="1"/>
  <c r="D8" i="2"/>
  <c r="C8" i="2"/>
  <c r="B8" i="2"/>
  <c r="C7" i="2"/>
  <c r="B7" i="2"/>
  <c r="D7" i="2" s="1"/>
  <c r="D5" i="2"/>
  <c r="C5" i="2"/>
  <c r="B5" i="2"/>
  <c r="D6" i="6" s="1"/>
  <c r="E6" i="6" s="1"/>
  <c r="F27" i="1"/>
  <c r="E27" i="1"/>
  <c r="D27" i="1"/>
  <c r="C27" i="1"/>
  <c r="B27" i="1"/>
  <c r="F26" i="1"/>
  <c r="E26" i="1"/>
  <c r="D26" i="1"/>
  <c r="C26" i="1"/>
  <c r="B26" i="1"/>
  <c r="E25" i="1"/>
  <c r="D25" i="1"/>
  <c r="C25" i="1"/>
  <c r="F24" i="1"/>
  <c r="F25" i="1" s="1"/>
  <c r="E24" i="1"/>
  <c r="D24" i="1"/>
  <c r="C24" i="1"/>
  <c r="B24" i="1"/>
  <c r="B25" i="1" s="1"/>
  <c r="F21" i="1"/>
  <c r="E21" i="1"/>
  <c r="D21" i="1"/>
  <c r="C21" i="1"/>
  <c r="B21" i="1"/>
  <c r="F20" i="1"/>
  <c r="E20" i="1"/>
  <c r="D20" i="1"/>
  <c r="C20" i="1"/>
  <c r="B8" i="3" l="1"/>
  <c r="C7" i="3"/>
  <c r="C4" i="4"/>
  <c r="F4" i="6"/>
  <c r="G4" i="6" s="1"/>
  <c r="D4" i="6"/>
  <c r="E4" i="6" s="1"/>
  <c r="F5" i="6"/>
  <c r="G5" i="6" s="1"/>
  <c r="D5" i="6"/>
  <c r="E5" i="6" s="1"/>
  <c r="C6" i="3"/>
  <c r="B11" i="4"/>
  <c r="B13" i="4" s="1"/>
  <c r="D9" i="2"/>
  <c r="C11" i="4"/>
  <c r="C7" i="5"/>
  <c r="C8" i="5" s="1"/>
  <c r="C10" i="5" s="1"/>
  <c r="D9" i="5" s="1"/>
  <c r="D10" i="5" s="1"/>
  <c r="C5" i="4" l="1"/>
  <c r="C6" i="4"/>
  <c r="C9" i="4"/>
  <c r="D4" i="4"/>
  <c r="C8" i="3"/>
  <c r="D5" i="4" l="1"/>
  <c r="D9" i="4"/>
  <c r="D6" i="4"/>
  <c r="C8" i="4"/>
  <c r="C15" i="4"/>
  <c r="C16" i="4" l="1"/>
  <c r="C10" i="4"/>
  <c r="D8" i="4"/>
  <c r="D15" i="4"/>
  <c r="D16" i="4" l="1"/>
  <c r="D10" i="4"/>
  <c r="C17" i="4"/>
  <c r="C12" i="4"/>
  <c r="D11" i="4"/>
  <c r="C13" i="4" l="1"/>
  <c r="C14" i="4" s="1"/>
  <c r="C18" i="4" s="1"/>
  <c r="D12" i="4"/>
  <c r="D17" i="4"/>
  <c r="D13" i="4" l="1"/>
  <c r="D14" i="4"/>
  <c r="D18" i="4" s="1"/>
</calcChain>
</file>

<file path=xl/sharedStrings.xml><?xml version="1.0" encoding="utf-8"?>
<sst xmlns="http://schemas.openxmlformats.org/spreadsheetml/2006/main" count="172" uniqueCount="120">
  <si>
    <t>Apple Inc. — Historical Financials</t>
  </si>
  <si>
    <t>SEC-reported data | USD millions | FY2021–FY2025</t>
  </si>
  <si>
    <t>Metric</t>
  </si>
  <si>
    <t>FY2021</t>
  </si>
  <si>
    <t>FY2022</t>
  </si>
  <si>
    <t>FY2023</t>
  </si>
  <si>
    <t>FY2024</t>
  </si>
  <si>
    <t>FY2025</t>
  </si>
  <si>
    <t>Revenue</t>
  </si>
  <si>
    <t>Cost of Sales</t>
  </si>
  <si>
    <t>Gross Profit</t>
  </si>
  <si>
    <t>R&amp;D</t>
  </si>
  <si>
    <t>SG&amp;A</t>
  </si>
  <si>
    <t>Operating Expenses</t>
  </si>
  <si>
    <t>Operating Income</t>
  </si>
  <si>
    <t>Other Income/(Expense)</t>
  </si>
  <si>
    <t>Pretax Income</t>
  </si>
  <si>
    <t>Income Tax</t>
  </si>
  <si>
    <t>Net Income</t>
  </si>
  <si>
    <t>D&amp;A</t>
  </si>
  <si>
    <t>Operating Cash Flow</t>
  </si>
  <si>
    <t>Capex</t>
  </si>
  <si>
    <t>Ending Cash</t>
  </si>
  <si>
    <t>Revenue Growth %</t>
  </si>
  <si>
    <t>Gross Margin %</t>
  </si>
  <si>
    <t>Fiscal year ends</t>
  </si>
  <si>
    <t>Sep 25, 2021</t>
  </si>
  <si>
    <t>Sep 24, 2022</t>
  </si>
  <si>
    <t>Sep 30, 2023</t>
  </si>
  <si>
    <t>Sep 28, 2024</t>
  </si>
  <si>
    <t>Sep 27, 2025</t>
  </si>
  <si>
    <t>Note: FY2023 had 53 weeks; FY2024 and FY2025 had 52 weeks.</t>
  </si>
  <si>
    <t>EBITDA</t>
  </si>
  <si>
    <t>EBITDA Margin %</t>
  </si>
  <si>
    <t>OCF Margin %</t>
  </si>
  <si>
    <t>Capex % Revenue</t>
  </si>
  <si>
    <t>Forecast Assumptions</t>
  </si>
  <si>
    <t>Assumption</t>
  </si>
  <si>
    <t>Base</t>
  </si>
  <si>
    <t>Downside</t>
  </si>
  <si>
    <t>Upside</t>
  </si>
  <si>
    <t>Revenue Growth</t>
  </si>
  <si>
    <t>COGS % Revenue</t>
  </si>
  <si>
    <t>Operating Expense Growth</t>
  </si>
  <si>
    <t>Tax Rate</t>
  </si>
  <si>
    <t>D&amp;A % Revenue</t>
  </si>
  <si>
    <t>Apple Inc. — Revenue Forecast</t>
  </si>
  <si>
    <t>Fiscal Year</t>
  </si>
  <si>
    <t>YoY Growth</t>
  </si>
  <si>
    <t>Type</t>
  </si>
  <si>
    <t>Actual</t>
  </si>
  <si>
    <t>FY2026E</t>
  </si>
  <si>
    <t>Forecast</t>
  </si>
  <si>
    <t>FY2027E</t>
  </si>
  <si>
    <t>Apple Inc. — P&amp;L Forecast</t>
  </si>
  <si>
    <t>FY2025A</t>
  </si>
  <si>
    <t>COGS</t>
  </si>
  <si>
    <t>Gross Margin</t>
  </si>
  <si>
    <t>Operating Margin</t>
  </si>
  <si>
    <t>EBITDA Margin</t>
  </si>
  <si>
    <t>Net Margin</t>
  </si>
  <si>
    <t>Apple Inc. — Simplified Cash Flow Forecast</t>
  </si>
  <si>
    <t>Method</t>
  </si>
  <si>
    <t>Free Cash Flow</t>
  </si>
  <si>
    <t>Beginning Cash</t>
  </si>
  <si>
    <t>Apple Inc. — Scenario Analysis</t>
  </si>
  <si>
    <t>Scenario</t>
  </si>
  <si>
    <t>FY2026 Revenue</t>
  </si>
  <si>
    <t>FY2026 EBITDA</t>
  </si>
  <si>
    <t>FY2026 EBITDA Margin</t>
  </si>
  <si>
    <t>FY2027 Revenue</t>
  </si>
  <si>
    <t>FY2027 Net Income</t>
  </si>
  <si>
    <t>Apple Inc. — Financial Forecasting Dashboard</t>
  </si>
  <si>
    <t>Key Forecast KPIs</t>
  </si>
  <si>
    <t>FY2026 Net Income</t>
  </si>
  <si>
    <t>Model Notes</t>
  </si>
  <si>
    <t>Historical figures are from Apple SEC filings and are in USD millions.</t>
  </si>
  <si>
    <t>FY2026E/FY2027E are analyst-created estimates for portfolio learning, not Apple guidance.</t>
  </si>
  <si>
    <t>EBITDA is derived as Operating Income + D&amp;A; Apple does not report EBITDA as a GAAP line.</t>
  </si>
  <si>
    <t>Cash flow forecast is simplified: Net Income + D&amp;A = modeled OCF; FCF = OCF - Capex.</t>
  </si>
  <si>
    <t>Data Sources &amp; Modeling Notes</t>
  </si>
  <si>
    <t>Source</t>
  </si>
  <si>
    <t>Period</t>
  </si>
  <si>
    <t>Used For</t>
  </si>
  <si>
    <t>Official URL</t>
  </si>
  <si>
    <t>Notes</t>
  </si>
  <si>
    <t>SEC</t>
  </si>
  <si>
    <t>Apple FY2025 10-K</t>
  </si>
  <si>
    <t>FY2023–FY2025 P&amp;L, cash flow, balance sheet</t>
  </si>
  <si>
    <t>https://www.sec.gov/Archives/edgar/data/320193/000032019325000079/aapl-20250927.htm</t>
  </si>
  <si>
    <t>FY2025 ended Sep 27, 2025; statements in USD millions.</t>
  </si>
  <si>
    <t>Apple FY2022 10-K</t>
  </si>
  <si>
    <t>FY2021–FY2022 P&amp;L and cash flow</t>
  </si>
  <si>
    <t>https://www.sec.gov/Archives/edgar/data/320193/000032019322000108/aapl-20220924.htm</t>
  </si>
  <si>
    <t>FY2022 ended Sep 24, 2022; statements in USD millions.</t>
  </si>
  <si>
    <t>Apple FY2021 10-K</t>
  </si>
  <si>
    <t>FY2021 validation</t>
  </si>
  <si>
    <t>https://www.sec.gov/Archives/edgar/data/320193/000032019321000105/aapl-20210925.htm</t>
  </si>
  <si>
    <t>FY2021 ended Sep 25, 2021.</t>
  </si>
  <si>
    <t>Important</t>
  </si>
  <si>
    <t>FY2023 had 53 weeks; FY2024 and FY2025 had 52 weeks. Forecast assumptions are explicitly separated from historical reported data.</t>
  </si>
  <si>
    <t>Financial Modeling Formula Guide</t>
  </si>
  <si>
    <t>Formula</t>
  </si>
  <si>
    <t>Purpose</t>
  </si>
  <si>
    <t>Interview framing</t>
  </si>
  <si>
    <t>Current Revenue / Prior Revenue - 1</t>
  </si>
  <si>
    <t>Top-line momentum</t>
  </si>
  <si>
    <t>I use historical growth to establish a defensible forecast assumption.</t>
  </si>
  <si>
    <t>Gross Profit / Revenue</t>
  </si>
  <si>
    <t>Unit economics</t>
  </si>
  <si>
    <t>I monitor margin alongside revenue because growth alone does not show profitability.</t>
  </si>
  <si>
    <t>Operating Income / Revenue</t>
  </si>
  <si>
    <t>Operating efficiency</t>
  </si>
  <si>
    <t>Shows the portion of revenue converted into operating profit.</t>
  </si>
  <si>
    <t>Operating Income + D&amp;A</t>
  </si>
  <si>
    <t>Operating profit before D&amp;A</t>
  </si>
  <si>
    <t>Apple does not report EBITDA as GAAP, so I derive it transparently.</t>
  </si>
  <si>
    <t>Operating Cash Flow - Capex</t>
  </si>
  <si>
    <t>Cash generation after capital spending</t>
  </si>
  <si>
    <t>Connects earnings with cash available after investment.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</si>
</sst>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3"/>
      <name val="Calibri"/>
      <family val="2"/>
    </font>
    <font>
      <b/>
      <sz val="11"/>
      <color rgb="FF1F4E78"/>
      <name val="Calibri"/>
      <family val="2"/>
    </font>
    <font>
      <b/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  <xf numFmtId="3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3" fillId="0" borderId="0" xfId="0" applyFont="1" applyAlignment="1">
      <alignment vertical="center" wrapText="1"/>
    </xf>
    <xf numFmtId="164" fontId="0" fillId="0" borderId="0" xfId="0" applyNumberFormat="1"/>
    <xf numFmtId="3" fontId="0" fillId="0" borderId="0" xfId="0" applyNumberFormat="1"/>
    <xf numFmtId="0" fontId="4" fillId="0" borderId="0" xfId="0" applyFont="1" applyAlignment="1">
      <alignment vertical="center" wrapText="1"/>
    </xf>
    <xf numFmtId="0" fontId="5" fillId="3" borderId="0" xfId="0" applyFont="1" applyFill="1" applyAlignment="1">
      <alignment vertical="center" wrapText="1"/>
    </xf>
    <xf numFmtId="3" fontId="6" fillId="0" borderId="0" xfId="0" applyNumberFormat="1" applyFont="1" applyAlignment="1">
      <alignment vertical="center" wrapText="1"/>
    </xf>
    <xf numFmtId="164" fontId="6" fillId="0" borderId="0" xfId="0" applyNumberFormat="1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Revenue &amp; EBITDA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Dashboard!$B$9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Dashboard!$A$10:$A$12</c:f>
              <c:strCache>
                <c:ptCount val="3"/>
                <c:pt idx="0">
                  <c:v>FY2025A</c:v>
                </c:pt>
                <c:pt idx="1">
                  <c:v>FY2026E</c:v>
                </c:pt>
                <c:pt idx="2">
                  <c:v>FY2027E</c:v>
                </c:pt>
              </c:strCache>
            </c:strRef>
          </c:cat>
          <c:val>
            <c:numRef>
              <c:f>Dashboard!$B$10:$B$12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BA-7B42-BFFE-D9EEFF03280C}"/>
            </c:ext>
          </c:extLst>
        </c:ser>
        <c:ser>
          <c:idx val="1"/>
          <c:order val="1"/>
          <c:tx>
            <c:strRef>
              <c:f>Dashboard!$C$9</c:f>
              <c:strCache>
                <c:ptCount val="1"/>
                <c:pt idx="0">
                  <c:v>EBITDA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Dashboard!$A$10:$A$12</c:f>
              <c:strCache>
                <c:ptCount val="3"/>
                <c:pt idx="0">
                  <c:v>FY2025A</c:v>
                </c:pt>
                <c:pt idx="1">
                  <c:v>FY2026E</c:v>
                </c:pt>
                <c:pt idx="2">
                  <c:v>FY2027E</c:v>
                </c:pt>
              </c:strCache>
            </c:strRef>
          </c:cat>
          <c:val>
            <c:numRef>
              <c:f>Dashboard!$C$10:$C$12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BA-7B42-BFFE-D9EEFF032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7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_Forecas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_Forecas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sqref="A1:F1"/>
    </sheetView>
  </sheetViews>
  <sheetFormatPr baseColWidth="10" defaultColWidth="8.83203125" defaultRowHeight="15" x14ac:dyDescent="0.2"/>
  <cols>
    <col min="1" max="6" width="18" customWidth="1"/>
  </cols>
  <sheetData>
    <row r="1" spans="1:6" x14ac:dyDescent="0.2">
      <c r="A1" s="12" t="s">
        <v>0</v>
      </c>
      <c r="B1" s="13"/>
      <c r="C1" s="13"/>
      <c r="D1" s="13"/>
      <c r="E1" s="13"/>
      <c r="F1" s="13"/>
    </row>
    <row r="2" spans="1:6" ht="48" x14ac:dyDescent="0.2">
      <c r="A2" s="1" t="s">
        <v>1</v>
      </c>
    </row>
    <row r="4" spans="1:6" ht="16" x14ac:dyDescent="0.2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ht="16" x14ac:dyDescent="0.2">
      <c r="A5" s="1" t="s">
        <v>8</v>
      </c>
      <c r="B5" s="3">
        <v>365817</v>
      </c>
      <c r="C5" s="3">
        <v>394328</v>
      </c>
      <c r="D5" s="3">
        <v>383285</v>
      </c>
      <c r="E5" s="3">
        <v>391035</v>
      </c>
      <c r="F5" s="3">
        <v>416161</v>
      </c>
    </row>
    <row r="6" spans="1:6" ht="16" x14ac:dyDescent="0.2">
      <c r="A6" s="1" t="s">
        <v>9</v>
      </c>
      <c r="B6" s="3">
        <v>212981</v>
      </c>
      <c r="C6" s="3">
        <v>223546</v>
      </c>
      <c r="D6" s="3">
        <v>214137</v>
      </c>
      <c r="E6" s="3">
        <v>210352</v>
      </c>
      <c r="F6" s="3">
        <v>220960</v>
      </c>
    </row>
    <row r="7" spans="1:6" ht="16" x14ac:dyDescent="0.2">
      <c r="A7" s="1" t="s">
        <v>10</v>
      </c>
      <c r="B7" s="3">
        <v>152836</v>
      </c>
      <c r="C7" s="3">
        <v>170782</v>
      </c>
      <c r="D7" s="3">
        <v>169148</v>
      </c>
      <c r="E7" s="3">
        <v>180683</v>
      </c>
      <c r="F7" s="3">
        <v>195201</v>
      </c>
    </row>
    <row r="8" spans="1:6" ht="16" x14ac:dyDescent="0.2">
      <c r="A8" s="1" t="s">
        <v>11</v>
      </c>
      <c r="B8" s="3">
        <v>21914</v>
      </c>
      <c r="C8" s="3">
        <v>26251</v>
      </c>
      <c r="D8" s="3">
        <v>29915</v>
      </c>
      <c r="E8" s="3">
        <v>31370</v>
      </c>
      <c r="F8" s="3">
        <v>34550</v>
      </c>
    </row>
    <row r="9" spans="1:6" ht="16" x14ac:dyDescent="0.2">
      <c r="A9" s="1" t="s">
        <v>12</v>
      </c>
      <c r="B9" s="3">
        <v>21973</v>
      </c>
      <c r="C9" s="3">
        <v>25094</v>
      </c>
      <c r="D9" s="3">
        <v>24932</v>
      </c>
      <c r="E9" s="3">
        <v>26097</v>
      </c>
      <c r="F9" s="3">
        <v>27601</v>
      </c>
    </row>
    <row r="10" spans="1:6" ht="16" x14ac:dyDescent="0.2">
      <c r="A10" s="1" t="s">
        <v>13</v>
      </c>
      <c r="B10" s="3">
        <v>43887</v>
      </c>
      <c r="C10" s="3">
        <v>51345</v>
      </c>
      <c r="D10" s="3">
        <v>54847</v>
      </c>
      <c r="E10" s="3">
        <v>57467</v>
      </c>
      <c r="F10" s="3">
        <v>62151</v>
      </c>
    </row>
    <row r="11" spans="1:6" ht="16" x14ac:dyDescent="0.2">
      <c r="A11" s="1" t="s">
        <v>14</v>
      </c>
      <c r="B11" s="3">
        <v>108949</v>
      </c>
      <c r="C11" s="3">
        <v>119437</v>
      </c>
      <c r="D11" s="3">
        <v>114301</v>
      </c>
      <c r="E11" s="3">
        <v>123216</v>
      </c>
      <c r="F11" s="3">
        <v>133050</v>
      </c>
    </row>
    <row r="12" spans="1:6" ht="32" x14ac:dyDescent="0.2">
      <c r="A12" s="1" t="s">
        <v>15</v>
      </c>
      <c r="B12" s="3">
        <v>258</v>
      </c>
      <c r="C12" s="3">
        <v>-334</v>
      </c>
      <c r="D12" s="3">
        <v>-565</v>
      </c>
      <c r="E12" s="3">
        <v>269</v>
      </c>
      <c r="F12" s="3">
        <v>-321</v>
      </c>
    </row>
    <row r="13" spans="1:6" ht="16" x14ac:dyDescent="0.2">
      <c r="A13" s="1" t="s">
        <v>16</v>
      </c>
      <c r="B13" s="3">
        <v>109207</v>
      </c>
      <c r="C13" s="3">
        <v>119103</v>
      </c>
      <c r="D13" s="3">
        <v>113736</v>
      </c>
      <c r="E13" s="3">
        <v>123485</v>
      </c>
      <c r="F13" s="3">
        <v>132729</v>
      </c>
    </row>
    <row r="14" spans="1:6" ht="16" x14ac:dyDescent="0.2">
      <c r="A14" s="1" t="s">
        <v>17</v>
      </c>
      <c r="B14" s="3">
        <v>14527</v>
      </c>
      <c r="C14" s="3">
        <v>19300</v>
      </c>
      <c r="D14" s="3">
        <v>16741</v>
      </c>
      <c r="E14" s="3">
        <v>29749</v>
      </c>
      <c r="F14" s="3">
        <v>20719</v>
      </c>
    </row>
    <row r="15" spans="1:6" ht="16" x14ac:dyDescent="0.2">
      <c r="A15" s="1" t="s">
        <v>18</v>
      </c>
      <c r="B15" s="3">
        <v>94680</v>
      </c>
      <c r="C15" s="3">
        <v>99803</v>
      </c>
      <c r="D15" s="3">
        <v>96995</v>
      </c>
      <c r="E15" s="3">
        <v>93736</v>
      </c>
      <c r="F15" s="3">
        <v>112010</v>
      </c>
    </row>
    <row r="16" spans="1:6" ht="16" x14ac:dyDescent="0.2">
      <c r="A16" s="1" t="s">
        <v>19</v>
      </c>
      <c r="B16" s="3">
        <v>11284</v>
      </c>
      <c r="C16" s="3">
        <v>11104</v>
      </c>
      <c r="D16" s="3">
        <v>11519</v>
      </c>
      <c r="E16" s="3">
        <v>11445</v>
      </c>
      <c r="F16" s="3">
        <v>11698</v>
      </c>
    </row>
    <row r="17" spans="1:6" ht="16" x14ac:dyDescent="0.2">
      <c r="A17" s="1" t="s">
        <v>20</v>
      </c>
      <c r="B17" s="3">
        <v>104038</v>
      </c>
      <c r="C17" s="3">
        <v>122151</v>
      </c>
      <c r="D17" s="3">
        <v>110543</v>
      </c>
      <c r="E17" s="3">
        <v>118254</v>
      </c>
      <c r="F17" s="3">
        <v>111482</v>
      </c>
    </row>
    <row r="18" spans="1:6" ht="16" x14ac:dyDescent="0.2">
      <c r="A18" s="1" t="s">
        <v>21</v>
      </c>
      <c r="B18" s="3">
        <v>11085</v>
      </c>
      <c r="C18" s="3">
        <v>10708</v>
      </c>
      <c r="D18" s="3">
        <v>10959</v>
      </c>
      <c r="E18" s="3">
        <v>9447</v>
      </c>
      <c r="F18" s="3">
        <v>12715</v>
      </c>
    </row>
    <row r="19" spans="1:6" ht="16" x14ac:dyDescent="0.2">
      <c r="A19" s="1" t="s">
        <v>22</v>
      </c>
      <c r="B19" s="3">
        <v>35929</v>
      </c>
      <c r="C19" s="3">
        <v>24977</v>
      </c>
      <c r="D19" s="3">
        <v>30737</v>
      </c>
      <c r="E19" s="3">
        <v>29943</v>
      </c>
      <c r="F19" s="3">
        <v>35934</v>
      </c>
    </row>
    <row r="20" spans="1:6" ht="16" x14ac:dyDescent="0.2">
      <c r="A20" s="1" t="s">
        <v>23</v>
      </c>
      <c r="B20" s="4"/>
      <c r="C20" s="4">
        <f>C5/B5-1</f>
        <v>7.7937876041846099E-2</v>
      </c>
      <c r="D20" s="4">
        <f>D5/C5-1</f>
        <v>-2.800460530319937E-2</v>
      </c>
      <c r="E20" s="4">
        <f>E5/D5-1</f>
        <v>2.021994077514111E-2</v>
      </c>
      <c r="F20" s="4">
        <f>F5/E5-1</f>
        <v>6.425511782832749E-2</v>
      </c>
    </row>
    <row r="21" spans="1:6" ht="16" x14ac:dyDescent="0.2">
      <c r="A21" s="1" t="s">
        <v>24</v>
      </c>
      <c r="B21" s="4">
        <f>B7/B5</f>
        <v>0.41779359625167778</v>
      </c>
      <c r="C21" s="4">
        <f>C7/C5</f>
        <v>0.43309630561360085</v>
      </c>
      <c r="D21" s="4">
        <f>D7/D5</f>
        <v>0.44131129577207562</v>
      </c>
      <c r="E21" s="4">
        <f>E7/E5</f>
        <v>0.46206349815233932</v>
      </c>
      <c r="F21" s="4">
        <f>F7/F5</f>
        <v>0.46905164107160452</v>
      </c>
    </row>
    <row r="22" spans="1:6" ht="16" x14ac:dyDescent="0.2">
      <c r="A22" s="5" t="s">
        <v>25</v>
      </c>
      <c r="B22" s="4" t="s">
        <v>26</v>
      </c>
      <c r="C22" s="4" t="s">
        <v>27</v>
      </c>
      <c r="D22" s="4" t="s">
        <v>28</v>
      </c>
      <c r="E22" s="4" t="s">
        <v>29</v>
      </c>
      <c r="F22" s="4" t="s">
        <v>30</v>
      </c>
    </row>
    <row r="23" spans="1:6" x14ac:dyDescent="0.2">
      <c r="A23" s="14" t="s">
        <v>31</v>
      </c>
      <c r="B23" s="13"/>
      <c r="C23" s="13"/>
      <c r="D23" s="13"/>
      <c r="E23" s="13"/>
      <c r="F23" s="13"/>
    </row>
    <row r="24" spans="1:6" ht="16" x14ac:dyDescent="0.2">
      <c r="A24" s="1" t="s">
        <v>32</v>
      </c>
      <c r="B24" s="3">
        <f>B11+B16</f>
        <v>120233</v>
      </c>
      <c r="C24" s="3">
        <f>C11+C16</f>
        <v>130541</v>
      </c>
      <c r="D24" s="3">
        <f>D11+D16</f>
        <v>125820</v>
      </c>
      <c r="E24" s="3">
        <f>E11+E16</f>
        <v>134661</v>
      </c>
      <c r="F24" s="3">
        <f>F11+F16</f>
        <v>144748</v>
      </c>
    </row>
    <row r="25" spans="1:6" ht="16" x14ac:dyDescent="0.2">
      <c r="A25" s="1" t="s">
        <v>33</v>
      </c>
      <c r="B25" s="4">
        <f>B24/B5</f>
        <v>0.32866979938056462</v>
      </c>
      <c r="C25" s="4">
        <f>C24/C5</f>
        <v>0.3310467428130896</v>
      </c>
      <c r="D25" s="4">
        <f>D24/D5</f>
        <v>0.32826747720364741</v>
      </c>
      <c r="E25" s="4">
        <f>E24/E5</f>
        <v>0.34437070850435381</v>
      </c>
      <c r="F25" s="4">
        <f>F24/F5</f>
        <v>0.34781731108873731</v>
      </c>
    </row>
    <row r="26" spans="1:6" ht="16" x14ac:dyDescent="0.2">
      <c r="A26" s="1" t="s">
        <v>34</v>
      </c>
      <c r="B26" s="4">
        <f>B17/B5</f>
        <v>0.28439903011615097</v>
      </c>
      <c r="C26" s="4">
        <f>C17/C5</f>
        <v>0.30977003915522106</v>
      </c>
      <c r="D26" s="4">
        <f>D17/D5</f>
        <v>0.28840940814276583</v>
      </c>
      <c r="E26" s="4">
        <f>E17/E5</f>
        <v>0.30241282749625992</v>
      </c>
      <c r="F26" s="4">
        <f>F17/F5</f>
        <v>0.26788190147563085</v>
      </c>
    </row>
    <row r="27" spans="1:6" ht="16" x14ac:dyDescent="0.2">
      <c r="A27" s="1" t="s">
        <v>35</v>
      </c>
      <c r="B27" s="4">
        <f>B18/B5</f>
        <v>3.0302036264033657E-2</v>
      </c>
      <c r="C27" s="4">
        <f>C18/C5</f>
        <v>2.7155058732831552E-2</v>
      </c>
      <c r="D27" s="4">
        <f>D18/D5</f>
        <v>2.859230076835775E-2</v>
      </c>
      <c r="E27" s="4">
        <f>E18/E5</f>
        <v>2.415896275269477E-2</v>
      </c>
      <c r="F27" s="4">
        <f>F18/F5</f>
        <v>3.0553079216937677E-2</v>
      </c>
    </row>
  </sheetData>
  <mergeCells count="2">
    <mergeCell ref="A1:F1"/>
    <mergeCell ref="A23:F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4" width="18" customWidth="1"/>
  </cols>
  <sheetData>
    <row r="1" spans="1:4" x14ac:dyDescent="0.2">
      <c r="A1" s="12" t="s">
        <v>36</v>
      </c>
      <c r="B1" s="13"/>
      <c r="C1" s="13"/>
      <c r="D1" s="13"/>
    </row>
    <row r="3" spans="1:4" ht="16" x14ac:dyDescent="0.2">
      <c r="A3" s="2" t="s">
        <v>37</v>
      </c>
      <c r="B3" s="2" t="s">
        <v>38</v>
      </c>
      <c r="C3" s="2" t="s">
        <v>39</v>
      </c>
      <c r="D3" s="2" t="s">
        <v>40</v>
      </c>
    </row>
    <row r="4" spans="1:4" ht="16" x14ac:dyDescent="0.2">
      <c r="A4" s="1" t="s">
        <v>41</v>
      </c>
      <c r="B4" s="4">
        <v>7.0000000000000007E-2</v>
      </c>
      <c r="C4" s="4">
        <v>0.04</v>
      </c>
      <c r="D4" s="4">
        <v>0.1</v>
      </c>
    </row>
    <row r="5" spans="1:4" ht="16" x14ac:dyDescent="0.2">
      <c r="A5" s="1" t="s">
        <v>42</v>
      </c>
      <c r="B5" s="4">
        <f>Historical_Financials!F6/Historical_Financials!F5</f>
        <v>0.53094835892839554</v>
      </c>
      <c r="C5" s="4">
        <f>B5</f>
        <v>0.53094835892839554</v>
      </c>
      <c r="D5" s="4">
        <f>B5</f>
        <v>0.53094835892839554</v>
      </c>
    </row>
    <row r="6" spans="1:4" ht="32" x14ac:dyDescent="0.2">
      <c r="A6" s="1" t="s">
        <v>43</v>
      </c>
      <c r="B6" s="4">
        <v>0.06</v>
      </c>
      <c r="C6" s="4">
        <v>7.0000000000000007E-2</v>
      </c>
      <c r="D6" s="4">
        <v>0.05</v>
      </c>
    </row>
    <row r="7" spans="1:4" ht="16" x14ac:dyDescent="0.2">
      <c r="A7" s="1" t="s">
        <v>44</v>
      </c>
      <c r="B7" s="4">
        <f>Historical_Financials!F14/Historical_Financials!F13</f>
        <v>0.15610002335586043</v>
      </c>
      <c r="C7" s="4">
        <f>B7</f>
        <v>0.15610002335586043</v>
      </c>
      <c r="D7" s="4">
        <f>B7</f>
        <v>0.15610002335586043</v>
      </c>
    </row>
    <row r="8" spans="1:4" ht="16" x14ac:dyDescent="0.2">
      <c r="A8" s="1" t="s">
        <v>45</v>
      </c>
      <c r="B8" s="4">
        <f>Historical_Financials!F16/Historical_Financials!F5</f>
        <v>2.8109313462818475E-2</v>
      </c>
      <c r="C8" s="4">
        <f>B8</f>
        <v>2.8109313462818475E-2</v>
      </c>
      <c r="D8" s="4">
        <f>B8</f>
        <v>2.8109313462818475E-2</v>
      </c>
    </row>
    <row r="9" spans="1:4" ht="16" x14ac:dyDescent="0.2">
      <c r="A9" s="1" t="s">
        <v>35</v>
      </c>
      <c r="B9" s="4">
        <f>Historical_Financials!F18/Historical_Financials!F5</f>
        <v>3.0553079216937677E-2</v>
      </c>
      <c r="C9" s="4">
        <f>B9</f>
        <v>3.0553079216937677E-2</v>
      </c>
      <c r="D9" s="4">
        <f>B9</f>
        <v>3.0553079216937677E-2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4" width="18" customWidth="1"/>
  </cols>
  <sheetData>
    <row r="1" spans="1:4" x14ac:dyDescent="0.2">
      <c r="A1" s="12" t="s">
        <v>46</v>
      </c>
      <c r="B1" s="13"/>
      <c r="C1" s="13"/>
      <c r="D1" s="13"/>
    </row>
    <row r="3" spans="1:4" ht="16" x14ac:dyDescent="0.2">
      <c r="A3" s="2" t="s">
        <v>47</v>
      </c>
      <c r="B3" s="2" t="s">
        <v>8</v>
      </c>
      <c r="C3" s="2" t="s">
        <v>48</v>
      </c>
      <c r="D3" s="2" t="s">
        <v>49</v>
      </c>
    </row>
    <row r="4" spans="1:4" ht="16" x14ac:dyDescent="0.2">
      <c r="A4" s="1" t="s">
        <v>5</v>
      </c>
      <c r="B4" s="3">
        <f>Historical_Financials!D5</f>
        <v>383285</v>
      </c>
      <c r="C4" s="6"/>
      <c r="D4" s="1" t="s">
        <v>50</v>
      </c>
    </row>
    <row r="5" spans="1:4" ht="16" x14ac:dyDescent="0.2">
      <c r="A5" s="1" t="s">
        <v>6</v>
      </c>
      <c r="B5" s="3">
        <f>Historical_Financials!E5</f>
        <v>391035</v>
      </c>
      <c r="C5" s="4">
        <f>B5/B4-1</f>
        <v>2.021994077514111E-2</v>
      </c>
      <c r="D5" s="1" t="s">
        <v>50</v>
      </c>
    </row>
    <row r="6" spans="1:4" ht="16" x14ac:dyDescent="0.2">
      <c r="A6" s="1" t="s">
        <v>7</v>
      </c>
      <c r="B6" s="3">
        <f>Historical_Financials!F5</f>
        <v>416161</v>
      </c>
      <c r="C6" s="4">
        <f>B6/B5-1</f>
        <v>6.425511782832749E-2</v>
      </c>
      <c r="D6" s="1" t="s">
        <v>50</v>
      </c>
    </row>
    <row r="7" spans="1:4" ht="16" x14ac:dyDescent="0.2">
      <c r="A7" s="1" t="s">
        <v>51</v>
      </c>
      <c r="B7" s="3">
        <f>B6*(1+Assumptions!B4)</f>
        <v>445292.27</v>
      </c>
      <c r="C7" s="4">
        <f>B7/B6-1</f>
        <v>7.0000000000000062E-2</v>
      </c>
      <c r="D7" s="1" t="s">
        <v>52</v>
      </c>
    </row>
    <row r="8" spans="1:4" ht="16" x14ac:dyDescent="0.2">
      <c r="A8" s="1" t="s">
        <v>53</v>
      </c>
      <c r="B8" s="3">
        <f>B7*(1+Assumptions!B4)</f>
        <v>476462.72890000005</v>
      </c>
      <c r="C8" s="4">
        <f>B8/B7-1</f>
        <v>7.0000000000000062E-2</v>
      </c>
      <c r="D8" s="1" t="s">
        <v>52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6" width="18" customWidth="1"/>
  </cols>
  <sheetData>
    <row r="1" spans="1:6" x14ac:dyDescent="0.2">
      <c r="A1" s="12" t="s">
        <v>54</v>
      </c>
      <c r="B1" s="13"/>
      <c r="C1" s="13"/>
      <c r="D1" s="13"/>
      <c r="E1" s="13"/>
      <c r="F1" s="13"/>
    </row>
    <row r="3" spans="1:6" ht="16" x14ac:dyDescent="0.2">
      <c r="A3" s="2" t="s">
        <v>2</v>
      </c>
      <c r="B3" s="2" t="s">
        <v>55</v>
      </c>
      <c r="C3" s="2" t="s">
        <v>51</v>
      </c>
      <c r="D3" s="2" t="s">
        <v>53</v>
      </c>
    </row>
    <row r="4" spans="1:6" ht="16" x14ac:dyDescent="0.2">
      <c r="A4" s="1" t="s">
        <v>8</v>
      </c>
      <c r="B4" s="3">
        <f>Historical_Financials!F5</f>
        <v>416161</v>
      </c>
      <c r="C4" s="3">
        <f>Revenue_Forecast!B7</f>
        <v>445292.27</v>
      </c>
      <c r="D4" s="3">
        <f>Revenue_Forecast!B8</f>
        <v>476462.72890000005</v>
      </c>
    </row>
    <row r="5" spans="1:6" ht="16" x14ac:dyDescent="0.2">
      <c r="A5" s="1" t="s">
        <v>56</v>
      </c>
      <c r="B5" s="3">
        <f>Historical_Financials!F6</f>
        <v>220960</v>
      </c>
      <c r="C5" s="3">
        <f>C4*Assumptions!B5</f>
        <v>236427.2</v>
      </c>
      <c r="D5" s="3">
        <f>D4*Assumptions!B5</f>
        <v>252977.10400000005</v>
      </c>
    </row>
    <row r="6" spans="1:6" ht="16" x14ac:dyDescent="0.2">
      <c r="A6" s="1" t="s">
        <v>10</v>
      </c>
      <c r="B6" s="3">
        <f>Historical_Financials!F7</f>
        <v>195201</v>
      </c>
      <c r="C6" s="3">
        <f>C4-C5</f>
        <v>208865.07</v>
      </c>
      <c r="D6" s="3">
        <f>D4-D5</f>
        <v>223485.6249</v>
      </c>
    </row>
    <row r="7" spans="1:6" ht="16" x14ac:dyDescent="0.2">
      <c r="A7" s="1" t="s">
        <v>13</v>
      </c>
      <c r="B7" s="3">
        <f>Historical_Financials!F10</f>
        <v>62151</v>
      </c>
      <c r="C7" s="3">
        <f>B7*(1+Assumptions!B6)</f>
        <v>65880.06</v>
      </c>
      <c r="D7" s="3">
        <f>C7*(1+Assumptions!B6)</f>
        <v>69832.863599999997</v>
      </c>
    </row>
    <row r="8" spans="1:6" ht="16" x14ac:dyDescent="0.2">
      <c r="A8" s="1" t="s">
        <v>14</v>
      </c>
      <c r="B8" s="3">
        <f>Historical_Financials!F11</f>
        <v>133050</v>
      </c>
      <c r="C8" s="3">
        <f>C6-C7</f>
        <v>142985.01</v>
      </c>
      <c r="D8" s="3">
        <f>D6-D7</f>
        <v>153652.76130000001</v>
      </c>
    </row>
    <row r="9" spans="1:6" ht="16" x14ac:dyDescent="0.2">
      <c r="A9" s="1" t="s">
        <v>19</v>
      </c>
      <c r="B9" s="3">
        <f>Historical_Financials!F11+Historical_Financials!F16</f>
        <v>144748</v>
      </c>
      <c r="C9" s="3">
        <f>C4*Assumptions!B8</f>
        <v>12516.86</v>
      </c>
      <c r="D9" s="3">
        <f>D4*Assumptions!B8</f>
        <v>13393.040200000001</v>
      </c>
    </row>
    <row r="10" spans="1:6" ht="16" x14ac:dyDescent="0.2">
      <c r="A10" s="1" t="s">
        <v>32</v>
      </c>
      <c r="B10" s="3">
        <f>Historical_Financials!F12</f>
        <v>-321</v>
      </c>
      <c r="C10" s="3">
        <f>C8+C9</f>
        <v>155501.87</v>
      </c>
      <c r="D10" s="3">
        <f>D8+D9</f>
        <v>167045.8015</v>
      </c>
    </row>
    <row r="11" spans="1:6" ht="32" x14ac:dyDescent="0.2">
      <c r="A11" s="1" t="s">
        <v>15</v>
      </c>
      <c r="B11" s="3">
        <f>B8+B10</f>
        <v>132729</v>
      </c>
      <c r="C11" s="3">
        <f>B10</f>
        <v>-321</v>
      </c>
      <c r="D11" s="3">
        <f>C10</f>
        <v>155501.87</v>
      </c>
    </row>
    <row r="12" spans="1:6" ht="16" x14ac:dyDescent="0.2">
      <c r="A12" s="1" t="s">
        <v>16</v>
      </c>
      <c r="B12" s="3">
        <f>Historical_Financials!F14</f>
        <v>20719</v>
      </c>
      <c r="C12" s="3">
        <f>C10+C11</f>
        <v>155180.87</v>
      </c>
      <c r="D12" s="3">
        <f>D10+D11</f>
        <v>322547.6715</v>
      </c>
    </row>
    <row r="13" spans="1:6" ht="16" x14ac:dyDescent="0.2">
      <c r="A13" s="1" t="s">
        <v>17</v>
      </c>
      <c r="B13" s="3">
        <f>B11-B12</f>
        <v>112010</v>
      </c>
      <c r="C13" s="3">
        <f>C12*Assumptions!B7</f>
        <v>24223.737431382739</v>
      </c>
      <c r="D13" s="3">
        <f>D12*Assumptions!B7</f>
        <v>50349.699054528399</v>
      </c>
    </row>
    <row r="14" spans="1:6" ht="16" x14ac:dyDescent="0.2">
      <c r="A14" s="1" t="s">
        <v>18</v>
      </c>
      <c r="B14" s="7"/>
      <c r="C14" s="3">
        <f>C12-C13</f>
        <v>130957.13256861726</v>
      </c>
      <c r="D14" s="3">
        <f>D12-D13</f>
        <v>272197.97244547162</v>
      </c>
    </row>
    <row r="15" spans="1:6" ht="16" x14ac:dyDescent="0.2">
      <c r="A15" s="1" t="s">
        <v>57</v>
      </c>
      <c r="B15" s="4">
        <f>B6/B4</f>
        <v>0.46905164107160452</v>
      </c>
      <c r="C15" s="4">
        <f>C6/C4</f>
        <v>0.46905164107160452</v>
      </c>
      <c r="D15" s="4">
        <f>D6/D4</f>
        <v>0.46905164107160446</v>
      </c>
    </row>
    <row r="16" spans="1:6" ht="16" x14ac:dyDescent="0.2">
      <c r="A16" s="1" t="s">
        <v>58</v>
      </c>
      <c r="B16" s="4">
        <f>B8/B4</f>
        <v>0.31970799762591884</v>
      </c>
      <c r="C16" s="4">
        <f>C8/C4</f>
        <v>0.32110373261139252</v>
      </c>
      <c r="D16" s="4">
        <f>D8/D4</f>
        <v>0.32248642334466554</v>
      </c>
    </row>
    <row r="17" spans="1:4" ht="16" x14ac:dyDescent="0.2">
      <c r="A17" s="1" t="s">
        <v>59</v>
      </c>
      <c r="B17" s="4">
        <f>B10/B4</f>
        <v>-7.7133609348305101E-4</v>
      </c>
      <c r="C17" s="4">
        <f>C10/C4</f>
        <v>0.34921304607421094</v>
      </c>
      <c r="D17" s="4">
        <f>D10/D4</f>
        <v>0.35059573680748396</v>
      </c>
    </row>
    <row r="18" spans="1:4" ht="16" x14ac:dyDescent="0.2">
      <c r="A18" s="1" t="s">
        <v>60</v>
      </c>
      <c r="B18" s="4">
        <f>B14/B4</f>
        <v>0</v>
      </c>
      <c r="C18" s="4">
        <f>C14/C4</f>
        <v>0.29409253515363576</v>
      </c>
      <c r="D18" s="4">
        <f>D14/D4</f>
        <v>0.57128911861351594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5" width="18" customWidth="1"/>
  </cols>
  <sheetData>
    <row r="1" spans="1:5" x14ac:dyDescent="0.2">
      <c r="A1" s="12" t="s">
        <v>61</v>
      </c>
      <c r="B1" s="13"/>
      <c r="C1" s="13"/>
      <c r="D1" s="13"/>
      <c r="E1" s="13"/>
    </row>
    <row r="3" spans="1:5" ht="16" x14ac:dyDescent="0.2">
      <c r="A3" s="2" t="s">
        <v>2</v>
      </c>
      <c r="B3" s="2" t="s">
        <v>55</v>
      </c>
      <c r="C3" s="2" t="s">
        <v>51</v>
      </c>
      <c r="D3" s="2" t="s">
        <v>53</v>
      </c>
      <c r="E3" s="2" t="s">
        <v>62</v>
      </c>
    </row>
    <row r="4" spans="1:5" ht="16" x14ac:dyDescent="0.2">
      <c r="A4" s="1" t="s">
        <v>18</v>
      </c>
      <c r="B4" s="3">
        <f>Historical_Financials!F15</f>
        <v>112010</v>
      </c>
      <c r="C4" s="3" t="e">
        <f>P&amp;[1]L_Forecast!C14</f>
        <v>#NAME?</v>
      </c>
      <c r="D4" s="3" t="e">
        <f>P&amp;[1]L_Forecast!D14</f>
        <v>#NAME?</v>
      </c>
    </row>
    <row r="5" spans="1:5" ht="16" x14ac:dyDescent="0.2">
      <c r="A5" s="1" t="s">
        <v>19</v>
      </c>
      <c r="B5" s="3">
        <f>Historical_Financials!F16</f>
        <v>11698</v>
      </c>
      <c r="C5" s="3" t="e">
        <f>P&amp;[1]L_Forecast!C9</f>
        <v>#NAME?</v>
      </c>
      <c r="D5" s="3" t="e">
        <f>P&amp;[1]L_Forecast!D9</f>
        <v>#NAME?</v>
      </c>
    </row>
    <row r="6" spans="1:5" ht="16" x14ac:dyDescent="0.2">
      <c r="A6" s="1" t="s">
        <v>20</v>
      </c>
      <c r="B6" s="3">
        <f>Historical_Financials!F17</f>
        <v>111482</v>
      </c>
      <c r="C6" s="3" t="e">
        <f>C4+C5</f>
        <v>#NAME?</v>
      </c>
      <c r="D6" s="3" t="e">
        <f>D4+D5</f>
        <v>#NAME?</v>
      </c>
    </row>
    <row r="7" spans="1:5" ht="16" x14ac:dyDescent="0.2">
      <c r="A7" s="1" t="s">
        <v>21</v>
      </c>
      <c r="B7" s="3">
        <f>Historical_Financials!F18</f>
        <v>12715</v>
      </c>
      <c r="C7" s="3" t="e">
        <f>P&amp;[1]L_Forecast!C4*Assumptions!B9</f>
        <v>#NAME?</v>
      </c>
      <c r="D7" s="3" t="e">
        <f>P&amp;[1]L_Forecast!D4*Assumptions!B9</f>
        <v>#NAME?</v>
      </c>
    </row>
    <row r="8" spans="1:5" ht="16" x14ac:dyDescent="0.2">
      <c r="A8" s="1" t="s">
        <v>63</v>
      </c>
      <c r="B8" s="3">
        <f>B6-B7</f>
        <v>98767</v>
      </c>
      <c r="C8" s="3" t="e">
        <f>C6-C7</f>
        <v>#NAME?</v>
      </c>
      <c r="D8" s="3" t="e">
        <f>D6-D7</f>
        <v>#NAME?</v>
      </c>
    </row>
    <row r="9" spans="1:5" ht="16" x14ac:dyDescent="0.2">
      <c r="A9" s="1" t="s">
        <v>64</v>
      </c>
      <c r="B9" s="3">
        <f>Historical_Financials!E19</f>
        <v>29943</v>
      </c>
      <c r="C9" s="3">
        <f>B10</f>
        <v>35934</v>
      </c>
      <c r="D9" s="3" t="e">
        <f>C10</f>
        <v>#NAME?</v>
      </c>
    </row>
    <row r="10" spans="1:5" ht="16" x14ac:dyDescent="0.2">
      <c r="A10" s="1" t="s">
        <v>22</v>
      </c>
      <c r="B10" s="3">
        <f>Historical_Financials!F19</f>
        <v>35934</v>
      </c>
      <c r="C10" s="3" t="e">
        <f>C9+C8</f>
        <v>#NAME?</v>
      </c>
      <c r="D10" s="3" t="e">
        <f>D9+D8</f>
        <v>#NAME?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7" width="18" customWidth="1"/>
  </cols>
  <sheetData>
    <row r="1" spans="1:7" x14ac:dyDescent="0.2">
      <c r="A1" s="12" t="s">
        <v>65</v>
      </c>
      <c r="B1" s="13"/>
      <c r="C1" s="13"/>
      <c r="D1" s="13"/>
      <c r="E1" s="13"/>
      <c r="F1" s="13"/>
      <c r="G1" s="13"/>
    </row>
    <row r="3" spans="1:7" ht="32" x14ac:dyDescent="0.2">
      <c r="A3" s="2" t="s">
        <v>66</v>
      </c>
      <c r="B3" s="2" t="s">
        <v>41</v>
      </c>
      <c r="C3" s="2" t="s">
        <v>67</v>
      </c>
      <c r="D3" s="2" t="s">
        <v>68</v>
      </c>
      <c r="E3" s="2" t="s">
        <v>69</v>
      </c>
      <c r="F3" s="2" t="s">
        <v>70</v>
      </c>
      <c r="G3" s="2" t="s">
        <v>71</v>
      </c>
    </row>
    <row r="4" spans="1:7" ht="16" x14ac:dyDescent="0.2">
      <c r="A4" s="1" t="s">
        <v>39</v>
      </c>
      <c r="B4" s="4">
        <f>Assumptions!C4</f>
        <v>0.04</v>
      </c>
      <c r="C4" s="3">
        <f>Historical_Financials!F5*(1+B4)</f>
        <v>432807.44</v>
      </c>
      <c r="D4" s="3">
        <f>C4*(1-Assumptions!B5)-Historical_Financials!F10*(1+Assumptions!B6)</f>
        <v>137128.97999999998</v>
      </c>
      <c r="E4" s="4">
        <f>D4/C4</f>
        <v>0.31683600448273253</v>
      </c>
      <c r="F4" s="3">
        <f>C4*(1+B4)</f>
        <v>450119.73759999999</v>
      </c>
      <c r="G4" s="3">
        <f>(F4*(1-Assumptions!B5)-Historical_Financials!F10*(1+Assumptions!B6)^2)*(1-Assumptions!B7)</f>
        <v>119240.14511809775</v>
      </c>
    </row>
    <row r="5" spans="1:7" ht="16" x14ac:dyDescent="0.2">
      <c r="A5" s="1" t="s">
        <v>38</v>
      </c>
      <c r="B5" s="4">
        <f>Assumptions!B4</f>
        <v>7.0000000000000007E-2</v>
      </c>
      <c r="C5" s="3">
        <f>Historical_Financials!F5*(1+B5)</f>
        <v>445292.27</v>
      </c>
      <c r="D5" s="3">
        <f>C5*(1-Assumptions!B5)-Historical_Financials!F10*(1+Assumptions!B6)</f>
        <v>142985.01</v>
      </c>
      <c r="E5" s="4">
        <f>D5/C5</f>
        <v>0.32110373261139252</v>
      </c>
      <c r="F5" s="3">
        <f>C5*(1+B5)</f>
        <v>476462.72890000005</v>
      </c>
      <c r="G5" s="3">
        <f>(F5*(1-Assumptions!B5)-Historical_Financials!F10*(1+Assumptions!B6)^2)*(1-Assumptions!B7)</f>
        <v>129667.56167237753</v>
      </c>
    </row>
    <row r="6" spans="1:7" ht="16" x14ac:dyDescent="0.2">
      <c r="A6" s="1" t="s">
        <v>40</v>
      </c>
      <c r="B6" s="4">
        <f>Assumptions!D4</f>
        <v>0.1</v>
      </c>
      <c r="C6" s="3">
        <f>Historical_Financials!F5*(1+B6)</f>
        <v>457777.10000000003</v>
      </c>
      <c r="D6" s="3">
        <f>C6*(1-Assumptions!B5)-Historical_Financials!F10*(1+Assumptions!B6)</f>
        <v>148841.04</v>
      </c>
      <c r="E6" s="4">
        <f>D6/C6</f>
        <v>0.32513867556939829</v>
      </c>
      <c r="F6" s="3">
        <f>C6*(1+B6)</f>
        <v>503554.81000000006</v>
      </c>
      <c r="G6" s="3">
        <f>(F6*(1-Assumptions!B5)-Historical_Financials!F10*(1+Assumptions!B6)^2)*(1-Assumptions!B7)</f>
        <v>140391.49244147097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9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8" width="18" customWidth="1"/>
  </cols>
  <sheetData>
    <row r="1" spans="1:8" x14ac:dyDescent="0.2">
      <c r="A1" s="12" t="s">
        <v>72</v>
      </c>
      <c r="B1" s="13"/>
      <c r="C1" s="13"/>
      <c r="D1" s="13"/>
      <c r="E1" s="13"/>
      <c r="F1" s="13"/>
      <c r="G1" s="13"/>
      <c r="H1" s="13"/>
    </row>
    <row r="3" spans="1:8" ht="18" x14ac:dyDescent="0.2">
      <c r="A3" s="8" t="s">
        <v>73</v>
      </c>
    </row>
    <row r="4" spans="1:8" ht="32" x14ac:dyDescent="0.2">
      <c r="A4" s="9" t="s">
        <v>67</v>
      </c>
      <c r="C4" s="9" t="s">
        <v>68</v>
      </c>
      <c r="E4" s="9" t="s">
        <v>69</v>
      </c>
      <c r="G4" s="9" t="s">
        <v>74</v>
      </c>
    </row>
    <row r="5" spans="1:8" ht="20" x14ac:dyDescent="0.2">
      <c r="A5" s="10" t="e">
        <f>P&amp;[1]L_Forecast!C4</f>
        <v>#NAME?</v>
      </c>
      <c r="C5" s="10" t="e">
        <f>P&amp;[1]L_Forecast!C10</f>
        <v>#NAME?</v>
      </c>
      <c r="E5" s="11" t="e">
        <f>P&amp;[1]L_Forecast!C17</f>
        <v>#NAME?</v>
      </c>
      <c r="G5" s="10" t="e">
        <f>P&amp;[1]L_Forecast!C14</f>
        <v>#NAME?</v>
      </c>
    </row>
    <row r="9" spans="1:8" ht="16" x14ac:dyDescent="0.2">
      <c r="A9" s="2" t="s">
        <v>47</v>
      </c>
      <c r="B9" s="2" t="s">
        <v>8</v>
      </c>
      <c r="C9" s="2" t="s">
        <v>32</v>
      </c>
      <c r="D9" s="2" t="s">
        <v>18</v>
      </c>
    </row>
    <row r="10" spans="1:8" ht="16" x14ac:dyDescent="0.2">
      <c r="A10" s="1" t="s">
        <v>55</v>
      </c>
      <c r="B10" s="3" t="e">
        <f>P&amp;[1]L_Forecast!B4</f>
        <v>#NAME?</v>
      </c>
      <c r="C10" s="3" t="e">
        <f>P&amp;[1]L_Forecast!B10</f>
        <v>#NAME?</v>
      </c>
      <c r="D10" s="3" t="e">
        <f>P&amp;[1]L_Forecast!B14</f>
        <v>#NAME?</v>
      </c>
    </row>
    <row r="11" spans="1:8" ht="16" x14ac:dyDescent="0.2">
      <c r="A11" s="1" t="s">
        <v>51</v>
      </c>
      <c r="B11" s="3" t="e">
        <f>P&amp;[1]L_Forecast!C4</f>
        <v>#NAME?</v>
      </c>
      <c r="C11" s="3" t="e">
        <f>P&amp;[1]L_Forecast!C10</f>
        <v>#NAME?</v>
      </c>
      <c r="D11" s="3" t="e">
        <f>P&amp;[1]L_Forecast!C14</f>
        <v>#NAME?</v>
      </c>
    </row>
    <row r="12" spans="1:8" ht="16" x14ac:dyDescent="0.2">
      <c r="A12" s="1" t="s">
        <v>53</v>
      </c>
      <c r="B12" s="3" t="e">
        <f>P&amp;[1]L_Forecast!D4</f>
        <v>#NAME?</v>
      </c>
      <c r="C12" s="3" t="e">
        <f>P&amp;[1]L_Forecast!D10</f>
        <v>#NAME?</v>
      </c>
      <c r="D12" s="3" t="e">
        <f>P&amp;[1]L_Forecast!D14</f>
        <v>#NAME?</v>
      </c>
    </row>
    <row r="15" spans="1:8" ht="18" x14ac:dyDescent="0.2">
      <c r="A15" s="8" t="s">
        <v>75</v>
      </c>
    </row>
    <row r="16" spans="1:8" x14ac:dyDescent="0.2">
      <c r="A16" s="14" t="s">
        <v>76</v>
      </c>
      <c r="B16" s="13"/>
      <c r="C16" s="13"/>
      <c r="D16" s="13"/>
      <c r="E16" s="13"/>
      <c r="F16" s="13"/>
      <c r="G16" s="13"/>
      <c r="H16" s="13"/>
    </row>
    <row r="17" spans="1:8" x14ac:dyDescent="0.2">
      <c r="A17" s="14" t="s">
        <v>77</v>
      </c>
      <c r="B17" s="13"/>
      <c r="C17" s="13"/>
      <c r="D17" s="13"/>
      <c r="E17" s="13"/>
      <c r="F17" s="13"/>
      <c r="G17" s="13"/>
      <c r="H17" s="13"/>
    </row>
    <row r="18" spans="1:8" x14ac:dyDescent="0.2">
      <c r="A18" s="14" t="s">
        <v>78</v>
      </c>
      <c r="B18" s="13"/>
      <c r="C18" s="13"/>
      <c r="D18" s="13"/>
      <c r="E18" s="13"/>
      <c r="F18" s="13"/>
      <c r="G18" s="13"/>
      <c r="H18" s="13"/>
    </row>
    <row r="19" spans="1:8" x14ac:dyDescent="0.2">
      <c r="A19" s="14" t="s">
        <v>79</v>
      </c>
      <c r="B19" s="13"/>
      <c r="C19" s="13"/>
      <c r="D19" s="13"/>
      <c r="E19" s="13"/>
      <c r="F19" s="13"/>
      <c r="G19" s="13"/>
      <c r="H19" s="13"/>
    </row>
  </sheetData>
  <mergeCells count="5">
    <mergeCell ref="A18:H18"/>
    <mergeCell ref="A16:H16"/>
    <mergeCell ref="A19:H19"/>
    <mergeCell ref="A1:H1"/>
    <mergeCell ref="A17:H17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5" width="18" customWidth="1"/>
  </cols>
  <sheetData>
    <row r="1" spans="1:5" x14ac:dyDescent="0.2">
      <c r="A1" s="12" t="s">
        <v>80</v>
      </c>
      <c r="B1" s="13"/>
      <c r="C1" s="13"/>
      <c r="D1" s="13"/>
      <c r="E1" s="13"/>
    </row>
    <row r="3" spans="1:5" ht="16" x14ac:dyDescent="0.2">
      <c r="A3" s="2" t="s">
        <v>81</v>
      </c>
      <c r="B3" s="2" t="s">
        <v>82</v>
      </c>
      <c r="C3" s="2" t="s">
        <v>83</v>
      </c>
      <c r="D3" s="2" t="s">
        <v>84</v>
      </c>
      <c r="E3" s="2" t="s">
        <v>85</v>
      </c>
    </row>
    <row r="4" spans="1:5" ht="80" x14ac:dyDescent="0.2">
      <c r="A4" s="1" t="s">
        <v>86</v>
      </c>
      <c r="B4" s="1" t="s">
        <v>87</v>
      </c>
      <c r="C4" s="1" t="s">
        <v>88</v>
      </c>
      <c r="D4" s="1" t="s">
        <v>89</v>
      </c>
      <c r="E4" s="1" t="s">
        <v>90</v>
      </c>
    </row>
    <row r="5" spans="1:5" ht="80" x14ac:dyDescent="0.2">
      <c r="A5" s="1" t="s">
        <v>86</v>
      </c>
      <c r="B5" s="1" t="s">
        <v>91</v>
      </c>
      <c r="C5" s="1" t="s">
        <v>92</v>
      </c>
      <c r="D5" s="1" t="s">
        <v>93</v>
      </c>
      <c r="E5" s="1" t="s">
        <v>94</v>
      </c>
    </row>
    <row r="6" spans="1:5" ht="80" x14ac:dyDescent="0.2">
      <c r="A6" s="1" t="s">
        <v>86</v>
      </c>
      <c r="B6" s="1" t="s">
        <v>95</v>
      </c>
      <c r="C6" s="1" t="s">
        <v>96</v>
      </c>
      <c r="D6" s="1" t="s">
        <v>97</v>
      </c>
      <c r="E6" s="1" t="s">
        <v>98</v>
      </c>
    </row>
    <row r="9" spans="1:5" ht="16" x14ac:dyDescent="0.2">
      <c r="A9" s="5" t="s">
        <v>99</v>
      </c>
    </row>
    <row r="10" spans="1:5" x14ac:dyDescent="0.2">
      <c r="A10" s="14" t="s">
        <v>100</v>
      </c>
      <c r="B10" s="13"/>
      <c r="C10" s="13"/>
      <c r="D10" s="13"/>
      <c r="E10" s="13"/>
    </row>
  </sheetData>
  <mergeCells count="2">
    <mergeCell ref="A1:E1"/>
    <mergeCell ref="A10:E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4" width="18" customWidth="1"/>
  </cols>
  <sheetData>
    <row r="1" spans="1:4" x14ac:dyDescent="0.2">
      <c r="A1" s="12" t="s">
        <v>101</v>
      </c>
      <c r="B1" s="13"/>
      <c r="C1" s="13"/>
      <c r="D1" s="13"/>
    </row>
    <row r="3" spans="1:4" ht="16" x14ac:dyDescent="0.2">
      <c r="A3" s="2" t="s">
        <v>2</v>
      </c>
      <c r="B3" s="2" t="s">
        <v>102</v>
      </c>
      <c r="C3" s="2" t="s">
        <v>103</v>
      </c>
      <c r="D3" s="2" t="s">
        <v>104</v>
      </c>
    </row>
    <row r="4" spans="1:4" ht="64" x14ac:dyDescent="0.2">
      <c r="A4" s="1" t="s">
        <v>41</v>
      </c>
      <c r="B4" s="1" t="s">
        <v>105</v>
      </c>
      <c r="C4" s="1" t="s">
        <v>106</v>
      </c>
      <c r="D4" s="1" t="s">
        <v>107</v>
      </c>
    </row>
    <row r="5" spans="1:4" ht="80" x14ac:dyDescent="0.2">
      <c r="A5" s="1" t="s">
        <v>57</v>
      </c>
      <c r="B5" s="1" t="s">
        <v>108</v>
      </c>
      <c r="C5" s="1" t="s">
        <v>109</v>
      </c>
      <c r="D5" s="1" t="s">
        <v>110</v>
      </c>
    </row>
    <row r="6" spans="1:4" ht="48" x14ac:dyDescent="0.2">
      <c r="A6" s="1" t="s">
        <v>58</v>
      </c>
      <c r="B6" s="1" t="s">
        <v>111</v>
      </c>
      <c r="C6" s="1" t="s">
        <v>112</v>
      </c>
      <c r="D6" s="1" t="s">
        <v>113</v>
      </c>
    </row>
    <row r="7" spans="1:4" ht="64" x14ac:dyDescent="0.2">
      <c r="A7" s="1" t="s">
        <v>32</v>
      </c>
      <c r="B7" s="1" t="s">
        <v>114</v>
      </c>
      <c r="C7" s="1" t="s">
        <v>115</v>
      </c>
      <c r="D7" s="1" t="s">
        <v>116</v>
      </c>
    </row>
    <row r="8" spans="1:4" ht="48" x14ac:dyDescent="0.2">
      <c r="A8" s="1" t="s">
        <v>63</v>
      </c>
      <c r="B8" s="1" t="s">
        <v>117</v>
      </c>
      <c r="C8" s="1" t="s">
        <v>118</v>
      </c>
      <c r="D8" s="1" t="s">
        <v>119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Historical_Financials</vt:lpstr>
      <vt:lpstr>Assumptions</vt:lpstr>
      <vt:lpstr>Revenue_Forecast</vt:lpstr>
      <vt:lpstr>P&amp;L_Forecast</vt:lpstr>
      <vt:lpstr>Cash_Flow_Forecast</vt:lpstr>
      <vt:lpstr>Scenario_Analysis</vt:lpstr>
      <vt:lpstr>Dashboard</vt:lpstr>
      <vt:lpstr>Sources</vt:lpstr>
      <vt:lpstr>Formula_Guide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Adithiya R</cp:lastModifiedBy>
  <dcterms:created xsi:type="dcterms:W3CDTF">2026-09-30T10:29:27Z</dcterms:created>
  <dcterms:modified xsi:type="dcterms:W3CDTF">2026-09-30T14:34:26Z</dcterms:modified>
</cp:coreProperties>
</file>