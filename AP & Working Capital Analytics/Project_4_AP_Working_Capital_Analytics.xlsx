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alculated_Fields" sheetId="3" state="visible" r:id="rId3"/>
    <sheet xmlns:r="http://schemas.openxmlformats.org/officeDocument/2006/relationships" name="Aging_Analysis" sheetId="4" state="visible" r:id="rId4"/>
    <sheet xmlns:r="http://schemas.openxmlformats.org/officeDocument/2006/relationships" name="Vendor_Analysis" sheetId="5" state="visible" r:id="rId5"/>
    <sheet xmlns:r="http://schemas.openxmlformats.org/officeDocument/2006/relationships" name="Department_Analysis" sheetId="6" state="visible" r:id="rId6"/>
    <sheet xmlns:r="http://schemas.openxmlformats.org/officeDocument/2006/relationships" name="Working_Capital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Sources" sheetId="10" state="visible" r:id="rId10"/>
    <sheet xmlns:r="http://schemas.openxmlformats.org/officeDocument/2006/relationships" name="Reverse_Engineering" sheetId="11" state="visible" r:id="rId11"/>
  </sheets>
  <definedNames>
    <definedName name="_xlnm._FilterDatabase" localSheetId="1" hidden="1">'Raw_Data'!$A$3:$N$1003</definedName>
    <definedName name="_xlnm._FilterDatabase" localSheetId="2" hidden="1">'Calculated_Fields'!$A$3:$N$1003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b val="1"/>
      <color rgb="00FFFFFF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0" fontId="5" fillId="0" borderId="0" applyAlignment="1" pivotButton="0" quotePrefix="0" xfId="0">
      <alignment vertical="top"/>
    </xf>
    <xf numFmtId="167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Outstanding AP by Aging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'Dashboard'!$B$12:$F$12</f>
            </numRef>
          </cat>
          <val>
            <numRef>
              <f>'Dashboard'!$B$13:$F$13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Outstanding AP by Vendor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'Dashboard'!$A$26:$A$40</f>
            </numRef>
          </cat>
          <val>
            <numRef>
              <f>'Dashboard'!$B$26:$B$40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4 — AP &amp; Working Capital Analytics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Objective</t>
        </is>
      </c>
      <c r="B3" s="4" t="inlineStr">
        <is>
          <t>Analyze Accounts Payable, invoice aging, payment performance, vendor concentration and working-capital implications.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Dataset</t>
        </is>
      </c>
      <c r="B4" s="4" t="inlineStr">
        <is>
          <t>1,000 synthetic AP invoices created for portfolio practice.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As-of date</t>
        </is>
      </c>
      <c r="B5" s="4" t="inlineStr">
        <is>
          <t>31-Dec-2026 for outstanding/aging analysis.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Tools</t>
        </is>
      </c>
      <c r="B6" s="4" t="inlineStr">
        <is>
          <t>Excel + SQL + Power BI-ready dataset.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Core workflow</t>
        </is>
      </c>
      <c r="B7" s="4" t="inlineStr">
        <is>
          <t>Raw invoices → calculated fields → aging → vendor/department analysis → working capital → dashboard → insights.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Important</t>
        </is>
      </c>
      <c r="B8" s="4" t="inlineStr">
        <is>
          <t>This is a portfolio simulation, not actual employer/client data. Do not present synthetic results as real company results.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DPO note</t>
        </is>
      </c>
      <c r="B9" s="4" t="inlineStr">
        <is>
          <t>The workbook includes an illustrative DPO methodology using average AP / assumed annual purchases. Replace the assumption with actual COGS/purchases when available.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5" t="inlineStr">
        <is>
          <t>Workbook map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• Raw_Data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• Calculated_Fields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• Aging_Analysis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• Vendor_Analysis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• Department_Analysis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• Working_Capital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• Dashboard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• Insights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• Sources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• Reverse_Engineering</t>
        </is>
      </c>
      <c r="B22" s="2" t="n"/>
      <c r="C22" s="2" t="n"/>
      <c r="D22" s="2" t="n"/>
      <c r="E22" s="2" t="n"/>
      <c r="F22" s="2" t="n"/>
      <c r="G22" s="2" t="n"/>
      <c r="H22" s="2" t="n"/>
    </row>
  </sheetData>
  <mergeCells count="8">
    <mergeCell ref="B8:H8"/>
    <mergeCell ref="B9:H9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4" customWidth="1" min="5" max="5"/>
    <col width="16" customWidth="1" min="6" max="6"/>
    <col width="18" customWidth="1" min="7" max="7"/>
    <col width="14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6" customWidth="1" min="14" max="14"/>
  </cols>
  <sheetData>
    <row r="1">
      <c r="A1" s="1" t="inlineStr">
        <is>
          <t>Raw AP Invoice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6" t="inlineStr">
        <is>
          <t>Invoice_ID</t>
        </is>
      </c>
      <c r="B3" s="6" t="inlineStr">
        <is>
          <t>Invoice_Date</t>
        </is>
      </c>
      <c r="C3" s="6" t="inlineStr">
        <is>
          <t>Vendor</t>
        </is>
      </c>
      <c r="D3" s="6" t="inlineStr">
        <is>
          <t>Department</t>
        </is>
      </c>
      <c r="E3" s="6" t="inlineStr">
        <is>
          <t>Category</t>
        </is>
      </c>
      <c r="F3" s="6" t="inlineStr">
        <is>
          <t>Invoice_Amount</t>
        </is>
      </c>
      <c r="G3" s="6" t="inlineStr">
        <is>
          <t>Payment_Terms_Days</t>
        </is>
      </c>
      <c r="H3" s="6" t="inlineStr">
        <is>
          <t>Due_Date</t>
        </is>
      </c>
      <c r="I3" s="6" t="inlineStr">
        <is>
          <t>Payment_Date</t>
        </is>
      </c>
      <c r="J3" s="6" t="inlineStr">
        <is>
          <t>Payment_Status</t>
        </is>
      </c>
      <c r="K3" s="6" t="inlineStr">
        <is>
          <t>Discount_Available</t>
        </is>
      </c>
      <c r="L3" s="6" t="inlineStr">
        <is>
          <t>Discount_%</t>
        </is>
      </c>
      <c r="M3" s="6" t="inlineStr">
        <is>
          <t>GRN_Status</t>
        </is>
      </c>
      <c r="N3" s="6" t="inlineStr">
        <is>
          <t>Approval_Status</t>
        </is>
      </c>
      <c r="O3" s="2" t="n"/>
      <c r="P3" s="2" t="n"/>
      <c r="Q3" s="2" t="n"/>
      <c r="R3" s="2" t="n"/>
    </row>
    <row r="4">
      <c r="A4" s="2" t="inlineStr">
        <is>
          <t>INV00001</t>
        </is>
      </c>
      <c r="B4" s="7" t="n">
        <v>46330</v>
      </c>
      <c r="C4" s="2" t="inlineStr">
        <is>
          <t>Microsoft</t>
        </is>
      </c>
      <c r="D4" s="2" t="inlineStr">
        <is>
          <t>Sales</t>
        </is>
      </c>
      <c r="E4" s="2" t="inlineStr">
        <is>
          <t>Consulting</t>
        </is>
      </c>
      <c r="F4" s="8" t="n">
        <v>59700</v>
      </c>
      <c r="G4" s="2" t="n">
        <v>30</v>
      </c>
      <c r="H4" s="7" t="n">
        <v>46360</v>
      </c>
      <c r="I4" s="7" t="n">
        <v>46360</v>
      </c>
      <c r="J4" s="2" t="inlineStr">
        <is>
          <t>Paid</t>
        </is>
      </c>
      <c r="K4" s="2" t="inlineStr">
        <is>
          <t>Yes</t>
        </is>
      </c>
      <c r="L4" s="9" t="n">
        <v>0.02</v>
      </c>
      <c r="M4" s="2" t="inlineStr">
        <is>
          <t>Received</t>
        </is>
      </c>
      <c r="N4" s="2" t="inlineStr">
        <is>
          <t>Approved</t>
        </is>
      </c>
      <c r="O4" s="2" t="n"/>
      <c r="P4" s="2" t="n"/>
      <c r="Q4" s="2" t="n"/>
      <c r="R4" s="2" t="n"/>
    </row>
    <row r="5">
      <c r="A5" s="2" t="inlineStr">
        <is>
          <t>INV00002</t>
        </is>
      </c>
      <c r="B5" s="7" t="n">
        <v>46272</v>
      </c>
      <c r="C5" s="2" t="inlineStr">
        <is>
          <t>Wipro</t>
        </is>
      </c>
      <c r="D5" s="2" t="inlineStr">
        <is>
          <t>Sales</t>
        </is>
      </c>
      <c r="E5" s="2" t="inlineStr">
        <is>
          <t>Travel</t>
        </is>
      </c>
      <c r="F5" s="8" t="n">
        <v>59000</v>
      </c>
      <c r="G5" s="2" t="n">
        <v>60</v>
      </c>
      <c r="H5" s="7" t="n">
        <v>46332</v>
      </c>
      <c r="I5" s="2" t="n"/>
      <c r="J5" s="2" t="inlineStr">
        <is>
          <t>Pending</t>
        </is>
      </c>
      <c r="K5" s="2" t="inlineStr">
        <is>
          <t>Yes</t>
        </is>
      </c>
      <c r="L5" s="9" t="n">
        <v>0.02</v>
      </c>
      <c r="M5" s="2" t="inlineStr">
        <is>
          <t>Received</t>
        </is>
      </c>
      <c r="N5" s="2" t="inlineStr">
        <is>
          <t>Approved</t>
        </is>
      </c>
      <c r="O5" s="2" t="n"/>
      <c r="P5" s="2" t="n"/>
      <c r="Q5" s="2" t="n"/>
      <c r="R5" s="2" t="n"/>
    </row>
    <row r="6">
      <c r="A6" s="2" t="inlineStr">
        <is>
          <t>INV00003</t>
        </is>
      </c>
      <c r="B6" s="7" t="n">
        <v>46137</v>
      </c>
      <c r="C6" s="2" t="inlineStr">
        <is>
          <t>Oracle</t>
        </is>
      </c>
      <c r="D6" s="2" t="inlineStr">
        <is>
          <t>IT</t>
        </is>
      </c>
      <c r="E6" s="2" t="inlineStr">
        <is>
          <t>Software</t>
        </is>
      </c>
      <c r="F6" s="8" t="n">
        <v>885600</v>
      </c>
      <c r="G6" s="2" t="n">
        <v>60</v>
      </c>
      <c r="H6" s="7" t="n">
        <v>46197</v>
      </c>
      <c r="I6" s="2" t="n"/>
      <c r="J6" s="2" t="inlineStr">
        <is>
          <t>Pending</t>
        </is>
      </c>
      <c r="K6" s="2" t="inlineStr">
        <is>
          <t>No</t>
        </is>
      </c>
      <c r="L6" s="9" t="n">
        <v>0</v>
      </c>
      <c r="M6" s="2" t="inlineStr">
        <is>
          <t>Received</t>
        </is>
      </c>
      <c r="N6" s="2" t="inlineStr">
        <is>
          <t>Pending</t>
        </is>
      </c>
      <c r="O6" s="2" t="n"/>
      <c r="P6" s="2" t="n"/>
      <c r="Q6" s="2" t="n"/>
      <c r="R6" s="2" t="n"/>
    </row>
    <row r="7">
      <c r="A7" s="2" t="inlineStr">
        <is>
          <t>INV00004</t>
        </is>
      </c>
      <c r="B7" s="7" t="n">
        <v>46206</v>
      </c>
      <c r="C7" s="2" t="inlineStr">
        <is>
          <t>Google Cloud</t>
        </is>
      </c>
      <c r="D7" s="2" t="inlineStr">
        <is>
          <t>HR</t>
        </is>
      </c>
      <c r="E7" s="2" t="inlineStr">
        <is>
          <t>Facilities</t>
        </is>
      </c>
      <c r="F7" s="8" t="n">
        <v>146500</v>
      </c>
      <c r="G7" s="2" t="n">
        <v>45</v>
      </c>
      <c r="H7" s="7" t="n">
        <v>46251</v>
      </c>
      <c r="I7" s="7" t="n">
        <v>46266</v>
      </c>
      <c r="J7" s="2" t="inlineStr">
        <is>
          <t>Paid</t>
        </is>
      </c>
      <c r="K7" s="2" t="inlineStr">
        <is>
          <t>No</t>
        </is>
      </c>
      <c r="L7" s="9" t="n">
        <v>0</v>
      </c>
      <c r="M7" s="2" t="inlineStr">
        <is>
          <t>Received</t>
        </is>
      </c>
      <c r="N7" s="2" t="inlineStr">
        <is>
          <t>Approved</t>
        </is>
      </c>
      <c r="O7" s="2" t="n"/>
      <c r="P7" s="2" t="n"/>
      <c r="Q7" s="2" t="n"/>
      <c r="R7" s="2" t="n"/>
    </row>
    <row r="8">
      <c r="A8" s="2" t="inlineStr">
        <is>
          <t>INV00005</t>
        </is>
      </c>
      <c r="B8" s="7" t="n">
        <v>46212</v>
      </c>
      <c r="C8" s="2" t="inlineStr">
        <is>
          <t>IBM</t>
        </is>
      </c>
      <c r="D8" s="2" t="inlineStr">
        <is>
          <t>Sales</t>
        </is>
      </c>
      <c r="E8" s="2" t="inlineStr">
        <is>
          <t>Facilities</t>
        </is>
      </c>
      <c r="F8" s="8" t="n">
        <v>516500</v>
      </c>
      <c r="G8" s="2" t="n">
        <v>45</v>
      </c>
      <c r="H8" s="7" t="n">
        <v>46257</v>
      </c>
      <c r="I8" s="7" t="n">
        <v>46262</v>
      </c>
      <c r="J8" s="2" t="inlineStr">
        <is>
          <t>Paid</t>
        </is>
      </c>
      <c r="K8" s="2" t="inlineStr">
        <is>
          <t>Yes</t>
        </is>
      </c>
      <c r="L8" s="9" t="n">
        <v>0.02</v>
      </c>
      <c r="M8" s="2" t="inlineStr">
        <is>
          <t>Received</t>
        </is>
      </c>
      <c r="N8" s="2" t="inlineStr">
        <is>
          <t>Approved</t>
        </is>
      </c>
      <c r="O8" s="2" t="n"/>
      <c r="P8" s="2" t="n"/>
      <c r="Q8" s="2" t="n"/>
      <c r="R8" s="2" t="n"/>
    </row>
    <row r="9">
      <c r="A9" s="2" t="inlineStr">
        <is>
          <t>INV00006</t>
        </is>
      </c>
      <c r="B9" s="7" t="n">
        <v>46118</v>
      </c>
      <c r="C9" s="2" t="inlineStr">
        <is>
          <t>IBM</t>
        </is>
      </c>
      <c r="D9" s="2" t="inlineStr">
        <is>
          <t>Operations</t>
        </is>
      </c>
      <c r="E9" s="2" t="inlineStr">
        <is>
          <t>Consulting</t>
        </is>
      </c>
      <c r="F9" s="8" t="n">
        <v>172700</v>
      </c>
      <c r="G9" s="2" t="n">
        <v>30</v>
      </c>
      <c r="H9" s="7" t="n">
        <v>46148</v>
      </c>
      <c r="I9" s="7" t="n">
        <v>46148</v>
      </c>
      <c r="J9" s="2" t="inlineStr">
        <is>
          <t>Paid</t>
        </is>
      </c>
      <c r="K9" s="2" t="inlineStr">
        <is>
          <t>Yes</t>
        </is>
      </c>
      <c r="L9" s="9" t="n">
        <v>0.02</v>
      </c>
      <c r="M9" s="2" t="inlineStr">
        <is>
          <t>Received</t>
        </is>
      </c>
      <c r="N9" s="2" t="inlineStr">
        <is>
          <t>Approved</t>
        </is>
      </c>
      <c r="O9" s="2" t="n"/>
      <c r="P9" s="2" t="n"/>
      <c r="Q9" s="2" t="n"/>
      <c r="R9" s="2" t="n"/>
    </row>
    <row r="10">
      <c r="A10" s="2" t="inlineStr">
        <is>
          <t>INV00007</t>
        </is>
      </c>
      <c r="B10" s="7" t="n">
        <v>46318</v>
      </c>
      <c r="C10" s="2" t="inlineStr">
        <is>
          <t>Oracle</t>
        </is>
      </c>
      <c r="D10" s="2" t="inlineStr">
        <is>
          <t>Finance</t>
        </is>
      </c>
      <c r="E10" s="2" t="inlineStr">
        <is>
          <t>Travel</t>
        </is>
      </c>
      <c r="F10" s="8" t="n">
        <v>935900</v>
      </c>
      <c r="G10" s="2" t="n">
        <v>60</v>
      </c>
      <c r="H10" s="7" t="n">
        <v>46378</v>
      </c>
      <c r="I10" s="7" t="n">
        <v>46378</v>
      </c>
      <c r="J10" s="2" t="inlineStr">
        <is>
          <t>Paid</t>
        </is>
      </c>
      <c r="K10" s="2" t="inlineStr">
        <is>
          <t>No</t>
        </is>
      </c>
      <c r="L10" s="9" t="n">
        <v>0</v>
      </c>
      <c r="M10" s="2" t="inlineStr">
        <is>
          <t>Received</t>
        </is>
      </c>
      <c r="N10" s="2" t="inlineStr">
        <is>
          <t>Approved</t>
        </is>
      </c>
      <c r="O10" s="2" t="n"/>
      <c r="P10" s="2" t="n"/>
      <c r="Q10" s="2" t="n"/>
      <c r="R10" s="2" t="n"/>
    </row>
    <row r="11">
      <c r="A11" s="2" t="inlineStr">
        <is>
          <t>INV00008</t>
        </is>
      </c>
      <c r="B11" s="7" t="n">
        <v>46222</v>
      </c>
      <c r="C11" s="2" t="inlineStr">
        <is>
          <t>Adobe</t>
        </is>
      </c>
      <c r="D11" s="2" t="inlineStr">
        <is>
          <t>HR</t>
        </is>
      </c>
      <c r="E11" s="2" t="inlineStr">
        <is>
          <t>Cloud</t>
        </is>
      </c>
      <c r="F11" s="8" t="n">
        <v>129800</v>
      </c>
      <c r="G11" s="2" t="n">
        <v>30</v>
      </c>
      <c r="H11" s="7" t="n">
        <v>46252</v>
      </c>
      <c r="I11" s="2" t="n"/>
      <c r="J11" s="2" t="inlineStr">
        <is>
          <t>Pending</t>
        </is>
      </c>
      <c r="K11" s="2" t="inlineStr">
        <is>
          <t>Yes</t>
        </is>
      </c>
      <c r="L11" s="9" t="n">
        <v>0.02</v>
      </c>
      <c r="M11" s="2" t="inlineStr">
        <is>
          <t>Received</t>
        </is>
      </c>
      <c r="N11" s="2" t="inlineStr">
        <is>
          <t>Approved</t>
        </is>
      </c>
      <c r="O11" s="2" t="n"/>
      <c r="P11" s="2" t="n"/>
      <c r="Q11" s="2" t="n"/>
      <c r="R11" s="2" t="n"/>
    </row>
    <row r="12">
      <c r="A12" s="2" t="inlineStr">
        <is>
          <t>INV00009</t>
        </is>
      </c>
      <c r="B12" s="7" t="n">
        <v>46298</v>
      </c>
      <c r="C12" s="2" t="inlineStr">
        <is>
          <t>Adobe</t>
        </is>
      </c>
      <c r="D12" s="2" t="inlineStr">
        <is>
          <t>Operations</t>
        </is>
      </c>
      <c r="E12" s="2" t="inlineStr">
        <is>
          <t>Office Supplies</t>
        </is>
      </c>
      <c r="F12" s="8" t="n">
        <v>134600</v>
      </c>
      <c r="G12" s="2" t="n">
        <v>60</v>
      </c>
      <c r="H12" s="7" t="n">
        <v>46358</v>
      </c>
      <c r="I12" s="7" t="n">
        <v>46358</v>
      </c>
      <c r="J12" s="2" t="inlineStr">
        <is>
          <t>Paid</t>
        </is>
      </c>
      <c r="K12" s="2" t="inlineStr">
        <is>
          <t>No</t>
        </is>
      </c>
      <c r="L12" s="9" t="n">
        <v>0</v>
      </c>
      <c r="M12" s="2" t="inlineStr">
        <is>
          <t>Received</t>
        </is>
      </c>
      <c r="N12" s="2" t="inlineStr">
        <is>
          <t>Approved</t>
        </is>
      </c>
      <c r="O12" s="2" t="n"/>
      <c r="P12" s="2" t="n"/>
      <c r="Q12" s="2" t="n"/>
      <c r="R12" s="2" t="n"/>
    </row>
    <row r="13">
      <c r="A13" s="2" t="inlineStr">
        <is>
          <t>INV00010</t>
        </is>
      </c>
      <c r="B13" s="7" t="n">
        <v>46177</v>
      </c>
      <c r="C13" s="2" t="inlineStr">
        <is>
          <t>Infosys</t>
        </is>
      </c>
      <c r="D13" s="2" t="inlineStr">
        <is>
          <t>Operations</t>
        </is>
      </c>
      <c r="E13" s="2" t="inlineStr">
        <is>
          <t>Cloud</t>
        </is>
      </c>
      <c r="F13" s="8" t="n">
        <v>791600</v>
      </c>
      <c r="G13" s="2" t="n">
        <v>60</v>
      </c>
      <c r="H13" s="7" t="n">
        <v>46237</v>
      </c>
      <c r="I13" s="2" t="n"/>
      <c r="J13" s="2" t="inlineStr">
        <is>
          <t>Pending</t>
        </is>
      </c>
      <c r="K13" s="2" t="inlineStr">
        <is>
          <t>No</t>
        </is>
      </c>
      <c r="L13" s="9" t="n">
        <v>0</v>
      </c>
      <c r="M13" s="2" t="inlineStr">
        <is>
          <t>Received</t>
        </is>
      </c>
      <c r="N13" s="2" t="inlineStr">
        <is>
          <t>Approved</t>
        </is>
      </c>
      <c r="O13" s="2" t="n"/>
      <c r="P13" s="2" t="n"/>
      <c r="Q13" s="2" t="n"/>
      <c r="R13" s="2" t="n"/>
    </row>
    <row r="14">
      <c r="A14" s="2" t="inlineStr">
        <is>
          <t>INV00011</t>
        </is>
      </c>
      <c r="B14" s="7" t="n">
        <v>46336</v>
      </c>
      <c r="C14" s="2" t="inlineStr">
        <is>
          <t>HCLTech</t>
        </is>
      </c>
      <c r="D14" s="2" t="inlineStr">
        <is>
          <t>Sales</t>
        </is>
      </c>
      <c r="E14" s="2" t="inlineStr">
        <is>
          <t>Office Supplies</t>
        </is>
      </c>
      <c r="F14" s="8" t="n">
        <v>42400</v>
      </c>
      <c r="G14" s="2" t="n">
        <v>30</v>
      </c>
      <c r="H14" s="7" t="n">
        <v>46366</v>
      </c>
      <c r="I14" s="7" t="n">
        <v>46366</v>
      </c>
      <c r="J14" s="2" t="inlineStr">
        <is>
          <t>Paid</t>
        </is>
      </c>
      <c r="K14" s="2" t="inlineStr">
        <is>
          <t>Yes</t>
        </is>
      </c>
      <c r="L14" s="9" t="n">
        <v>0.02</v>
      </c>
      <c r="M14" s="2" t="inlineStr">
        <is>
          <t>Received</t>
        </is>
      </c>
      <c r="N14" s="2" t="inlineStr">
        <is>
          <t>Pending</t>
        </is>
      </c>
      <c r="O14" s="2" t="n"/>
      <c r="P14" s="2" t="n"/>
      <c r="Q14" s="2" t="n"/>
      <c r="R14" s="2" t="n"/>
    </row>
    <row r="15">
      <c r="A15" s="2" t="inlineStr">
        <is>
          <t>INV00012</t>
        </is>
      </c>
      <c r="B15" s="7" t="n">
        <v>46150</v>
      </c>
      <c r="C15" s="2" t="inlineStr">
        <is>
          <t>Microsoft</t>
        </is>
      </c>
      <c r="D15" s="2" t="inlineStr">
        <is>
          <t>Finance</t>
        </is>
      </c>
      <c r="E15" s="2" t="inlineStr">
        <is>
          <t>Office Supplies</t>
        </is>
      </c>
      <c r="F15" s="8" t="n">
        <v>26000</v>
      </c>
      <c r="G15" s="2" t="n">
        <v>15</v>
      </c>
      <c r="H15" s="7" t="n">
        <v>46165</v>
      </c>
      <c r="I15" s="2" t="n"/>
      <c r="J15" s="2" t="inlineStr">
        <is>
          <t>Pending</t>
        </is>
      </c>
      <c r="K15" s="2" t="inlineStr">
        <is>
          <t>No</t>
        </is>
      </c>
      <c r="L15" s="9" t="n">
        <v>0</v>
      </c>
      <c r="M15" s="2" t="inlineStr">
        <is>
          <t>Received</t>
        </is>
      </c>
      <c r="N15" s="2" t="inlineStr">
        <is>
          <t>Approved</t>
        </is>
      </c>
      <c r="O15" s="2" t="n"/>
      <c r="P15" s="2" t="n"/>
      <c r="Q15" s="2" t="n"/>
      <c r="R15" s="2" t="n"/>
    </row>
    <row r="16">
      <c r="A16" s="2" t="inlineStr">
        <is>
          <t>INV00013</t>
        </is>
      </c>
      <c r="B16" s="7" t="n">
        <v>46271</v>
      </c>
      <c r="C16" s="2" t="inlineStr">
        <is>
          <t>Infosys</t>
        </is>
      </c>
      <c r="D16" s="2" t="inlineStr">
        <is>
          <t>Marketing</t>
        </is>
      </c>
      <c r="E16" s="2" t="inlineStr">
        <is>
          <t>Facilities</t>
        </is>
      </c>
      <c r="F16" s="8" t="n">
        <v>241300</v>
      </c>
      <c r="G16" s="2" t="n">
        <v>60</v>
      </c>
      <c r="H16" s="7" t="n">
        <v>46331</v>
      </c>
      <c r="I16" s="7" t="n">
        <v>46331</v>
      </c>
      <c r="J16" s="2" t="inlineStr">
        <is>
          <t>Paid</t>
        </is>
      </c>
      <c r="K16" s="2" t="inlineStr">
        <is>
          <t>No</t>
        </is>
      </c>
      <c r="L16" s="9" t="n">
        <v>0</v>
      </c>
      <c r="M16" s="2" t="inlineStr">
        <is>
          <t>Received</t>
        </is>
      </c>
      <c r="N16" s="2" t="inlineStr">
        <is>
          <t>Approved</t>
        </is>
      </c>
      <c r="O16" s="2" t="n"/>
      <c r="P16" s="2" t="n"/>
      <c r="Q16" s="2" t="n"/>
      <c r="R16" s="2" t="n"/>
    </row>
    <row r="17">
      <c r="A17" s="2" t="inlineStr">
        <is>
          <t>INV00014</t>
        </is>
      </c>
      <c r="B17" s="7" t="n">
        <v>46238</v>
      </c>
      <c r="C17" s="2" t="inlineStr">
        <is>
          <t>TCS</t>
        </is>
      </c>
      <c r="D17" s="2" t="inlineStr">
        <is>
          <t>Finance</t>
        </is>
      </c>
      <c r="E17" s="2" t="inlineStr">
        <is>
          <t>Software</t>
        </is>
      </c>
      <c r="F17" s="8" t="n">
        <v>10200</v>
      </c>
      <c r="G17" s="2" t="n">
        <v>45</v>
      </c>
      <c r="H17" s="7" t="n">
        <v>46283</v>
      </c>
      <c r="I17" s="7" t="n">
        <v>46298</v>
      </c>
      <c r="J17" s="2" t="inlineStr">
        <is>
          <t>Paid</t>
        </is>
      </c>
      <c r="K17" s="2" t="inlineStr">
        <is>
          <t>Yes</t>
        </is>
      </c>
      <c r="L17" s="9" t="n">
        <v>0.02</v>
      </c>
      <c r="M17" s="2" t="inlineStr">
        <is>
          <t>Received</t>
        </is>
      </c>
      <c r="N17" s="2" t="inlineStr">
        <is>
          <t>Approved</t>
        </is>
      </c>
      <c r="O17" s="2" t="n"/>
      <c r="P17" s="2" t="n"/>
      <c r="Q17" s="2" t="n"/>
      <c r="R17" s="2" t="n"/>
    </row>
    <row r="18">
      <c r="A18" s="2" t="inlineStr">
        <is>
          <t>INV00015</t>
        </is>
      </c>
      <c r="B18" s="7" t="n">
        <v>46176</v>
      </c>
      <c r="C18" s="2" t="inlineStr">
        <is>
          <t>Google Cloud</t>
        </is>
      </c>
      <c r="D18" s="2" t="inlineStr">
        <is>
          <t>Finance</t>
        </is>
      </c>
      <c r="E18" s="2" t="inlineStr">
        <is>
          <t>Consulting</t>
        </is>
      </c>
      <c r="F18" s="8" t="n">
        <v>349200</v>
      </c>
      <c r="G18" s="2" t="n">
        <v>60</v>
      </c>
      <c r="H18" s="7" t="n">
        <v>46236</v>
      </c>
      <c r="I18" s="7" t="n">
        <v>46236</v>
      </c>
      <c r="J18" s="2" t="inlineStr">
        <is>
          <t>Paid</t>
        </is>
      </c>
      <c r="K18" s="2" t="inlineStr">
        <is>
          <t>No</t>
        </is>
      </c>
      <c r="L18" s="9" t="n">
        <v>0</v>
      </c>
      <c r="M18" s="2" t="inlineStr">
        <is>
          <t>Received</t>
        </is>
      </c>
      <c r="N18" s="2" t="inlineStr">
        <is>
          <t>Approved</t>
        </is>
      </c>
      <c r="O18" s="2" t="n"/>
      <c r="P18" s="2" t="n"/>
      <c r="Q18" s="2" t="n"/>
      <c r="R18" s="2" t="n"/>
    </row>
    <row r="19">
      <c r="A19" s="2" t="inlineStr">
        <is>
          <t>INV00016</t>
        </is>
      </c>
      <c r="B19" s="7" t="n">
        <v>46187</v>
      </c>
      <c r="C19" s="2" t="inlineStr">
        <is>
          <t>Adobe</t>
        </is>
      </c>
      <c r="D19" s="2" t="inlineStr">
        <is>
          <t>Operations</t>
        </is>
      </c>
      <c r="E19" s="2" t="inlineStr">
        <is>
          <t>Facilities</t>
        </is>
      </c>
      <c r="F19" s="8" t="n">
        <v>170000</v>
      </c>
      <c r="G19" s="2" t="n">
        <v>15</v>
      </c>
      <c r="H19" s="7" t="n">
        <v>46202</v>
      </c>
      <c r="I19" s="7" t="n">
        <v>46217</v>
      </c>
      <c r="J19" s="2" t="inlineStr">
        <is>
          <t>Paid</t>
        </is>
      </c>
      <c r="K19" s="2" t="inlineStr">
        <is>
          <t>No</t>
        </is>
      </c>
      <c r="L19" s="9" t="n">
        <v>0</v>
      </c>
      <c r="M19" s="2" t="inlineStr">
        <is>
          <t>Received</t>
        </is>
      </c>
      <c r="N19" s="2" t="inlineStr">
        <is>
          <t>Approved</t>
        </is>
      </c>
      <c r="O19" s="2" t="n"/>
      <c r="P19" s="2" t="n"/>
      <c r="Q19" s="2" t="n"/>
      <c r="R19" s="2" t="n"/>
    </row>
    <row r="20">
      <c r="A20" s="2" t="inlineStr">
        <is>
          <t>INV00017</t>
        </is>
      </c>
      <c r="B20" s="7" t="n">
        <v>46280</v>
      </c>
      <c r="C20" s="2" t="inlineStr">
        <is>
          <t>Deloitte</t>
        </is>
      </c>
      <c r="D20" s="2" t="inlineStr">
        <is>
          <t>Operations</t>
        </is>
      </c>
      <c r="E20" s="2" t="inlineStr">
        <is>
          <t>Cloud</t>
        </is>
      </c>
      <c r="F20" s="8" t="n">
        <v>118300</v>
      </c>
      <c r="G20" s="2" t="n">
        <v>45</v>
      </c>
      <c r="H20" s="7" t="n">
        <v>46325</v>
      </c>
      <c r="I20" s="7" t="n">
        <v>46355</v>
      </c>
      <c r="J20" s="2" t="inlineStr">
        <is>
          <t>Paid</t>
        </is>
      </c>
      <c r="K20" s="2" t="inlineStr">
        <is>
          <t>No</t>
        </is>
      </c>
      <c r="L20" s="9" t="n">
        <v>0</v>
      </c>
      <c r="M20" s="2" t="inlineStr">
        <is>
          <t>Received</t>
        </is>
      </c>
      <c r="N20" s="2" t="inlineStr">
        <is>
          <t>Pending</t>
        </is>
      </c>
      <c r="O20" s="2" t="n"/>
      <c r="P20" s="2" t="n"/>
      <c r="Q20" s="2" t="n"/>
      <c r="R20" s="2" t="n"/>
    </row>
    <row r="21">
      <c r="A21" s="2" t="inlineStr">
        <is>
          <t>INV00018</t>
        </is>
      </c>
      <c r="B21" s="7" t="n">
        <v>46025</v>
      </c>
      <c r="C21" s="2" t="inlineStr">
        <is>
          <t>Zoho</t>
        </is>
      </c>
      <c r="D21" s="2" t="inlineStr">
        <is>
          <t>Finance</t>
        </is>
      </c>
      <c r="E21" s="2" t="inlineStr">
        <is>
          <t>Cloud</t>
        </is>
      </c>
      <c r="F21" s="8" t="n">
        <v>410300</v>
      </c>
      <c r="G21" s="2" t="n">
        <v>60</v>
      </c>
      <c r="H21" s="7" t="n">
        <v>46085</v>
      </c>
      <c r="I21" s="2" t="n"/>
      <c r="J21" s="2" t="inlineStr">
        <is>
          <t>Pending</t>
        </is>
      </c>
      <c r="K21" s="2" t="inlineStr">
        <is>
          <t>Yes</t>
        </is>
      </c>
      <c r="L21" s="9" t="n">
        <v>0.02</v>
      </c>
      <c r="M21" s="2" t="inlineStr">
        <is>
          <t>Received</t>
        </is>
      </c>
      <c r="N21" s="2" t="inlineStr">
        <is>
          <t>Approved</t>
        </is>
      </c>
      <c r="O21" s="2" t="n"/>
      <c r="P21" s="2" t="n"/>
      <c r="Q21" s="2" t="n"/>
      <c r="R21" s="2" t="n"/>
    </row>
    <row r="22">
      <c r="A22" s="2" t="inlineStr">
        <is>
          <t>INV00019</t>
        </is>
      </c>
      <c r="B22" s="7" t="n">
        <v>46244</v>
      </c>
      <c r="C22" s="2" t="inlineStr">
        <is>
          <t>Adobe</t>
        </is>
      </c>
      <c r="D22" s="2" t="inlineStr">
        <is>
          <t>Sales</t>
        </is>
      </c>
      <c r="E22" s="2" t="inlineStr">
        <is>
          <t>Travel</t>
        </is>
      </c>
      <c r="F22" s="8" t="n">
        <v>42900</v>
      </c>
      <c r="G22" s="2" t="n">
        <v>60</v>
      </c>
      <c r="H22" s="7" t="n">
        <v>46304</v>
      </c>
      <c r="I22" s="7" t="n">
        <v>46304</v>
      </c>
      <c r="J22" s="2" t="inlineStr">
        <is>
          <t>Paid</t>
        </is>
      </c>
      <c r="K22" s="2" t="inlineStr">
        <is>
          <t>No</t>
        </is>
      </c>
      <c r="L22" s="9" t="n">
        <v>0</v>
      </c>
      <c r="M22" s="2" t="inlineStr">
        <is>
          <t>Received</t>
        </is>
      </c>
      <c r="N22" s="2" t="inlineStr">
        <is>
          <t>Approved</t>
        </is>
      </c>
      <c r="O22" s="2" t="n"/>
      <c r="P22" s="2" t="n"/>
      <c r="Q22" s="2" t="n"/>
      <c r="R22" s="2" t="n"/>
    </row>
    <row r="23">
      <c r="A23" s="2" t="inlineStr">
        <is>
          <t>INV00020</t>
        </is>
      </c>
      <c r="B23" s="7" t="n">
        <v>46293</v>
      </c>
      <c r="C23" s="2" t="inlineStr">
        <is>
          <t>Google Cloud</t>
        </is>
      </c>
      <c r="D23" s="2" t="inlineStr">
        <is>
          <t>Finance</t>
        </is>
      </c>
      <c r="E23" s="2" t="inlineStr">
        <is>
          <t>Software</t>
        </is>
      </c>
      <c r="F23" s="8" t="n">
        <v>213600</v>
      </c>
      <c r="G23" s="2" t="n">
        <v>15</v>
      </c>
      <c r="H23" s="7" t="n">
        <v>46308</v>
      </c>
      <c r="I23" s="7" t="n">
        <v>46308</v>
      </c>
      <c r="J23" s="2" t="inlineStr">
        <is>
          <t>Paid</t>
        </is>
      </c>
      <c r="K23" s="2" t="inlineStr">
        <is>
          <t>Yes</t>
        </is>
      </c>
      <c r="L23" s="9" t="n">
        <v>0.02</v>
      </c>
      <c r="M23" s="2" t="inlineStr">
        <is>
          <t>Pending</t>
        </is>
      </c>
      <c r="N23" s="2" t="inlineStr">
        <is>
          <t>Approved</t>
        </is>
      </c>
      <c r="O23" s="2" t="n"/>
      <c r="P23" s="2" t="n"/>
      <c r="Q23" s="2" t="n"/>
      <c r="R23" s="2" t="n"/>
    </row>
    <row r="24">
      <c r="A24" s="2" t="inlineStr">
        <is>
          <t>INV00021</t>
        </is>
      </c>
      <c r="B24" s="7" t="n">
        <v>46297</v>
      </c>
      <c r="C24" s="2" t="inlineStr">
        <is>
          <t>Accenture</t>
        </is>
      </c>
      <c r="D24" s="2" t="inlineStr">
        <is>
          <t>IT</t>
        </is>
      </c>
      <c r="E24" s="2" t="inlineStr">
        <is>
          <t>Professional Services</t>
        </is>
      </c>
      <c r="F24" s="8" t="n">
        <v>403200</v>
      </c>
      <c r="G24" s="2" t="n">
        <v>45</v>
      </c>
      <c r="H24" s="7" t="n">
        <v>46342</v>
      </c>
      <c r="I24" s="7" t="n">
        <v>46342</v>
      </c>
      <c r="J24" s="2" t="inlineStr">
        <is>
          <t>Paid</t>
        </is>
      </c>
      <c r="K24" s="2" t="inlineStr">
        <is>
          <t>No</t>
        </is>
      </c>
      <c r="L24" s="9" t="n">
        <v>0</v>
      </c>
      <c r="M24" s="2" t="inlineStr">
        <is>
          <t>Received</t>
        </is>
      </c>
      <c r="N24" s="2" t="inlineStr">
        <is>
          <t>Approved</t>
        </is>
      </c>
      <c r="O24" s="2" t="n"/>
      <c r="P24" s="2" t="n"/>
      <c r="Q24" s="2" t="n"/>
      <c r="R24" s="2" t="n"/>
    </row>
    <row r="25">
      <c r="A25" s="2" t="inlineStr">
        <is>
          <t>INV00022</t>
        </is>
      </c>
      <c r="B25" s="7" t="n">
        <v>46054</v>
      </c>
      <c r="C25" s="2" t="inlineStr">
        <is>
          <t>IBM</t>
        </is>
      </c>
      <c r="D25" s="2" t="inlineStr">
        <is>
          <t>Marketing</t>
        </is>
      </c>
      <c r="E25" s="2" t="inlineStr">
        <is>
          <t>Office Supplies</t>
        </is>
      </c>
      <c r="F25" s="8" t="n">
        <v>409900</v>
      </c>
      <c r="G25" s="2" t="n">
        <v>15</v>
      </c>
      <c r="H25" s="7" t="n">
        <v>46069</v>
      </c>
      <c r="I25" s="7" t="n">
        <v>46069</v>
      </c>
      <c r="J25" s="2" t="inlineStr">
        <is>
          <t>Paid</t>
        </is>
      </c>
      <c r="K25" s="2" t="inlineStr">
        <is>
          <t>Yes</t>
        </is>
      </c>
      <c r="L25" s="9" t="n">
        <v>0.02</v>
      </c>
      <c r="M25" s="2" t="inlineStr">
        <is>
          <t>Received</t>
        </is>
      </c>
      <c r="N25" s="2" t="inlineStr">
        <is>
          <t>Approved</t>
        </is>
      </c>
      <c r="O25" s="2" t="n"/>
      <c r="P25" s="2" t="n"/>
      <c r="Q25" s="2" t="n"/>
      <c r="R25" s="2" t="n"/>
    </row>
    <row r="26">
      <c r="A26" s="2" t="inlineStr">
        <is>
          <t>INV00023</t>
        </is>
      </c>
      <c r="B26" s="7" t="n">
        <v>46261</v>
      </c>
      <c r="C26" s="2" t="inlineStr">
        <is>
          <t>Google Cloud</t>
        </is>
      </c>
      <c r="D26" s="2" t="inlineStr">
        <is>
          <t>Sales</t>
        </is>
      </c>
      <c r="E26" s="2" t="inlineStr">
        <is>
          <t>Consulting</t>
        </is>
      </c>
      <c r="F26" s="8" t="n">
        <v>168600</v>
      </c>
      <c r="G26" s="2" t="n">
        <v>15</v>
      </c>
      <c r="H26" s="7" t="n">
        <v>46276</v>
      </c>
      <c r="I26" s="2" t="n"/>
      <c r="J26" s="2" t="inlineStr">
        <is>
          <t>Pending</t>
        </is>
      </c>
      <c r="K26" s="2" t="inlineStr">
        <is>
          <t>Yes</t>
        </is>
      </c>
      <c r="L26" s="9" t="n">
        <v>0.02</v>
      </c>
      <c r="M26" s="2" t="inlineStr">
        <is>
          <t>Received</t>
        </is>
      </c>
      <c r="N26" s="2" t="inlineStr">
        <is>
          <t>Approved</t>
        </is>
      </c>
      <c r="O26" s="2" t="n"/>
      <c r="P26" s="2" t="n"/>
      <c r="Q26" s="2" t="n"/>
      <c r="R26" s="2" t="n"/>
    </row>
    <row r="27">
      <c r="A27" s="2" t="inlineStr">
        <is>
          <t>INV00024</t>
        </is>
      </c>
      <c r="B27" s="7" t="n">
        <v>46270</v>
      </c>
      <c r="C27" s="2" t="inlineStr">
        <is>
          <t>Infosys</t>
        </is>
      </c>
      <c r="D27" s="2" t="inlineStr">
        <is>
          <t>HR</t>
        </is>
      </c>
      <c r="E27" s="2" t="inlineStr">
        <is>
          <t>Office Supplies</t>
        </is>
      </c>
      <c r="F27" s="8" t="n">
        <v>402700</v>
      </c>
      <c r="G27" s="2" t="n">
        <v>30</v>
      </c>
      <c r="H27" s="7" t="n">
        <v>46300</v>
      </c>
      <c r="I27" s="7" t="n">
        <v>46300</v>
      </c>
      <c r="J27" s="2" t="inlineStr">
        <is>
          <t>Paid</t>
        </is>
      </c>
      <c r="K27" s="2" t="inlineStr">
        <is>
          <t>No</t>
        </is>
      </c>
      <c r="L27" s="9" t="n">
        <v>0</v>
      </c>
      <c r="M27" s="2" t="inlineStr">
        <is>
          <t>Received</t>
        </is>
      </c>
      <c r="N27" s="2" t="inlineStr">
        <is>
          <t>Approved</t>
        </is>
      </c>
      <c r="O27" s="2" t="n"/>
      <c r="P27" s="2" t="n"/>
      <c r="Q27" s="2" t="n"/>
      <c r="R27" s="2" t="n"/>
    </row>
    <row r="28">
      <c r="A28" s="2" t="inlineStr">
        <is>
          <t>INV00025</t>
        </is>
      </c>
      <c r="B28" s="7" t="n">
        <v>46144</v>
      </c>
      <c r="C28" s="2" t="inlineStr">
        <is>
          <t>Microsoft</t>
        </is>
      </c>
      <c r="D28" s="2" t="inlineStr">
        <is>
          <t>HR</t>
        </is>
      </c>
      <c r="E28" s="2" t="inlineStr">
        <is>
          <t>Facilities</t>
        </is>
      </c>
      <c r="F28" s="8" t="n">
        <v>446500</v>
      </c>
      <c r="G28" s="2" t="n">
        <v>30</v>
      </c>
      <c r="H28" s="7" t="n">
        <v>46174</v>
      </c>
      <c r="I28" s="7" t="n">
        <v>46174</v>
      </c>
      <c r="J28" s="2" t="inlineStr">
        <is>
          <t>Paid</t>
        </is>
      </c>
      <c r="K28" s="2" t="inlineStr">
        <is>
          <t>Yes</t>
        </is>
      </c>
      <c r="L28" s="9" t="n">
        <v>0.02</v>
      </c>
      <c r="M28" s="2" t="inlineStr">
        <is>
          <t>Received</t>
        </is>
      </c>
      <c r="N28" s="2" t="inlineStr">
        <is>
          <t>Approved</t>
        </is>
      </c>
      <c r="O28" s="2" t="n"/>
      <c r="P28" s="2" t="n"/>
      <c r="Q28" s="2" t="n"/>
      <c r="R28" s="2" t="n"/>
    </row>
    <row r="29">
      <c r="A29" s="2" t="inlineStr">
        <is>
          <t>INV00026</t>
        </is>
      </c>
      <c r="B29" s="7" t="n">
        <v>46099</v>
      </c>
      <c r="C29" s="2" t="inlineStr">
        <is>
          <t>Microsoft</t>
        </is>
      </c>
      <c r="D29" s="2" t="inlineStr">
        <is>
          <t>HR</t>
        </is>
      </c>
      <c r="E29" s="2" t="inlineStr">
        <is>
          <t>Office Supplies</t>
        </is>
      </c>
      <c r="F29" s="8" t="n">
        <v>281400</v>
      </c>
      <c r="G29" s="2" t="n">
        <v>30</v>
      </c>
      <c r="H29" s="7" t="n">
        <v>46129</v>
      </c>
      <c r="I29" s="2" t="n"/>
      <c r="J29" s="2" t="inlineStr">
        <is>
          <t>Pending</t>
        </is>
      </c>
      <c r="K29" s="2" t="inlineStr">
        <is>
          <t>No</t>
        </is>
      </c>
      <c r="L29" s="9" t="n">
        <v>0</v>
      </c>
      <c r="M29" s="2" t="inlineStr">
        <is>
          <t>Received</t>
        </is>
      </c>
      <c r="N29" s="2" t="inlineStr">
        <is>
          <t>Approved</t>
        </is>
      </c>
      <c r="O29" s="2" t="n"/>
      <c r="P29" s="2" t="n"/>
      <c r="Q29" s="2" t="n"/>
      <c r="R29" s="2" t="n"/>
    </row>
    <row r="30">
      <c r="A30" s="2" t="inlineStr">
        <is>
          <t>INV00027</t>
        </is>
      </c>
      <c r="B30" s="7" t="n">
        <v>46134</v>
      </c>
      <c r="C30" s="2" t="inlineStr">
        <is>
          <t>TCS</t>
        </is>
      </c>
      <c r="D30" s="2" t="inlineStr">
        <is>
          <t>Sales</t>
        </is>
      </c>
      <c r="E30" s="2" t="inlineStr">
        <is>
          <t>Software</t>
        </is>
      </c>
      <c r="F30" s="8" t="n">
        <v>913100</v>
      </c>
      <c r="G30" s="2" t="n">
        <v>45</v>
      </c>
      <c r="H30" s="7" t="n">
        <v>46179</v>
      </c>
      <c r="I30" s="2" t="n"/>
      <c r="J30" s="2" t="inlineStr">
        <is>
          <t>Pending</t>
        </is>
      </c>
      <c r="K30" s="2" t="inlineStr">
        <is>
          <t>No</t>
        </is>
      </c>
      <c r="L30" s="9" t="n">
        <v>0</v>
      </c>
      <c r="M30" s="2" t="inlineStr">
        <is>
          <t>Pending</t>
        </is>
      </c>
      <c r="N30" s="2" t="inlineStr">
        <is>
          <t>Approved</t>
        </is>
      </c>
      <c r="O30" s="2" t="n"/>
      <c r="P30" s="2" t="n"/>
      <c r="Q30" s="2" t="n"/>
      <c r="R30" s="2" t="n"/>
    </row>
    <row r="31">
      <c r="A31" s="2" t="inlineStr">
        <is>
          <t>INV00028</t>
        </is>
      </c>
      <c r="B31" s="7" t="n">
        <v>46107</v>
      </c>
      <c r="C31" s="2" t="inlineStr">
        <is>
          <t>Cognizant</t>
        </is>
      </c>
      <c r="D31" s="2" t="inlineStr">
        <is>
          <t>Finance</t>
        </is>
      </c>
      <c r="E31" s="2" t="inlineStr">
        <is>
          <t>Professional Services</t>
        </is>
      </c>
      <c r="F31" s="8" t="n">
        <v>943400</v>
      </c>
      <c r="G31" s="2" t="n">
        <v>15</v>
      </c>
      <c r="H31" s="7" t="n">
        <v>46122</v>
      </c>
      <c r="I31" s="2" t="n"/>
      <c r="J31" s="2" t="inlineStr">
        <is>
          <t>Pending</t>
        </is>
      </c>
      <c r="K31" s="2" t="inlineStr">
        <is>
          <t>No</t>
        </is>
      </c>
      <c r="L31" s="9" t="n">
        <v>0</v>
      </c>
      <c r="M31" s="2" t="inlineStr">
        <is>
          <t>Received</t>
        </is>
      </c>
      <c r="N31" s="2" t="inlineStr">
        <is>
          <t>Approved</t>
        </is>
      </c>
      <c r="O31" s="2" t="n"/>
      <c r="P31" s="2" t="n"/>
      <c r="Q31" s="2" t="n"/>
      <c r="R31" s="2" t="n"/>
    </row>
    <row r="32">
      <c r="A32" s="2" t="inlineStr">
        <is>
          <t>INV00029</t>
        </is>
      </c>
      <c r="B32" s="7" t="n">
        <v>46360</v>
      </c>
      <c r="C32" s="2" t="inlineStr">
        <is>
          <t>Adobe</t>
        </is>
      </c>
      <c r="D32" s="2" t="inlineStr">
        <is>
          <t>IT</t>
        </is>
      </c>
      <c r="E32" s="2" t="inlineStr">
        <is>
          <t>Facilities</t>
        </is>
      </c>
      <c r="F32" s="8" t="n">
        <v>862400</v>
      </c>
      <c r="G32" s="2" t="n">
        <v>60</v>
      </c>
      <c r="H32" s="7" t="n">
        <v>46420</v>
      </c>
      <c r="I32" s="7" t="n">
        <v>46450</v>
      </c>
      <c r="J32" s="2" t="inlineStr">
        <is>
          <t>Paid</t>
        </is>
      </c>
      <c r="K32" s="2" t="inlineStr">
        <is>
          <t>No</t>
        </is>
      </c>
      <c r="L32" s="9" t="n">
        <v>0</v>
      </c>
      <c r="M32" s="2" t="inlineStr">
        <is>
          <t>Received</t>
        </is>
      </c>
      <c r="N32" s="2" t="inlineStr">
        <is>
          <t>Approved</t>
        </is>
      </c>
      <c r="O32" s="2" t="n"/>
      <c r="P32" s="2" t="n"/>
      <c r="Q32" s="2" t="n"/>
      <c r="R32" s="2" t="n"/>
    </row>
    <row r="33">
      <c r="A33" s="2" t="inlineStr">
        <is>
          <t>INV00030</t>
        </is>
      </c>
      <c r="B33" s="7" t="n">
        <v>46214</v>
      </c>
      <c r="C33" s="2" t="inlineStr">
        <is>
          <t>Infosys</t>
        </is>
      </c>
      <c r="D33" s="2" t="inlineStr">
        <is>
          <t>IT</t>
        </is>
      </c>
      <c r="E33" s="2" t="inlineStr">
        <is>
          <t>Facilities</t>
        </is>
      </c>
      <c r="F33" s="8" t="n">
        <v>632100</v>
      </c>
      <c r="G33" s="2" t="n">
        <v>45</v>
      </c>
      <c r="H33" s="7" t="n">
        <v>46259</v>
      </c>
      <c r="I33" s="2" t="n"/>
      <c r="J33" s="2" t="inlineStr">
        <is>
          <t>Pending</t>
        </is>
      </c>
      <c r="K33" s="2" t="inlineStr">
        <is>
          <t>Yes</t>
        </is>
      </c>
      <c r="L33" s="9" t="n">
        <v>0.02</v>
      </c>
      <c r="M33" s="2" t="inlineStr">
        <is>
          <t>Pending</t>
        </is>
      </c>
      <c r="N33" s="2" t="inlineStr">
        <is>
          <t>Approved</t>
        </is>
      </c>
      <c r="O33" s="2" t="n"/>
      <c r="P33" s="2" t="n"/>
      <c r="Q33" s="2" t="n"/>
      <c r="R33" s="2" t="n"/>
    </row>
    <row r="34">
      <c r="A34" s="2" t="inlineStr">
        <is>
          <t>INV00031</t>
        </is>
      </c>
      <c r="B34" s="7" t="n">
        <v>46144</v>
      </c>
      <c r="C34" s="2" t="inlineStr">
        <is>
          <t>Amazon Web Services</t>
        </is>
      </c>
      <c r="D34" s="2" t="inlineStr">
        <is>
          <t>Marketing</t>
        </is>
      </c>
      <c r="E34" s="2" t="inlineStr">
        <is>
          <t>Professional Services</t>
        </is>
      </c>
      <c r="F34" s="8" t="n">
        <v>183500</v>
      </c>
      <c r="G34" s="2" t="n">
        <v>45</v>
      </c>
      <c r="H34" s="7" t="n">
        <v>46189</v>
      </c>
      <c r="I34" s="7" t="n">
        <v>46194</v>
      </c>
      <c r="J34" s="2" t="inlineStr">
        <is>
          <t>Paid</t>
        </is>
      </c>
      <c r="K34" s="2" t="inlineStr">
        <is>
          <t>Yes</t>
        </is>
      </c>
      <c r="L34" s="9" t="n">
        <v>0.02</v>
      </c>
      <c r="M34" s="2" t="inlineStr">
        <is>
          <t>Received</t>
        </is>
      </c>
      <c r="N34" s="2" t="inlineStr">
        <is>
          <t>Approved</t>
        </is>
      </c>
      <c r="O34" s="2" t="n"/>
      <c r="P34" s="2" t="n"/>
      <c r="Q34" s="2" t="n"/>
      <c r="R34" s="2" t="n"/>
    </row>
    <row r="35">
      <c r="A35" s="2" t="inlineStr">
        <is>
          <t>INV00032</t>
        </is>
      </c>
      <c r="B35" s="7" t="n">
        <v>46287</v>
      </c>
      <c r="C35" s="2" t="inlineStr">
        <is>
          <t>Wipro</t>
        </is>
      </c>
      <c r="D35" s="2" t="inlineStr">
        <is>
          <t>Sales</t>
        </is>
      </c>
      <c r="E35" s="2" t="inlineStr">
        <is>
          <t>Travel</t>
        </is>
      </c>
      <c r="F35" s="8" t="n">
        <v>302500</v>
      </c>
      <c r="G35" s="2" t="n">
        <v>30</v>
      </c>
      <c r="H35" s="7" t="n">
        <v>46317</v>
      </c>
      <c r="I35" s="7" t="n">
        <v>46322</v>
      </c>
      <c r="J35" s="2" t="inlineStr">
        <is>
          <t>Paid</t>
        </is>
      </c>
      <c r="K35" s="2" t="inlineStr">
        <is>
          <t>Yes</t>
        </is>
      </c>
      <c r="L35" s="9" t="n">
        <v>0.02</v>
      </c>
      <c r="M35" s="2" t="inlineStr">
        <is>
          <t>Pending</t>
        </is>
      </c>
      <c r="N35" s="2" t="inlineStr">
        <is>
          <t>Approved</t>
        </is>
      </c>
      <c r="O35" s="2" t="n"/>
      <c r="P35" s="2" t="n"/>
      <c r="Q35" s="2" t="n"/>
      <c r="R35" s="2" t="n"/>
    </row>
    <row r="36">
      <c r="A36" s="2" t="inlineStr">
        <is>
          <t>INV00033</t>
        </is>
      </c>
      <c r="B36" s="7" t="n">
        <v>46340</v>
      </c>
      <c r="C36" s="2" t="inlineStr">
        <is>
          <t>Oracle</t>
        </is>
      </c>
      <c r="D36" s="2" t="inlineStr">
        <is>
          <t>Operations</t>
        </is>
      </c>
      <c r="E36" s="2" t="inlineStr">
        <is>
          <t>Travel</t>
        </is>
      </c>
      <c r="F36" s="8" t="n">
        <v>393900</v>
      </c>
      <c r="G36" s="2" t="n">
        <v>45</v>
      </c>
      <c r="H36" s="7" t="n">
        <v>46385</v>
      </c>
      <c r="I36" s="7" t="n">
        <v>46445</v>
      </c>
      <c r="J36" s="2" t="inlineStr">
        <is>
          <t>Paid</t>
        </is>
      </c>
      <c r="K36" s="2" t="inlineStr">
        <is>
          <t>No</t>
        </is>
      </c>
      <c r="L36" s="9" t="n">
        <v>0</v>
      </c>
      <c r="M36" s="2" t="inlineStr">
        <is>
          <t>Received</t>
        </is>
      </c>
      <c r="N36" s="2" t="inlineStr">
        <is>
          <t>Approved</t>
        </is>
      </c>
      <c r="O36" s="2" t="n"/>
      <c r="P36" s="2" t="n"/>
      <c r="Q36" s="2" t="n"/>
      <c r="R36" s="2" t="n"/>
    </row>
    <row r="37">
      <c r="A37" s="2" t="inlineStr">
        <is>
          <t>INV00034</t>
        </is>
      </c>
      <c r="B37" s="7" t="n">
        <v>46032</v>
      </c>
      <c r="C37" s="2" t="inlineStr">
        <is>
          <t>Infosys</t>
        </is>
      </c>
      <c r="D37" s="2" t="inlineStr">
        <is>
          <t>Finance</t>
        </is>
      </c>
      <c r="E37" s="2" t="inlineStr">
        <is>
          <t>Professional Services</t>
        </is>
      </c>
      <c r="F37" s="8" t="n">
        <v>118900</v>
      </c>
      <c r="G37" s="2" t="n">
        <v>45</v>
      </c>
      <c r="H37" s="7" t="n">
        <v>46077</v>
      </c>
      <c r="I37" s="7" t="n">
        <v>46092</v>
      </c>
      <c r="J37" s="2" t="inlineStr">
        <is>
          <t>Paid</t>
        </is>
      </c>
      <c r="K37" s="2" t="inlineStr">
        <is>
          <t>No</t>
        </is>
      </c>
      <c r="L37" s="9" t="n">
        <v>0</v>
      </c>
      <c r="M37" s="2" t="inlineStr">
        <is>
          <t>Received</t>
        </is>
      </c>
      <c r="N37" s="2" t="inlineStr">
        <is>
          <t>Approved</t>
        </is>
      </c>
      <c r="O37" s="2" t="n"/>
      <c r="P37" s="2" t="n"/>
      <c r="Q37" s="2" t="n"/>
      <c r="R37" s="2" t="n"/>
    </row>
    <row r="38">
      <c r="A38" s="2" t="inlineStr">
        <is>
          <t>INV00035</t>
        </is>
      </c>
      <c r="B38" s="7" t="n">
        <v>46159</v>
      </c>
      <c r="C38" s="2" t="inlineStr">
        <is>
          <t>SAP</t>
        </is>
      </c>
      <c r="D38" s="2" t="inlineStr">
        <is>
          <t>Sales</t>
        </is>
      </c>
      <c r="E38" s="2" t="inlineStr">
        <is>
          <t>Office Supplies</t>
        </is>
      </c>
      <c r="F38" s="8" t="n">
        <v>27900</v>
      </c>
      <c r="G38" s="2" t="n">
        <v>45</v>
      </c>
      <c r="H38" s="7" t="n">
        <v>46204</v>
      </c>
      <c r="I38" s="7" t="n">
        <v>46204</v>
      </c>
      <c r="J38" s="2" t="inlineStr">
        <is>
          <t>Paid</t>
        </is>
      </c>
      <c r="K38" s="2" t="inlineStr">
        <is>
          <t>Yes</t>
        </is>
      </c>
      <c r="L38" s="9" t="n">
        <v>0.02</v>
      </c>
      <c r="M38" s="2" t="inlineStr">
        <is>
          <t>Received</t>
        </is>
      </c>
      <c r="N38" s="2" t="inlineStr">
        <is>
          <t>Approved</t>
        </is>
      </c>
      <c r="O38" s="2" t="n"/>
      <c r="P38" s="2" t="n"/>
      <c r="Q38" s="2" t="n"/>
      <c r="R38" s="2" t="n"/>
    </row>
    <row r="39">
      <c r="A39" s="2" t="inlineStr">
        <is>
          <t>INV00036</t>
        </is>
      </c>
      <c r="B39" s="7" t="n">
        <v>46254</v>
      </c>
      <c r="C39" s="2" t="inlineStr">
        <is>
          <t>HCLTech</t>
        </is>
      </c>
      <c r="D39" s="2" t="inlineStr">
        <is>
          <t>IT</t>
        </is>
      </c>
      <c r="E39" s="2" t="inlineStr">
        <is>
          <t>Professional Services</t>
        </is>
      </c>
      <c r="F39" s="8" t="n">
        <v>681800</v>
      </c>
      <c r="G39" s="2" t="n">
        <v>60</v>
      </c>
      <c r="H39" s="7" t="n">
        <v>46314</v>
      </c>
      <c r="I39" s="7" t="n">
        <v>46314</v>
      </c>
      <c r="J39" s="2" t="inlineStr">
        <is>
          <t>Paid</t>
        </is>
      </c>
      <c r="K39" s="2" t="inlineStr">
        <is>
          <t>No</t>
        </is>
      </c>
      <c r="L39" s="9" t="n">
        <v>0</v>
      </c>
      <c r="M39" s="2" t="inlineStr">
        <is>
          <t>Received</t>
        </is>
      </c>
      <c r="N39" s="2" t="inlineStr">
        <is>
          <t>Approved</t>
        </is>
      </c>
      <c r="O39" s="2" t="n"/>
      <c r="P39" s="2" t="n"/>
      <c r="Q39" s="2" t="n"/>
      <c r="R39" s="2" t="n"/>
    </row>
    <row r="40">
      <c r="A40" s="2" t="inlineStr">
        <is>
          <t>INV00037</t>
        </is>
      </c>
      <c r="B40" s="7" t="n">
        <v>46078</v>
      </c>
      <c r="C40" s="2" t="inlineStr">
        <is>
          <t>Adobe</t>
        </is>
      </c>
      <c r="D40" s="2" t="inlineStr">
        <is>
          <t>Finance</t>
        </is>
      </c>
      <c r="E40" s="2" t="inlineStr">
        <is>
          <t>Cloud</t>
        </is>
      </c>
      <c r="F40" s="8" t="n">
        <v>17300</v>
      </c>
      <c r="G40" s="2" t="n">
        <v>60</v>
      </c>
      <c r="H40" s="7" t="n">
        <v>46138</v>
      </c>
      <c r="I40" s="7" t="n">
        <v>46168</v>
      </c>
      <c r="J40" s="2" t="inlineStr">
        <is>
          <t>Paid</t>
        </is>
      </c>
      <c r="K40" s="2" t="inlineStr">
        <is>
          <t>No</t>
        </is>
      </c>
      <c r="L40" s="9" t="n">
        <v>0</v>
      </c>
      <c r="M40" s="2" t="inlineStr">
        <is>
          <t>Pending</t>
        </is>
      </c>
      <c r="N40" s="2" t="inlineStr">
        <is>
          <t>Approved</t>
        </is>
      </c>
      <c r="O40" s="2" t="n"/>
      <c r="P40" s="2" t="n"/>
      <c r="Q40" s="2" t="n"/>
      <c r="R40" s="2" t="n"/>
    </row>
    <row r="41">
      <c r="A41" s="2" t="inlineStr">
        <is>
          <t>INV00038</t>
        </is>
      </c>
      <c r="B41" s="7" t="n">
        <v>46254</v>
      </c>
      <c r="C41" s="2" t="inlineStr">
        <is>
          <t>HCLTech</t>
        </is>
      </c>
      <c r="D41" s="2" t="inlineStr">
        <is>
          <t>Sales</t>
        </is>
      </c>
      <c r="E41" s="2" t="inlineStr">
        <is>
          <t>Office Supplies</t>
        </is>
      </c>
      <c r="F41" s="8" t="n">
        <v>208500</v>
      </c>
      <c r="G41" s="2" t="n">
        <v>60</v>
      </c>
      <c r="H41" s="7" t="n">
        <v>46314</v>
      </c>
      <c r="I41" s="2" t="n"/>
      <c r="J41" s="2" t="inlineStr">
        <is>
          <t>Pending</t>
        </is>
      </c>
      <c r="K41" s="2" t="inlineStr">
        <is>
          <t>No</t>
        </is>
      </c>
      <c r="L41" s="9" t="n">
        <v>0</v>
      </c>
      <c r="M41" s="2" t="inlineStr">
        <is>
          <t>Received</t>
        </is>
      </c>
      <c r="N41" s="2" t="inlineStr">
        <is>
          <t>Approved</t>
        </is>
      </c>
      <c r="O41" s="2" t="n"/>
      <c r="P41" s="2" t="n"/>
      <c r="Q41" s="2" t="n"/>
      <c r="R41" s="2" t="n"/>
    </row>
    <row r="42">
      <c r="A42" s="2" t="inlineStr">
        <is>
          <t>INV00039</t>
        </is>
      </c>
      <c r="B42" s="7" t="n">
        <v>46335</v>
      </c>
      <c r="C42" s="2" t="inlineStr">
        <is>
          <t>Cognizant</t>
        </is>
      </c>
      <c r="D42" s="2" t="inlineStr">
        <is>
          <t>Marketing</t>
        </is>
      </c>
      <c r="E42" s="2" t="inlineStr">
        <is>
          <t>Professional Services</t>
        </is>
      </c>
      <c r="F42" s="8" t="n">
        <v>308100</v>
      </c>
      <c r="G42" s="2" t="n">
        <v>30</v>
      </c>
      <c r="H42" s="7" t="n">
        <v>46365</v>
      </c>
      <c r="I42" s="7" t="n">
        <v>46365</v>
      </c>
      <c r="J42" s="2" t="inlineStr">
        <is>
          <t>Paid</t>
        </is>
      </c>
      <c r="K42" s="2" t="inlineStr">
        <is>
          <t>No</t>
        </is>
      </c>
      <c r="L42" s="9" t="n">
        <v>0</v>
      </c>
      <c r="M42" s="2" t="inlineStr">
        <is>
          <t>Received</t>
        </is>
      </c>
      <c r="N42" s="2" t="inlineStr">
        <is>
          <t>Approved</t>
        </is>
      </c>
      <c r="O42" s="2" t="n"/>
      <c r="P42" s="2" t="n"/>
      <c r="Q42" s="2" t="n"/>
      <c r="R42" s="2" t="n"/>
    </row>
    <row r="43">
      <c r="A43" s="2" t="inlineStr">
        <is>
          <t>INV00040</t>
        </is>
      </c>
      <c r="B43" s="7" t="n">
        <v>46226</v>
      </c>
      <c r="C43" s="2" t="inlineStr">
        <is>
          <t>Deloitte</t>
        </is>
      </c>
      <c r="D43" s="2" t="inlineStr">
        <is>
          <t>Sales</t>
        </is>
      </c>
      <c r="E43" s="2" t="inlineStr">
        <is>
          <t>Cloud</t>
        </is>
      </c>
      <c r="F43" s="8" t="n">
        <v>498200</v>
      </c>
      <c r="G43" s="2" t="n">
        <v>15</v>
      </c>
      <c r="H43" s="7" t="n">
        <v>46241</v>
      </c>
      <c r="I43" s="7" t="n">
        <v>46241</v>
      </c>
      <c r="J43" s="2" t="inlineStr">
        <is>
          <t>Paid</t>
        </is>
      </c>
      <c r="K43" s="2" t="inlineStr">
        <is>
          <t>No</t>
        </is>
      </c>
      <c r="L43" s="9" t="n">
        <v>0</v>
      </c>
      <c r="M43" s="2" t="inlineStr">
        <is>
          <t>Pending</t>
        </is>
      </c>
      <c r="N43" s="2" t="inlineStr">
        <is>
          <t>Approved</t>
        </is>
      </c>
      <c r="O43" s="2" t="n"/>
      <c r="P43" s="2" t="n"/>
      <c r="Q43" s="2" t="n"/>
      <c r="R43" s="2" t="n"/>
    </row>
    <row r="44">
      <c r="A44" s="2" t="inlineStr">
        <is>
          <t>INV00041</t>
        </is>
      </c>
      <c r="B44" s="7" t="n">
        <v>46357</v>
      </c>
      <c r="C44" s="2" t="inlineStr">
        <is>
          <t>HCLTech</t>
        </is>
      </c>
      <c r="D44" s="2" t="inlineStr">
        <is>
          <t>Marketing</t>
        </is>
      </c>
      <c r="E44" s="2" t="inlineStr">
        <is>
          <t>Professional Services</t>
        </is>
      </c>
      <c r="F44" s="8" t="n">
        <v>513800</v>
      </c>
      <c r="G44" s="2" t="n">
        <v>60</v>
      </c>
      <c r="H44" s="7" t="n">
        <v>46417</v>
      </c>
      <c r="I44" s="2" t="n"/>
      <c r="J44" s="2" t="inlineStr">
        <is>
          <t>Pending</t>
        </is>
      </c>
      <c r="K44" s="2" t="inlineStr">
        <is>
          <t>No</t>
        </is>
      </c>
      <c r="L44" s="9" t="n">
        <v>0</v>
      </c>
      <c r="M44" s="2" t="inlineStr">
        <is>
          <t>Received</t>
        </is>
      </c>
      <c r="N44" s="2" t="inlineStr">
        <is>
          <t>Approved</t>
        </is>
      </c>
      <c r="O44" s="2" t="n"/>
      <c r="P44" s="2" t="n"/>
      <c r="Q44" s="2" t="n"/>
      <c r="R44" s="2" t="n"/>
    </row>
    <row r="45">
      <c r="A45" s="2" t="inlineStr">
        <is>
          <t>INV00042</t>
        </is>
      </c>
      <c r="B45" s="7" t="n">
        <v>46291</v>
      </c>
      <c r="C45" s="2" t="inlineStr">
        <is>
          <t>Accenture</t>
        </is>
      </c>
      <c r="D45" s="2" t="inlineStr">
        <is>
          <t>Finance</t>
        </is>
      </c>
      <c r="E45" s="2" t="inlineStr">
        <is>
          <t>Professional Services</t>
        </is>
      </c>
      <c r="F45" s="8" t="n">
        <v>614200</v>
      </c>
      <c r="G45" s="2" t="n">
        <v>30</v>
      </c>
      <c r="H45" s="7" t="n">
        <v>46321</v>
      </c>
      <c r="I45" s="7" t="n">
        <v>46326</v>
      </c>
      <c r="J45" s="2" t="inlineStr">
        <is>
          <t>Paid</t>
        </is>
      </c>
      <c r="K45" s="2" t="inlineStr">
        <is>
          <t>No</t>
        </is>
      </c>
      <c r="L45" s="9" t="n">
        <v>0</v>
      </c>
      <c r="M45" s="2" t="inlineStr">
        <is>
          <t>Received</t>
        </is>
      </c>
      <c r="N45" s="2" t="inlineStr">
        <is>
          <t>Approved</t>
        </is>
      </c>
      <c r="O45" s="2" t="n"/>
      <c r="P45" s="2" t="n"/>
      <c r="Q45" s="2" t="n"/>
      <c r="R45" s="2" t="n"/>
    </row>
    <row r="46">
      <c r="A46" s="2" t="inlineStr">
        <is>
          <t>INV00043</t>
        </is>
      </c>
      <c r="B46" s="7" t="n">
        <v>46101</v>
      </c>
      <c r="C46" s="2" t="inlineStr">
        <is>
          <t>Google Cloud</t>
        </is>
      </c>
      <c r="D46" s="2" t="inlineStr">
        <is>
          <t>IT</t>
        </is>
      </c>
      <c r="E46" s="2" t="inlineStr">
        <is>
          <t>Professional Services</t>
        </is>
      </c>
      <c r="F46" s="8" t="n">
        <v>571500</v>
      </c>
      <c r="G46" s="2" t="n">
        <v>15</v>
      </c>
      <c r="H46" s="7" t="n">
        <v>46116</v>
      </c>
      <c r="I46" s="7" t="n">
        <v>46116</v>
      </c>
      <c r="J46" s="2" t="inlineStr">
        <is>
          <t>Paid</t>
        </is>
      </c>
      <c r="K46" s="2" t="inlineStr">
        <is>
          <t>Yes</t>
        </is>
      </c>
      <c r="L46" s="9" t="n">
        <v>0.02</v>
      </c>
      <c r="M46" s="2" t="inlineStr">
        <is>
          <t>Received</t>
        </is>
      </c>
      <c r="N46" s="2" t="inlineStr">
        <is>
          <t>Approved</t>
        </is>
      </c>
      <c r="O46" s="2" t="n"/>
      <c r="P46" s="2" t="n"/>
      <c r="Q46" s="2" t="n"/>
      <c r="R46" s="2" t="n"/>
    </row>
    <row r="47">
      <c r="A47" s="2" t="inlineStr">
        <is>
          <t>INV00044</t>
        </is>
      </c>
      <c r="B47" s="7" t="n">
        <v>46212</v>
      </c>
      <c r="C47" s="2" t="inlineStr">
        <is>
          <t>Cognizant</t>
        </is>
      </c>
      <c r="D47" s="2" t="inlineStr">
        <is>
          <t>Operations</t>
        </is>
      </c>
      <c r="E47" s="2" t="inlineStr">
        <is>
          <t>Consulting</t>
        </is>
      </c>
      <c r="F47" s="8" t="n">
        <v>120200</v>
      </c>
      <c r="G47" s="2" t="n">
        <v>15</v>
      </c>
      <c r="H47" s="7" t="n">
        <v>46227</v>
      </c>
      <c r="I47" s="2" t="n"/>
      <c r="J47" s="2" t="inlineStr">
        <is>
          <t>Pending</t>
        </is>
      </c>
      <c r="K47" s="2" t="inlineStr">
        <is>
          <t>Yes</t>
        </is>
      </c>
      <c r="L47" s="9" t="n">
        <v>0.02</v>
      </c>
      <c r="M47" s="2" t="inlineStr">
        <is>
          <t>Received</t>
        </is>
      </c>
      <c r="N47" s="2" t="inlineStr">
        <is>
          <t>Approved</t>
        </is>
      </c>
      <c r="O47" s="2" t="n"/>
      <c r="P47" s="2" t="n"/>
      <c r="Q47" s="2" t="n"/>
      <c r="R47" s="2" t="n"/>
    </row>
    <row r="48">
      <c r="A48" s="2" t="inlineStr">
        <is>
          <t>INV00045</t>
        </is>
      </c>
      <c r="B48" s="7" t="n">
        <v>46328</v>
      </c>
      <c r="C48" s="2" t="inlineStr">
        <is>
          <t>Cognizant</t>
        </is>
      </c>
      <c r="D48" s="2" t="inlineStr">
        <is>
          <t>IT</t>
        </is>
      </c>
      <c r="E48" s="2" t="inlineStr">
        <is>
          <t>Cloud</t>
        </is>
      </c>
      <c r="F48" s="8" t="n">
        <v>210600</v>
      </c>
      <c r="G48" s="2" t="n">
        <v>30</v>
      </c>
      <c r="H48" s="7" t="n">
        <v>46358</v>
      </c>
      <c r="I48" s="7" t="n">
        <v>46363</v>
      </c>
      <c r="J48" s="2" t="inlineStr">
        <is>
          <t>Paid</t>
        </is>
      </c>
      <c r="K48" s="2" t="inlineStr">
        <is>
          <t>No</t>
        </is>
      </c>
      <c r="L48" s="9" t="n">
        <v>0</v>
      </c>
      <c r="M48" s="2" t="inlineStr">
        <is>
          <t>Received</t>
        </is>
      </c>
      <c r="N48" s="2" t="inlineStr">
        <is>
          <t>Approved</t>
        </is>
      </c>
      <c r="O48" s="2" t="n"/>
      <c r="P48" s="2" t="n"/>
      <c r="Q48" s="2" t="n"/>
      <c r="R48" s="2" t="n"/>
    </row>
    <row r="49">
      <c r="A49" s="2" t="inlineStr">
        <is>
          <t>INV00046</t>
        </is>
      </c>
      <c r="B49" s="7" t="n">
        <v>46179</v>
      </c>
      <c r="C49" s="2" t="inlineStr">
        <is>
          <t>Accenture</t>
        </is>
      </c>
      <c r="D49" s="2" t="inlineStr">
        <is>
          <t>Marketing</t>
        </is>
      </c>
      <c r="E49" s="2" t="inlineStr">
        <is>
          <t>Travel</t>
        </is>
      </c>
      <c r="F49" s="8" t="n">
        <v>372800</v>
      </c>
      <c r="G49" s="2" t="n">
        <v>15</v>
      </c>
      <c r="H49" s="7" t="n">
        <v>46194</v>
      </c>
      <c r="I49" s="7" t="n">
        <v>46194</v>
      </c>
      <c r="J49" s="2" t="inlineStr">
        <is>
          <t>Paid</t>
        </is>
      </c>
      <c r="K49" s="2" t="inlineStr">
        <is>
          <t>Yes</t>
        </is>
      </c>
      <c r="L49" s="9" t="n">
        <v>0.02</v>
      </c>
      <c r="M49" s="2" t="inlineStr">
        <is>
          <t>Received</t>
        </is>
      </c>
      <c r="N49" s="2" t="inlineStr">
        <is>
          <t>Pending</t>
        </is>
      </c>
      <c r="O49" s="2" t="n"/>
      <c r="P49" s="2" t="n"/>
      <c r="Q49" s="2" t="n"/>
      <c r="R49" s="2" t="n"/>
    </row>
    <row r="50">
      <c r="A50" s="2" t="inlineStr">
        <is>
          <t>INV00047</t>
        </is>
      </c>
      <c r="B50" s="7" t="n">
        <v>46226</v>
      </c>
      <c r="C50" s="2" t="inlineStr">
        <is>
          <t>TCS</t>
        </is>
      </c>
      <c r="D50" s="2" t="inlineStr">
        <is>
          <t>IT</t>
        </is>
      </c>
      <c r="E50" s="2" t="inlineStr">
        <is>
          <t>Office Supplies</t>
        </is>
      </c>
      <c r="F50" s="8" t="n">
        <v>30000</v>
      </c>
      <c r="G50" s="2" t="n">
        <v>30</v>
      </c>
      <c r="H50" s="7" t="n">
        <v>46256</v>
      </c>
      <c r="I50" s="2" t="n"/>
      <c r="J50" s="2" t="inlineStr">
        <is>
          <t>Pending</t>
        </is>
      </c>
      <c r="K50" s="2" t="inlineStr">
        <is>
          <t>No</t>
        </is>
      </c>
      <c r="L50" s="9" t="n">
        <v>0</v>
      </c>
      <c r="M50" s="2" t="inlineStr">
        <is>
          <t>Received</t>
        </is>
      </c>
      <c r="N50" s="2" t="inlineStr">
        <is>
          <t>Approved</t>
        </is>
      </c>
      <c r="O50" s="2" t="n"/>
      <c r="P50" s="2" t="n"/>
      <c r="Q50" s="2" t="n"/>
      <c r="R50" s="2" t="n"/>
    </row>
    <row r="51">
      <c r="A51" s="2" t="inlineStr">
        <is>
          <t>INV00048</t>
        </is>
      </c>
      <c r="B51" s="7" t="n">
        <v>46338</v>
      </c>
      <c r="C51" s="2" t="inlineStr">
        <is>
          <t>Amazon Web Services</t>
        </is>
      </c>
      <c r="D51" s="2" t="inlineStr">
        <is>
          <t>Marketing</t>
        </is>
      </c>
      <c r="E51" s="2" t="inlineStr">
        <is>
          <t>Travel</t>
        </is>
      </c>
      <c r="F51" s="8" t="n">
        <v>565000</v>
      </c>
      <c r="G51" s="2" t="n">
        <v>45</v>
      </c>
      <c r="H51" s="7" t="n">
        <v>46383</v>
      </c>
      <c r="I51" s="7" t="n">
        <v>46473</v>
      </c>
      <c r="J51" s="2" t="inlineStr">
        <is>
          <t>Paid</t>
        </is>
      </c>
      <c r="K51" s="2" t="inlineStr">
        <is>
          <t>No</t>
        </is>
      </c>
      <c r="L51" s="9" t="n">
        <v>0</v>
      </c>
      <c r="M51" s="2" t="inlineStr">
        <is>
          <t>Received</t>
        </is>
      </c>
      <c r="N51" s="2" t="inlineStr">
        <is>
          <t>Approved</t>
        </is>
      </c>
      <c r="O51" s="2" t="n"/>
      <c r="P51" s="2" t="n"/>
      <c r="Q51" s="2" t="n"/>
      <c r="R51" s="2" t="n"/>
    </row>
    <row r="52">
      <c r="A52" s="2" t="inlineStr">
        <is>
          <t>INV00049</t>
        </is>
      </c>
      <c r="B52" s="7" t="n">
        <v>46209</v>
      </c>
      <c r="C52" s="2" t="inlineStr">
        <is>
          <t>Wipro</t>
        </is>
      </c>
      <c r="D52" s="2" t="inlineStr">
        <is>
          <t>Marketing</t>
        </is>
      </c>
      <c r="E52" s="2" t="inlineStr">
        <is>
          <t>Travel</t>
        </is>
      </c>
      <c r="F52" s="8" t="n">
        <v>939700</v>
      </c>
      <c r="G52" s="2" t="n">
        <v>45</v>
      </c>
      <c r="H52" s="7" t="n">
        <v>46254</v>
      </c>
      <c r="I52" s="7" t="n">
        <v>46284</v>
      </c>
      <c r="J52" s="2" t="inlineStr">
        <is>
          <t>Paid</t>
        </is>
      </c>
      <c r="K52" s="2" t="inlineStr">
        <is>
          <t>No</t>
        </is>
      </c>
      <c r="L52" s="9" t="n">
        <v>0</v>
      </c>
      <c r="M52" s="2" t="inlineStr">
        <is>
          <t>Received</t>
        </is>
      </c>
      <c r="N52" s="2" t="inlineStr">
        <is>
          <t>Approved</t>
        </is>
      </c>
      <c r="O52" s="2" t="n"/>
      <c r="P52" s="2" t="n"/>
      <c r="Q52" s="2" t="n"/>
      <c r="R52" s="2" t="n"/>
    </row>
    <row r="53">
      <c r="A53" s="2" t="inlineStr">
        <is>
          <t>INV00050</t>
        </is>
      </c>
      <c r="B53" s="7" t="n">
        <v>46062</v>
      </c>
      <c r="C53" s="2" t="inlineStr">
        <is>
          <t>Zoho</t>
        </is>
      </c>
      <c r="D53" s="2" t="inlineStr">
        <is>
          <t>Operations</t>
        </is>
      </c>
      <c r="E53" s="2" t="inlineStr">
        <is>
          <t>Cloud</t>
        </is>
      </c>
      <c r="F53" s="8" t="n">
        <v>751100</v>
      </c>
      <c r="G53" s="2" t="n">
        <v>60</v>
      </c>
      <c r="H53" s="7" t="n">
        <v>46122</v>
      </c>
      <c r="I53" s="7" t="n">
        <v>46152</v>
      </c>
      <c r="J53" s="2" t="inlineStr">
        <is>
          <t>Paid</t>
        </is>
      </c>
      <c r="K53" s="2" t="inlineStr">
        <is>
          <t>Yes</t>
        </is>
      </c>
      <c r="L53" s="9" t="n">
        <v>0.02</v>
      </c>
      <c r="M53" s="2" t="inlineStr">
        <is>
          <t>Received</t>
        </is>
      </c>
      <c r="N53" s="2" t="inlineStr">
        <is>
          <t>Approved</t>
        </is>
      </c>
      <c r="O53" s="2" t="n"/>
      <c r="P53" s="2" t="n"/>
      <c r="Q53" s="2" t="n"/>
      <c r="R53" s="2" t="n"/>
    </row>
    <row r="54">
      <c r="A54" s="2" t="inlineStr">
        <is>
          <t>INV00051</t>
        </is>
      </c>
      <c r="B54" s="7" t="n">
        <v>46182</v>
      </c>
      <c r="C54" s="2" t="inlineStr">
        <is>
          <t>Zoho</t>
        </is>
      </c>
      <c r="D54" s="2" t="inlineStr">
        <is>
          <t>Marketing</t>
        </is>
      </c>
      <c r="E54" s="2" t="inlineStr">
        <is>
          <t>Travel</t>
        </is>
      </c>
      <c r="F54" s="8" t="n">
        <v>141200</v>
      </c>
      <c r="G54" s="2" t="n">
        <v>45</v>
      </c>
      <c r="H54" s="7" t="n">
        <v>46227</v>
      </c>
      <c r="I54" s="7" t="n">
        <v>46242</v>
      </c>
      <c r="J54" s="2" t="inlineStr">
        <is>
          <t>Paid</t>
        </is>
      </c>
      <c r="K54" s="2" t="inlineStr">
        <is>
          <t>No</t>
        </is>
      </c>
      <c r="L54" s="9" t="n">
        <v>0</v>
      </c>
      <c r="M54" s="2" t="inlineStr">
        <is>
          <t>Received</t>
        </is>
      </c>
      <c r="N54" s="2" t="inlineStr">
        <is>
          <t>Approved</t>
        </is>
      </c>
      <c r="O54" s="2" t="n"/>
      <c r="P54" s="2" t="n"/>
      <c r="Q54" s="2" t="n"/>
      <c r="R54" s="2" t="n"/>
    </row>
    <row r="55">
      <c r="A55" s="2" t="inlineStr">
        <is>
          <t>INV00052</t>
        </is>
      </c>
      <c r="B55" s="7" t="n">
        <v>46349</v>
      </c>
      <c r="C55" s="2" t="inlineStr">
        <is>
          <t>IBM</t>
        </is>
      </c>
      <c r="D55" s="2" t="inlineStr">
        <is>
          <t>Operations</t>
        </is>
      </c>
      <c r="E55" s="2" t="inlineStr">
        <is>
          <t>Facilities</t>
        </is>
      </c>
      <c r="F55" s="8" t="n">
        <v>27800</v>
      </c>
      <c r="G55" s="2" t="n">
        <v>15</v>
      </c>
      <c r="H55" s="7" t="n">
        <v>46364</v>
      </c>
      <c r="I55" s="7" t="n">
        <v>46369</v>
      </c>
      <c r="J55" s="2" t="inlineStr">
        <is>
          <t>Paid</t>
        </is>
      </c>
      <c r="K55" s="2" t="inlineStr">
        <is>
          <t>No</t>
        </is>
      </c>
      <c r="L55" s="9" t="n">
        <v>0</v>
      </c>
      <c r="M55" s="2" t="inlineStr">
        <is>
          <t>Received</t>
        </is>
      </c>
      <c r="N55" s="2" t="inlineStr">
        <is>
          <t>Approved</t>
        </is>
      </c>
      <c r="O55" s="2" t="n"/>
      <c r="P55" s="2" t="n"/>
      <c r="Q55" s="2" t="n"/>
      <c r="R55" s="2" t="n"/>
    </row>
    <row r="56">
      <c r="A56" s="2" t="inlineStr">
        <is>
          <t>INV00053</t>
        </is>
      </c>
      <c r="B56" s="7" t="n">
        <v>46374</v>
      </c>
      <c r="C56" s="2" t="inlineStr">
        <is>
          <t>Oracle</t>
        </is>
      </c>
      <c r="D56" s="2" t="inlineStr">
        <is>
          <t>HR</t>
        </is>
      </c>
      <c r="E56" s="2" t="inlineStr">
        <is>
          <t>Travel</t>
        </is>
      </c>
      <c r="F56" s="8" t="n">
        <v>71400</v>
      </c>
      <c r="G56" s="2" t="n">
        <v>60</v>
      </c>
      <c r="H56" s="7" t="n">
        <v>46434</v>
      </c>
      <c r="I56" s="2" t="n"/>
      <c r="J56" s="2" t="inlineStr">
        <is>
          <t>Pending</t>
        </is>
      </c>
      <c r="K56" s="2" t="inlineStr">
        <is>
          <t>Yes</t>
        </is>
      </c>
      <c r="L56" s="9" t="n">
        <v>0.02</v>
      </c>
      <c r="M56" s="2" t="inlineStr">
        <is>
          <t>Received</t>
        </is>
      </c>
      <c r="N56" s="2" t="inlineStr">
        <is>
          <t>Pending</t>
        </is>
      </c>
      <c r="O56" s="2" t="n"/>
      <c r="P56" s="2" t="n"/>
      <c r="Q56" s="2" t="n"/>
      <c r="R56" s="2" t="n"/>
    </row>
    <row r="57">
      <c r="A57" s="2" t="inlineStr">
        <is>
          <t>INV00054</t>
        </is>
      </c>
      <c r="B57" s="7" t="n">
        <v>46362</v>
      </c>
      <c r="C57" s="2" t="inlineStr">
        <is>
          <t>TCS</t>
        </is>
      </c>
      <c r="D57" s="2" t="inlineStr">
        <is>
          <t>Finance</t>
        </is>
      </c>
      <c r="E57" s="2" t="inlineStr">
        <is>
          <t>Travel</t>
        </is>
      </c>
      <c r="F57" s="8" t="n">
        <v>692200</v>
      </c>
      <c r="G57" s="2" t="n">
        <v>60</v>
      </c>
      <c r="H57" s="7" t="n">
        <v>46422</v>
      </c>
      <c r="I57" s="2" t="n"/>
      <c r="J57" s="2" t="inlineStr">
        <is>
          <t>Pending</t>
        </is>
      </c>
      <c r="K57" s="2" t="inlineStr">
        <is>
          <t>No</t>
        </is>
      </c>
      <c r="L57" s="9" t="n">
        <v>0</v>
      </c>
      <c r="M57" s="2" t="inlineStr">
        <is>
          <t>Received</t>
        </is>
      </c>
      <c r="N57" s="2" t="inlineStr">
        <is>
          <t>Approved</t>
        </is>
      </c>
      <c r="O57" s="2" t="n"/>
      <c r="P57" s="2" t="n"/>
      <c r="Q57" s="2" t="n"/>
      <c r="R57" s="2" t="n"/>
    </row>
    <row r="58">
      <c r="A58" s="2" t="inlineStr">
        <is>
          <t>INV00055</t>
        </is>
      </c>
      <c r="B58" s="7" t="n">
        <v>46143</v>
      </c>
      <c r="C58" s="2" t="inlineStr">
        <is>
          <t>Wipro</t>
        </is>
      </c>
      <c r="D58" s="2" t="inlineStr">
        <is>
          <t>Marketing</t>
        </is>
      </c>
      <c r="E58" s="2" t="inlineStr">
        <is>
          <t>Cloud</t>
        </is>
      </c>
      <c r="F58" s="8" t="n">
        <v>290900</v>
      </c>
      <c r="G58" s="2" t="n">
        <v>45</v>
      </c>
      <c r="H58" s="7" t="n">
        <v>46188</v>
      </c>
      <c r="I58" s="7" t="n">
        <v>46188</v>
      </c>
      <c r="J58" s="2" t="inlineStr">
        <is>
          <t>Paid</t>
        </is>
      </c>
      <c r="K58" s="2" t="inlineStr">
        <is>
          <t>No</t>
        </is>
      </c>
      <c r="L58" s="9" t="n">
        <v>0</v>
      </c>
      <c r="M58" s="2" t="inlineStr">
        <is>
          <t>Received</t>
        </is>
      </c>
      <c r="N58" s="2" t="inlineStr">
        <is>
          <t>Approved</t>
        </is>
      </c>
      <c r="O58" s="2" t="n"/>
      <c r="P58" s="2" t="n"/>
      <c r="Q58" s="2" t="n"/>
      <c r="R58" s="2" t="n"/>
    </row>
    <row r="59">
      <c r="A59" s="2" t="inlineStr">
        <is>
          <t>INV00056</t>
        </is>
      </c>
      <c r="B59" s="7" t="n">
        <v>46305</v>
      </c>
      <c r="C59" s="2" t="inlineStr">
        <is>
          <t>IBM</t>
        </is>
      </c>
      <c r="D59" s="2" t="inlineStr">
        <is>
          <t>Operations</t>
        </is>
      </c>
      <c r="E59" s="2" t="inlineStr">
        <is>
          <t>Professional Services</t>
        </is>
      </c>
      <c r="F59" s="8" t="n">
        <v>288500</v>
      </c>
      <c r="G59" s="2" t="n">
        <v>45</v>
      </c>
      <c r="H59" s="7" t="n">
        <v>46350</v>
      </c>
      <c r="I59" s="7" t="n">
        <v>46350</v>
      </c>
      <c r="J59" s="2" t="inlineStr">
        <is>
          <t>Paid</t>
        </is>
      </c>
      <c r="K59" s="2" t="inlineStr">
        <is>
          <t>No</t>
        </is>
      </c>
      <c r="L59" s="9" t="n">
        <v>0</v>
      </c>
      <c r="M59" s="2" t="inlineStr">
        <is>
          <t>Received</t>
        </is>
      </c>
      <c r="N59" s="2" t="inlineStr">
        <is>
          <t>Approved</t>
        </is>
      </c>
      <c r="O59" s="2" t="n"/>
      <c r="P59" s="2" t="n"/>
      <c r="Q59" s="2" t="n"/>
      <c r="R59" s="2" t="n"/>
    </row>
    <row r="60">
      <c r="A60" s="2" t="inlineStr">
        <is>
          <t>INV00057</t>
        </is>
      </c>
      <c r="B60" s="7" t="n">
        <v>46086</v>
      </c>
      <c r="C60" s="2" t="inlineStr">
        <is>
          <t>Cognizant</t>
        </is>
      </c>
      <c r="D60" s="2" t="inlineStr">
        <is>
          <t>Marketing</t>
        </is>
      </c>
      <c r="E60" s="2" t="inlineStr">
        <is>
          <t>Consulting</t>
        </is>
      </c>
      <c r="F60" s="8" t="n">
        <v>338800</v>
      </c>
      <c r="G60" s="2" t="n">
        <v>15</v>
      </c>
      <c r="H60" s="7" t="n">
        <v>46101</v>
      </c>
      <c r="I60" s="7" t="n">
        <v>46116</v>
      </c>
      <c r="J60" s="2" t="inlineStr">
        <is>
          <t>Paid</t>
        </is>
      </c>
      <c r="K60" s="2" t="inlineStr">
        <is>
          <t>Yes</t>
        </is>
      </c>
      <c r="L60" s="9" t="n">
        <v>0.02</v>
      </c>
      <c r="M60" s="2" t="inlineStr">
        <is>
          <t>Received</t>
        </is>
      </c>
      <c r="N60" s="2" t="inlineStr">
        <is>
          <t>Approved</t>
        </is>
      </c>
      <c r="O60" s="2" t="n"/>
      <c r="P60" s="2" t="n"/>
      <c r="Q60" s="2" t="n"/>
      <c r="R60" s="2" t="n"/>
    </row>
    <row r="61">
      <c r="A61" s="2" t="inlineStr">
        <is>
          <t>INV00058</t>
        </is>
      </c>
      <c r="B61" s="7" t="n">
        <v>46244</v>
      </c>
      <c r="C61" s="2" t="inlineStr">
        <is>
          <t>HCLTech</t>
        </is>
      </c>
      <c r="D61" s="2" t="inlineStr">
        <is>
          <t>Marketing</t>
        </is>
      </c>
      <c r="E61" s="2" t="inlineStr">
        <is>
          <t>Professional Services</t>
        </is>
      </c>
      <c r="F61" s="8" t="n">
        <v>144300</v>
      </c>
      <c r="G61" s="2" t="n">
        <v>45</v>
      </c>
      <c r="H61" s="7" t="n">
        <v>46289</v>
      </c>
      <c r="I61" s="2" t="n"/>
      <c r="J61" s="2" t="inlineStr">
        <is>
          <t>Pending</t>
        </is>
      </c>
      <c r="K61" s="2" t="inlineStr">
        <is>
          <t>Yes</t>
        </is>
      </c>
      <c r="L61" s="9" t="n">
        <v>0.02</v>
      </c>
      <c r="M61" s="2" t="inlineStr">
        <is>
          <t>Received</t>
        </is>
      </c>
      <c r="N61" s="2" t="inlineStr">
        <is>
          <t>Approved</t>
        </is>
      </c>
      <c r="O61" s="2" t="n"/>
      <c r="P61" s="2" t="n"/>
      <c r="Q61" s="2" t="n"/>
      <c r="R61" s="2" t="n"/>
    </row>
    <row r="62">
      <c r="A62" s="2" t="inlineStr">
        <is>
          <t>INV00059</t>
        </is>
      </c>
      <c r="B62" s="7" t="n">
        <v>46089</v>
      </c>
      <c r="C62" s="2" t="inlineStr">
        <is>
          <t>Deloitte</t>
        </is>
      </c>
      <c r="D62" s="2" t="inlineStr">
        <is>
          <t>Marketing</t>
        </is>
      </c>
      <c r="E62" s="2" t="inlineStr">
        <is>
          <t>Software</t>
        </is>
      </c>
      <c r="F62" s="8" t="n">
        <v>587900</v>
      </c>
      <c r="G62" s="2" t="n">
        <v>30</v>
      </c>
      <c r="H62" s="7" t="n">
        <v>46119</v>
      </c>
      <c r="I62" s="7" t="n">
        <v>46119</v>
      </c>
      <c r="J62" s="2" t="inlineStr">
        <is>
          <t>Paid</t>
        </is>
      </c>
      <c r="K62" s="2" t="inlineStr">
        <is>
          <t>No</t>
        </is>
      </c>
      <c r="L62" s="9" t="n">
        <v>0</v>
      </c>
      <c r="M62" s="2" t="inlineStr">
        <is>
          <t>Received</t>
        </is>
      </c>
      <c r="N62" s="2" t="inlineStr">
        <is>
          <t>Approved</t>
        </is>
      </c>
      <c r="O62" s="2" t="n"/>
      <c r="P62" s="2" t="n"/>
      <c r="Q62" s="2" t="n"/>
      <c r="R62" s="2" t="n"/>
    </row>
    <row r="63">
      <c r="A63" s="2" t="inlineStr">
        <is>
          <t>INV00060</t>
        </is>
      </c>
      <c r="B63" s="7" t="n">
        <v>46334</v>
      </c>
      <c r="C63" s="2" t="inlineStr">
        <is>
          <t>Zoho</t>
        </is>
      </c>
      <c r="D63" s="2" t="inlineStr">
        <is>
          <t>HR</t>
        </is>
      </c>
      <c r="E63" s="2" t="inlineStr">
        <is>
          <t>Facilities</t>
        </is>
      </c>
      <c r="F63" s="8" t="n">
        <v>109200</v>
      </c>
      <c r="G63" s="2" t="n">
        <v>30</v>
      </c>
      <c r="H63" s="7" t="n">
        <v>46364</v>
      </c>
      <c r="I63" s="2" t="n"/>
      <c r="J63" s="2" t="inlineStr">
        <is>
          <t>Pending</t>
        </is>
      </c>
      <c r="K63" s="2" t="inlineStr">
        <is>
          <t>No</t>
        </is>
      </c>
      <c r="L63" s="9" t="n">
        <v>0</v>
      </c>
      <c r="M63" s="2" t="inlineStr">
        <is>
          <t>Received</t>
        </is>
      </c>
      <c r="N63" s="2" t="inlineStr">
        <is>
          <t>Approved</t>
        </is>
      </c>
      <c r="O63" s="2" t="n"/>
      <c r="P63" s="2" t="n"/>
      <c r="Q63" s="2" t="n"/>
      <c r="R63" s="2" t="n"/>
    </row>
    <row r="64">
      <c r="A64" s="2" t="inlineStr">
        <is>
          <t>INV00061</t>
        </is>
      </c>
      <c r="B64" s="7" t="n">
        <v>46162</v>
      </c>
      <c r="C64" s="2" t="inlineStr">
        <is>
          <t>Wipro</t>
        </is>
      </c>
      <c r="D64" s="2" t="inlineStr">
        <is>
          <t>Marketing</t>
        </is>
      </c>
      <c r="E64" s="2" t="inlineStr">
        <is>
          <t>Consulting</t>
        </is>
      </c>
      <c r="F64" s="8" t="n">
        <v>766500</v>
      </c>
      <c r="G64" s="2" t="n">
        <v>60</v>
      </c>
      <c r="H64" s="7" t="n">
        <v>46222</v>
      </c>
      <c r="I64" s="2" t="n"/>
      <c r="J64" s="2" t="inlineStr">
        <is>
          <t>Pending</t>
        </is>
      </c>
      <c r="K64" s="2" t="inlineStr">
        <is>
          <t>No</t>
        </is>
      </c>
      <c r="L64" s="9" t="n">
        <v>0</v>
      </c>
      <c r="M64" s="2" t="inlineStr">
        <is>
          <t>Received</t>
        </is>
      </c>
      <c r="N64" s="2" t="inlineStr">
        <is>
          <t>Approved</t>
        </is>
      </c>
      <c r="O64" s="2" t="n"/>
      <c r="P64" s="2" t="n"/>
      <c r="Q64" s="2" t="n"/>
      <c r="R64" s="2" t="n"/>
    </row>
    <row r="65">
      <c r="A65" s="2" t="inlineStr">
        <is>
          <t>INV00062</t>
        </is>
      </c>
      <c r="B65" s="7" t="n">
        <v>46036</v>
      </c>
      <c r="C65" s="2" t="inlineStr">
        <is>
          <t>Wipro</t>
        </is>
      </c>
      <c r="D65" s="2" t="inlineStr">
        <is>
          <t>HR</t>
        </is>
      </c>
      <c r="E65" s="2" t="inlineStr">
        <is>
          <t>Office Supplies</t>
        </is>
      </c>
      <c r="F65" s="8" t="n">
        <v>11300</v>
      </c>
      <c r="G65" s="2" t="n">
        <v>45</v>
      </c>
      <c r="H65" s="7" t="n">
        <v>46081</v>
      </c>
      <c r="I65" s="2" t="n"/>
      <c r="J65" s="2" t="inlineStr">
        <is>
          <t>Pending</t>
        </is>
      </c>
      <c r="K65" s="2" t="inlineStr">
        <is>
          <t>No</t>
        </is>
      </c>
      <c r="L65" s="9" t="n">
        <v>0</v>
      </c>
      <c r="M65" s="2" t="inlineStr">
        <is>
          <t>Received</t>
        </is>
      </c>
      <c r="N65" s="2" t="inlineStr">
        <is>
          <t>Approved</t>
        </is>
      </c>
      <c r="O65" s="2" t="n"/>
      <c r="P65" s="2" t="n"/>
      <c r="Q65" s="2" t="n"/>
      <c r="R65" s="2" t="n"/>
    </row>
    <row r="66">
      <c r="A66" s="2" t="inlineStr">
        <is>
          <t>INV00063</t>
        </is>
      </c>
      <c r="B66" s="7" t="n">
        <v>46097</v>
      </c>
      <c r="C66" s="2" t="inlineStr">
        <is>
          <t>Google Cloud</t>
        </is>
      </c>
      <c r="D66" s="2" t="inlineStr">
        <is>
          <t>Sales</t>
        </is>
      </c>
      <c r="E66" s="2" t="inlineStr">
        <is>
          <t>Professional Services</t>
        </is>
      </c>
      <c r="F66" s="8" t="n">
        <v>689000</v>
      </c>
      <c r="G66" s="2" t="n">
        <v>45</v>
      </c>
      <c r="H66" s="7" t="n">
        <v>46142</v>
      </c>
      <c r="I66" s="2" t="n"/>
      <c r="J66" s="2" t="inlineStr">
        <is>
          <t>Pending</t>
        </is>
      </c>
      <c r="K66" s="2" t="inlineStr">
        <is>
          <t>No</t>
        </is>
      </c>
      <c r="L66" s="9" t="n">
        <v>0</v>
      </c>
      <c r="M66" s="2" t="inlineStr">
        <is>
          <t>Received</t>
        </is>
      </c>
      <c r="N66" s="2" t="inlineStr">
        <is>
          <t>Approved</t>
        </is>
      </c>
      <c r="O66" s="2" t="n"/>
      <c r="P66" s="2" t="n"/>
      <c r="Q66" s="2" t="n"/>
      <c r="R66" s="2" t="n"/>
    </row>
    <row r="67">
      <c r="A67" s="2" t="inlineStr">
        <is>
          <t>INV00064</t>
        </is>
      </c>
      <c r="B67" s="7" t="n">
        <v>46081</v>
      </c>
      <c r="C67" s="2" t="inlineStr">
        <is>
          <t>Deloitte</t>
        </is>
      </c>
      <c r="D67" s="2" t="inlineStr">
        <is>
          <t>HR</t>
        </is>
      </c>
      <c r="E67" s="2" t="inlineStr">
        <is>
          <t>Professional Services</t>
        </is>
      </c>
      <c r="F67" s="8" t="n">
        <v>75600</v>
      </c>
      <c r="G67" s="2" t="n">
        <v>60</v>
      </c>
      <c r="H67" s="7" t="n">
        <v>46141</v>
      </c>
      <c r="I67" s="7" t="n">
        <v>46141</v>
      </c>
      <c r="J67" s="2" t="inlineStr">
        <is>
          <t>Paid</t>
        </is>
      </c>
      <c r="K67" s="2" t="inlineStr">
        <is>
          <t>Yes</t>
        </is>
      </c>
      <c r="L67" s="9" t="n">
        <v>0.02</v>
      </c>
      <c r="M67" s="2" t="inlineStr">
        <is>
          <t>Pending</t>
        </is>
      </c>
      <c r="N67" s="2" t="inlineStr">
        <is>
          <t>Approved</t>
        </is>
      </c>
      <c r="O67" s="2" t="n"/>
      <c r="P67" s="2" t="n"/>
      <c r="Q67" s="2" t="n"/>
      <c r="R67" s="2" t="n"/>
    </row>
    <row r="68">
      <c r="A68" s="2" t="inlineStr">
        <is>
          <t>INV00065</t>
        </is>
      </c>
      <c r="B68" s="7" t="n">
        <v>46292</v>
      </c>
      <c r="C68" s="2" t="inlineStr">
        <is>
          <t>Microsoft</t>
        </is>
      </c>
      <c r="D68" s="2" t="inlineStr">
        <is>
          <t>Sales</t>
        </is>
      </c>
      <c r="E68" s="2" t="inlineStr">
        <is>
          <t>Facilities</t>
        </is>
      </c>
      <c r="F68" s="8" t="n">
        <v>390700</v>
      </c>
      <c r="G68" s="2" t="n">
        <v>60</v>
      </c>
      <c r="H68" s="7" t="n">
        <v>46352</v>
      </c>
      <c r="I68" s="7" t="n">
        <v>46352</v>
      </c>
      <c r="J68" s="2" t="inlineStr">
        <is>
          <t>Paid</t>
        </is>
      </c>
      <c r="K68" s="2" t="inlineStr">
        <is>
          <t>No</t>
        </is>
      </c>
      <c r="L68" s="9" t="n">
        <v>0</v>
      </c>
      <c r="M68" s="2" t="inlineStr">
        <is>
          <t>Received</t>
        </is>
      </c>
      <c r="N68" s="2" t="inlineStr">
        <is>
          <t>Approved</t>
        </is>
      </c>
      <c r="O68" s="2" t="n"/>
      <c r="P68" s="2" t="n"/>
      <c r="Q68" s="2" t="n"/>
      <c r="R68" s="2" t="n"/>
    </row>
    <row r="69">
      <c r="A69" s="2" t="inlineStr">
        <is>
          <t>INV00066</t>
        </is>
      </c>
      <c r="B69" s="7" t="n">
        <v>46091</v>
      </c>
      <c r="C69" s="2" t="inlineStr">
        <is>
          <t>IBM</t>
        </is>
      </c>
      <c r="D69" s="2" t="inlineStr">
        <is>
          <t>Sales</t>
        </is>
      </c>
      <c r="E69" s="2" t="inlineStr">
        <is>
          <t>Professional Services</t>
        </is>
      </c>
      <c r="F69" s="8" t="n">
        <v>12100</v>
      </c>
      <c r="G69" s="2" t="n">
        <v>15</v>
      </c>
      <c r="H69" s="7" t="n">
        <v>46106</v>
      </c>
      <c r="I69" s="7" t="n">
        <v>46106</v>
      </c>
      <c r="J69" s="2" t="inlineStr">
        <is>
          <t>Paid</t>
        </is>
      </c>
      <c r="K69" s="2" t="inlineStr">
        <is>
          <t>Yes</t>
        </is>
      </c>
      <c r="L69" s="9" t="n">
        <v>0.02</v>
      </c>
      <c r="M69" s="2" t="inlineStr">
        <is>
          <t>Received</t>
        </is>
      </c>
      <c r="N69" s="2" t="inlineStr">
        <is>
          <t>Approved</t>
        </is>
      </c>
      <c r="O69" s="2" t="n"/>
      <c r="P69" s="2" t="n"/>
      <c r="Q69" s="2" t="n"/>
      <c r="R69" s="2" t="n"/>
    </row>
    <row r="70">
      <c r="A70" s="2" t="inlineStr">
        <is>
          <t>INV00067</t>
        </is>
      </c>
      <c r="B70" s="7" t="n">
        <v>46068</v>
      </c>
      <c r="C70" s="2" t="inlineStr">
        <is>
          <t>Amazon Web Services</t>
        </is>
      </c>
      <c r="D70" s="2" t="inlineStr">
        <is>
          <t>Sales</t>
        </is>
      </c>
      <c r="E70" s="2" t="inlineStr">
        <is>
          <t>Facilities</t>
        </is>
      </c>
      <c r="F70" s="8" t="n">
        <v>787500</v>
      </c>
      <c r="G70" s="2" t="n">
        <v>30</v>
      </c>
      <c r="H70" s="7" t="n">
        <v>46098</v>
      </c>
      <c r="I70" s="7" t="n">
        <v>46098</v>
      </c>
      <c r="J70" s="2" t="inlineStr">
        <is>
          <t>Paid</t>
        </is>
      </c>
      <c r="K70" s="2" t="inlineStr">
        <is>
          <t>No</t>
        </is>
      </c>
      <c r="L70" s="9" t="n">
        <v>0</v>
      </c>
      <c r="M70" s="2" t="inlineStr">
        <is>
          <t>Received</t>
        </is>
      </c>
      <c r="N70" s="2" t="inlineStr">
        <is>
          <t>Approved</t>
        </is>
      </c>
      <c r="O70" s="2" t="n"/>
      <c r="P70" s="2" t="n"/>
      <c r="Q70" s="2" t="n"/>
      <c r="R70" s="2" t="n"/>
    </row>
    <row r="71">
      <c r="A71" s="2" t="inlineStr">
        <is>
          <t>INV00068</t>
        </is>
      </c>
      <c r="B71" s="7" t="n">
        <v>46132</v>
      </c>
      <c r="C71" s="2" t="inlineStr">
        <is>
          <t>Google Cloud</t>
        </is>
      </c>
      <c r="D71" s="2" t="inlineStr">
        <is>
          <t>Sales</t>
        </is>
      </c>
      <c r="E71" s="2" t="inlineStr">
        <is>
          <t>Cloud</t>
        </is>
      </c>
      <c r="F71" s="8" t="n">
        <v>842500</v>
      </c>
      <c r="G71" s="2" t="n">
        <v>15</v>
      </c>
      <c r="H71" s="7" t="n">
        <v>46147</v>
      </c>
      <c r="I71" s="7" t="n">
        <v>46162</v>
      </c>
      <c r="J71" s="2" t="inlineStr">
        <is>
          <t>Paid</t>
        </is>
      </c>
      <c r="K71" s="2" t="inlineStr">
        <is>
          <t>Yes</t>
        </is>
      </c>
      <c r="L71" s="9" t="n">
        <v>0.02</v>
      </c>
      <c r="M71" s="2" t="inlineStr">
        <is>
          <t>Received</t>
        </is>
      </c>
      <c r="N71" s="2" t="inlineStr">
        <is>
          <t>Approved</t>
        </is>
      </c>
      <c r="O71" s="2" t="n"/>
      <c r="P71" s="2" t="n"/>
      <c r="Q71" s="2" t="n"/>
      <c r="R71" s="2" t="n"/>
    </row>
    <row r="72">
      <c r="A72" s="2" t="inlineStr">
        <is>
          <t>INV00069</t>
        </is>
      </c>
      <c r="B72" s="7" t="n">
        <v>46314</v>
      </c>
      <c r="C72" s="2" t="inlineStr">
        <is>
          <t>SAP</t>
        </is>
      </c>
      <c r="D72" s="2" t="inlineStr">
        <is>
          <t>Operations</t>
        </is>
      </c>
      <c r="E72" s="2" t="inlineStr">
        <is>
          <t>Facilities</t>
        </is>
      </c>
      <c r="F72" s="8" t="n">
        <v>613300</v>
      </c>
      <c r="G72" s="2" t="n">
        <v>30</v>
      </c>
      <c r="H72" s="7" t="n">
        <v>46344</v>
      </c>
      <c r="I72" s="7" t="n">
        <v>46344</v>
      </c>
      <c r="J72" s="2" t="inlineStr">
        <is>
          <t>Paid</t>
        </is>
      </c>
      <c r="K72" s="2" t="inlineStr">
        <is>
          <t>No</t>
        </is>
      </c>
      <c r="L72" s="9" t="n">
        <v>0</v>
      </c>
      <c r="M72" s="2" t="inlineStr">
        <is>
          <t>Received</t>
        </is>
      </c>
      <c r="N72" s="2" t="inlineStr">
        <is>
          <t>Approved</t>
        </is>
      </c>
      <c r="O72" s="2" t="n"/>
      <c r="P72" s="2" t="n"/>
      <c r="Q72" s="2" t="n"/>
      <c r="R72" s="2" t="n"/>
    </row>
    <row r="73">
      <c r="A73" s="2" t="inlineStr">
        <is>
          <t>INV00070</t>
        </is>
      </c>
      <c r="B73" s="7" t="n">
        <v>46364</v>
      </c>
      <c r="C73" s="2" t="inlineStr">
        <is>
          <t>Accenture</t>
        </is>
      </c>
      <c r="D73" s="2" t="inlineStr">
        <is>
          <t>Operations</t>
        </is>
      </c>
      <c r="E73" s="2" t="inlineStr">
        <is>
          <t>Cloud</t>
        </is>
      </c>
      <c r="F73" s="8" t="n">
        <v>808500</v>
      </c>
      <c r="G73" s="2" t="n">
        <v>60</v>
      </c>
      <c r="H73" s="7" t="n">
        <v>46424</v>
      </c>
      <c r="I73" s="7" t="n">
        <v>46429</v>
      </c>
      <c r="J73" s="2" t="inlineStr">
        <is>
          <t>Paid</t>
        </is>
      </c>
      <c r="K73" s="2" t="inlineStr">
        <is>
          <t>No</t>
        </is>
      </c>
      <c r="L73" s="9" t="n">
        <v>0</v>
      </c>
      <c r="M73" s="2" t="inlineStr">
        <is>
          <t>Pending</t>
        </is>
      </c>
      <c r="N73" s="2" t="inlineStr">
        <is>
          <t>Approved</t>
        </is>
      </c>
      <c r="O73" s="2" t="n"/>
      <c r="P73" s="2" t="n"/>
      <c r="Q73" s="2" t="n"/>
      <c r="R73" s="2" t="n"/>
    </row>
    <row r="74">
      <c r="A74" s="2" t="inlineStr">
        <is>
          <t>INV00071</t>
        </is>
      </c>
      <c r="B74" s="7" t="n">
        <v>46027</v>
      </c>
      <c r="C74" s="2" t="inlineStr">
        <is>
          <t>Google Cloud</t>
        </is>
      </c>
      <c r="D74" s="2" t="inlineStr">
        <is>
          <t>Marketing</t>
        </is>
      </c>
      <c r="E74" s="2" t="inlineStr">
        <is>
          <t>Consulting</t>
        </is>
      </c>
      <c r="F74" s="8" t="n">
        <v>580200</v>
      </c>
      <c r="G74" s="2" t="n">
        <v>15</v>
      </c>
      <c r="H74" s="7" t="n">
        <v>46042</v>
      </c>
      <c r="I74" s="7" t="n">
        <v>46042</v>
      </c>
      <c r="J74" s="2" t="inlineStr">
        <is>
          <t>Paid</t>
        </is>
      </c>
      <c r="K74" s="2" t="inlineStr">
        <is>
          <t>No</t>
        </is>
      </c>
      <c r="L74" s="9" t="n">
        <v>0</v>
      </c>
      <c r="M74" s="2" t="inlineStr">
        <is>
          <t>Pending</t>
        </is>
      </c>
      <c r="N74" s="2" t="inlineStr">
        <is>
          <t>Approved</t>
        </is>
      </c>
      <c r="O74" s="2" t="n"/>
      <c r="P74" s="2" t="n"/>
      <c r="Q74" s="2" t="n"/>
      <c r="R74" s="2" t="n"/>
    </row>
    <row r="75">
      <c r="A75" s="2" t="inlineStr">
        <is>
          <t>INV00072</t>
        </is>
      </c>
      <c r="B75" s="7" t="n">
        <v>46153</v>
      </c>
      <c r="C75" s="2" t="inlineStr">
        <is>
          <t>Accenture</t>
        </is>
      </c>
      <c r="D75" s="2" t="inlineStr">
        <is>
          <t>Sales</t>
        </is>
      </c>
      <c r="E75" s="2" t="inlineStr">
        <is>
          <t>Professional Services</t>
        </is>
      </c>
      <c r="F75" s="8" t="n">
        <v>889300</v>
      </c>
      <c r="G75" s="2" t="n">
        <v>15</v>
      </c>
      <c r="H75" s="7" t="n">
        <v>46168</v>
      </c>
      <c r="I75" s="2" t="n"/>
      <c r="J75" s="2" t="inlineStr">
        <is>
          <t>Pending</t>
        </is>
      </c>
      <c r="K75" s="2" t="inlineStr">
        <is>
          <t>No</t>
        </is>
      </c>
      <c r="L75" s="9" t="n">
        <v>0</v>
      </c>
      <c r="M75" s="2" t="inlineStr">
        <is>
          <t>Pending</t>
        </is>
      </c>
      <c r="N75" s="2" t="inlineStr">
        <is>
          <t>Approved</t>
        </is>
      </c>
      <c r="O75" s="2" t="n"/>
      <c r="P75" s="2" t="n"/>
      <c r="Q75" s="2" t="n"/>
      <c r="R75" s="2" t="n"/>
    </row>
    <row r="76">
      <c r="A76" s="2" t="inlineStr">
        <is>
          <t>INV00073</t>
        </is>
      </c>
      <c r="B76" s="7" t="n">
        <v>46267</v>
      </c>
      <c r="C76" s="2" t="inlineStr">
        <is>
          <t>Accenture</t>
        </is>
      </c>
      <c r="D76" s="2" t="inlineStr">
        <is>
          <t>IT</t>
        </is>
      </c>
      <c r="E76" s="2" t="inlineStr">
        <is>
          <t>Cloud</t>
        </is>
      </c>
      <c r="F76" s="8" t="n">
        <v>810100</v>
      </c>
      <c r="G76" s="2" t="n">
        <v>45</v>
      </c>
      <c r="H76" s="7" t="n">
        <v>46312</v>
      </c>
      <c r="I76" s="2" t="n"/>
      <c r="J76" s="2" t="inlineStr">
        <is>
          <t>Pending</t>
        </is>
      </c>
      <c r="K76" s="2" t="inlineStr">
        <is>
          <t>No</t>
        </is>
      </c>
      <c r="L76" s="9" t="n">
        <v>0</v>
      </c>
      <c r="M76" s="2" t="inlineStr">
        <is>
          <t>Received</t>
        </is>
      </c>
      <c r="N76" s="2" t="inlineStr">
        <is>
          <t>Approved</t>
        </is>
      </c>
      <c r="O76" s="2" t="n"/>
      <c r="P76" s="2" t="n"/>
      <c r="Q76" s="2" t="n"/>
      <c r="R76" s="2" t="n"/>
    </row>
    <row r="77">
      <c r="A77" s="2" t="inlineStr">
        <is>
          <t>INV00074</t>
        </is>
      </c>
      <c r="B77" s="7" t="n">
        <v>46104</v>
      </c>
      <c r="C77" s="2" t="inlineStr">
        <is>
          <t>Infosys</t>
        </is>
      </c>
      <c r="D77" s="2" t="inlineStr">
        <is>
          <t>IT</t>
        </is>
      </c>
      <c r="E77" s="2" t="inlineStr">
        <is>
          <t>Software</t>
        </is>
      </c>
      <c r="F77" s="8" t="n">
        <v>470000</v>
      </c>
      <c r="G77" s="2" t="n">
        <v>45</v>
      </c>
      <c r="H77" s="7" t="n">
        <v>46149</v>
      </c>
      <c r="I77" s="7" t="n">
        <v>46149</v>
      </c>
      <c r="J77" s="2" t="inlineStr">
        <is>
          <t>Paid</t>
        </is>
      </c>
      <c r="K77" s="2" t="inlineStr">
        <is>
          <t>No</t>
        </is>
      </c>
      <c r="L77" s="9" t="n">
        <v>0</v>
      </c>
      <c r="M77" s="2" t="inlineStr">
        <is>
          <t>Received</t>
        </is>
      </c>
      <c r="N77" s="2" t="inlineStr">
        <is>
          <t>Approved</t>
        </is>
      </c>
      <c r="O77" s="2" t="n"/>
      <c r="P77" s="2" t="n"/>
      <c r="Q77" s="2" t="n"/>
      <c r="R77" s="2" t="n"/>
    </row>
    <row r="78">
      <c r="A78" s="2" t="inlineStr">
        <is>
          <t>INV00075</t>
        </is>
      </c>
      <c r="B78" s="7" t="n">
        <v>46084</v>
      </c>
      <c r="C78" s="2" t="inlineStr">
        <is>
          <t>Accenture</t>
        </is>
      </c>
      <c r="D78" s="2" t="inlineStr">
        <is>
          <t>Operations</t>
        </is>
      </c>
      <c r="E78" s="2" t="inlineStr">
        <is>
          <t>Office Supplies</t>
        </is>
      </c>
      <c r="F78" s="8" t="n">
        <v>126900</v>
      </c>
      <c r="G78" s="2" t="n">
        <v>30</v>
      </c>
      <c r="H78" s="7" t="n">
        <v>46114</v>
      </c>
      <c r="I78" s="7" t="n">
        <v>46114</v>
      </c>
      <c r="J78" s="2" t="inlineStr">
        <is>
          <t>Paid</t>
        </is>
      </c>
      <c r="K78" s="2" t="inlineStr">
        <is>
          <t>Yes</t>
        </is>
      </c>
      <c r="L78" s="9" t="n">
        <v>0.02</v>
      </c>
      <c r="M78" s="2" t="inlineStr">
        <is>
          <t>Received</t>
        </is>
      </c>
      <c r="N78" s="2" t="inlineStr">
        <is>
          <t>Approved</t>
        </is>
      </c>
      <c r="O78" s="2" t="n"/>
      <c r="P78" s="2" t="n"/>
      <c r="Q78" s="2" t="n"/>
      <c r="R78" s="2" t="n"/>
    </row>
    <row r="79">
      <c r="A79" s="2" t="inlineStr">
        <is>
          <t>INV00076</t>
        </is>
      </c>
      <c r="B79" s="7" t="n">
        <v>46164</v>
      </c>
      <c r="C79" s="2" t="inlineStr">
        <is>
          <t>Google Cloud</t>
        </is>
      </c>
      <c r="D79" s="2" t="inlineStr">
        <is>
          <t>Finance</t>
        </is>
      </c>
      <c r="E79" s="2" t="inlineStr">
        <is>
          <t>Software</t>
        </is>
      </c>
      <c r="F79" s="8" t="n">
        <v>990700</v>
      </c>
      <c r="G79" s="2" t="n">
        <v>60</v>
      </c>
      <c r="H79" s="7" t="n">
        <v>46224</v>
      </c>
      <c r="I79" s="7" t="n">
        <v>46224</v>
      </c>
      <c r="J79" s="2" t="inlineStr">
        <is>
          <t>Paid</t>
        </is>
      </c>
      <c r="K79" s="2" t="inlineStr">
        <is>
          <t>Yes</t>
        </is>
      </c>
      <c r="L79" s="9" t="n">
        <v>0.02</v>
      </c>
      <c r="M79" s="2" t="inlineStr">
        <is>
          <t>Received</t>
        </is>
      </c>
      <c r="N79" s="2" t="inlineStr">
        <is>
          <t>Approved</t>
        </is>
      </c>
      <c r="O79" s="2" t="n"/>
      <c r="P79" s="2" t="n"/>
      <c r="Q79" s="2" t="n"/>
      <c r="R79" s="2" t="n"/>
    </row>
    <row r="80">
      <c r="A80" s="2" t="inlineStr">
        <is>
          <t>INV00077</t>
        </is>
      </c>
      <c r="B80" s="7" t="n">
        <v>46231</v>
      </c>
      <c r="C80" s="2" t="inlineStr">
        <is>
          <t>IBM</t>
        </is>
      </c>
      <c r="D80" s="2" t="inlineStr">
        <is>
          <t>IT</t>
        </is>
      </c>
      <c r="E80" s="2" t="inlineStr">
        <is>
          <t>Cloud</t>
        </is>
      </c>
      <c r="F80" s="8" t="n">
        <v>681100</v>
      </c>
      <c r="G80" s="2" t="n">
        <v>60</v>
      </c>
      <c r="H80" s="7" t="n">
        <v>46291</v>
      </c>
      <c r="I80" s="7" t="n">
        <v>46321</v>
      </c>
      <c r="J80" s="2" t="inlineStr">
        <is>
          <t>Paid</t>
        </is>
      </c>
      <c r="K80" s="2" t="inlineStr">
        <is>
          <t>No</t>
        </is>
      </c>
      <c r="L80" s="9" t="n">
        <v>0</v>
      </c>
      <c r="M80" s="2" t="inlineStr">
        <is>
          <t>Received</t>
        </is>
      </c>
      <c r="N80" s="2" t="inlineStr">
        <is>
          <t>Approved</t>
        </is>
      </c>
      <c r="O80" s="2" t="n"/>
      <c r="P80" s="2" t="n"/>
      <c r="Q80" s="2" t="n"/>
      <c r="R80" s="2" t="n"/>
    </row>
    <row r="81">
      <c r="A81" s="2" t="inlineStr">
        <is>
          <t>INV00078</t>
        </is>
      </c>
      <c r="B81" s="7" t="n">
        <v>46358</v>
      </c>
      <c r="C81" s="2" t="inlineStr">
        <is>
          <t>Zoho</t>
        </is>
      </c>
      <c r="D81" s="2" t="inlineStr">
        <is>
          <t>Marketing</t>
        </is>
      </c>
      <c r="E81" s="2" t="inlineStr">
        <is>
          <t>Travel</t>
        </is>
      </c>
      <c r="F81" s="8" t="n">
        <v>209000</v>
      </c>
      <c r="G81" s="2" t="n">
        <v>60</v>
      </c>
      <c r="H81" s="7" t="n">
        <v>46418</v>
      </c>
      <c r="I81" s="7" t="n">
        <v>46418</v>
      </c>
      <c r="J81" s="2" t="inlineStr">
        <is>
          <t>Paid</t>
        </is>
      </c>
      <c r="K81" s="2" t="inlineStr">
        <is>
          <t>No</t>
        </is>
      </c>
      <c r="L81" s="9" t="n">
        <v>0</v>
      </c>
      <c r="M81" s="2" t="inlineStr">
        <is>
          <t>Received</t>
        </is>
      </c>
      <c r="N81" s="2" t="inlineStr">
        <is>
          <t>Approved</t>
        </is>
      </c>
      <c r="O81" s="2" t="n"/>
      <c r="P81" s="2" t="n"/>
      <c r="Q81" s="2" t="n"/>
      <c r="R81" s="2" t="n"/>
    </row>
    <row r="82">
      <c r="A82" s="2" t="inlineStr">
        <is>
          <t>INV00079</t>
        </is>
      </c>
      <c r="B82" s="7" t="n">
        <v>46381</v>
      </c>
      <c r="C82" s="2" t="inlineStr">
        <is>
          <t>SAP</t>
        </is>
      </c>
      <c r="D82" s="2" t="inlineStr">
        <is>
          <t>Sales</t>
        </is>
      </c>
      <c r="E82" s="2" t="inlineStr">
        <is>
          <t>Facilities</t>
        </is>
      </c>
      <c r="F82" s="8" t="n">
        <v>158900</v>
      </c>
      <c r="G82" s="2" t="n">
        <v>30</v>
      </c>
      <c r="H82" s="7" t="n">
        <v>46411</v>
      </c>
      <c r="I82" s="7" t="n">
        <v>46411</v>
      </c>
      <c r="J82" s="2" t="inlineStr">
        <is>
          <t>Paid</t>
        </is>
      </c>
      <c r="K82" s="2" t="inlineStr">
        <is>
          <t>No</t>
        </is>
      </c>
      <c r="L82" s="9" t="n">
        <v>0</v>
      </c>
      <c r="M82" s="2" t="inlineStr">
        <is>
          <t>Received</t>
        </is>
      </c>
      <c r="N82" s="2" t="inlineStr">
        <is>
          <t>Approved</t>
        </is>
      </c>
      <c r="O82" s="2" t="n"/>
      <c r="P82" s="2" t="n"/>
      <c r="Q82" s="2" t="n"/>
      <c r="R82" s="2" t="n"/>
    </row>
    <row r="83">
      <c r="A83" s="2" t="inlineStr">
        <is>
          <t>INV00080</t>
        </is>
      </c>
      <c r="B83" s="7" t="n">
        <v>46153</v>
      </c>
      <c r="C83" s="2" t="inlineStr">
        <is>
          <t>Wipro</t>
        </is>
      </c>
      <c r="D83" s="2" t="inlineStr">
        <is>
          <t>Operations</t>
        </is>
      </c>
      <c r="E83" s="2" t="inlineStr">
        <is>
          <t>Cloud</t>
        </is>
      </c>
      <c r="F83" s="8" t="n">
        <v>654600</v>
      </c>
      <c r="G83" s="2" t="n">
        <v>30</v>
      </c>
      <c r="H83" s="7" t="n">
        <v>46183</v>
      </c>
      <c r="I83" s="7" t="n">
        <v>46243</v>
      </c>
      <c r="J83" s="2" t="inlineStr">
        <is>
          <t>Paid</t>
        </is>
      </c>
      <c r="K83" s="2" t="inlineStr">
        <is>
          <t>No</t>
        </is>
      </c>
      <c r="L83" s="9" t="n">
        <v>0</v>
      </c>
      <c r="M83" s="2" t="inlineStr">
        <is>
          <t>Received</t>
        </is>
      </c>
      <c r="N83" s="2" t="inlineStr">
        <is>
          <t>Approved</t>
        </is>
      </c>
      <c r="O83" s="2" t="n"/>
      <c r="P83" s="2" t="n"/>
      <c r="Q83" s="2" t="n"/>
      <c r="R83" s="2" t="n"/>
    </row>
    <row r="84">
      <c r="A84" s="2" t="inlineStr">
        <is>
          <t>INV00081</t>
        </is>
      </c>
      <c r="B84" s="7" t="n">
        <v>46260</v>
      </c>
      <c r="C84" s="2" t="inlineStr">
        <is>
          <t>Infosys</t>
        </is>
      </c>
      <c r="D84" s="2" t="inlineStr">
        <is>
          <t>Sales</t>
        </is>
      </c>
      <c r="E84" s="2" t="inlineStr">
        <is>
          <t>Facilities</t>
        </is>
      </c>
      <c r="F84" s="8" t="n">
        <v>202000</v>
      </c>
      <c r="G84" s="2" t="n">
        <v>45</v>
      </c>
      <c r="H84" s="7" t="n">
        <v>46305</v>
      </c>
      <c r="I84" s="7" t="n">
        <v>46395</v>
      </c>
      <c r="J84" s="2" t="inlineStr">
        <is>
          <t>Paid</t>
        </is>
      </c>
      <c r="K84" s="2" t="inlineStr">
        <is>
          <t>No</t>
        </is>
      </c>
      <c r="L84" s="9" t="n">
        <v>0</v>
      </c>
      <c r="M84" s="2" t="inlineStr">
        <is>
          <t>Received</t>
        </is>
      </c>
      <c r="N84" s="2" t="inlineStr">
        <is>
          <t>Pending</t>
        </is>
      </c>
      <c r="O84" s="2" t="n"/>
      <c r="P84" s="2" t="n"/>
      <c r="Q84" s="2" t="n"/>
      <c r="R84" s="2" t="n"/>
    </row>
    <row r="85">
      <c r="A85" s="2" t="inlineStr">
        <is>
          <t>INV00082</t>
        </is>
      </c>
      <c r="B85" s="7" t="n">
        <v>46277</v>
      </c>
      <c r="C85" s="2" t="inlineStr">
        <is>
          <t>Amazon Web Services</t>
        </is>
      </c>
      <c r="D85" s="2" t="inlineStr">
        <is>
          <t>Operations</t>
        </is>
      </c>
      <c r="E85" s="2" t="inlineStr">
        <is>
          <t>Software</t>
        </is>
      </c>
      <c r="F85" s="8" t="n">
        <v>591100</v>
      </c>
      <c r="G85" s="2" t="n">
        <v>45</v>
      </c>
      <c r="H85" s="7" t="n">
        <v>46322</v>
      </c>
      <c r="I85" s="7" t="n">
        <v>46352</v>
      </c>
      <c r="J85" s="2" t="inlineStr">
        <is>
          <t>Paid</t>
        </is>
      </c>
      <c r="K85" s="2" t="inlineStr">
        <is>
          <t>No</t>
        </is>
      </c>
      <c r="L85" s="9" t="n">
        <v>0</v>
      </c>
      <c r="M85" s="2" t="inlineStr">
        <is>
          <t>Received</t>
        </is>
      </c>
      <c r="N85" s="2" t="inlineStr">
        <is>
          <t>Approved</t>
        </is>
      </c>
      <c r="O85" s="2" t="n"/>
      <c r="P85" s="2" t="n"/>
      <c r="Q85" s="2" t="n"/>
      <c r="R85" s="2" t="n"/>
    </row>
    <row r="86">
      <c r="A86" s="2" t="inlineStr">
        <is>
          <t>INV00083</t>
        </is>
      </c>
      <c r="B86" s="7" t="n">
        <v>46042</v>
      </c>
      <c r="C86" s="2" t="inlineStr">
        <is>
          <t>Zoho</t>
        </is>
      </c>
      <c r="D86" s="2" t="inlineStr">
        <is>
          <t>Marketing</t>
        </is>
      </c>
      <c r="E86" s="2" t="inlineStr">
        <is>
          <t>Consulting</t>
        </is>
      </c>
      <c r="F86" s="8" t="n">
        <v>726600</v>
      </c>
      <c r="G86" s="2" t="n">
        <v>30</v>
      </c>
      <c r="H86" s="7" t="n">
        <v>46072</v>
      </c>
      <c r="I86" s="2" t="n"/>
      <c r="J86" s="2" t="inlineStr">
        <is>
          <t>Pending</t>
        </is>
      </c>
      <c r="K86" s="2" t="inlineStr">
        <is>
          <t>Yes</t>
        </is>
      </c>
      <c r="L86" s="9" t="n">
        <v>0.02</v>
      </c>
      <c r="M86" s="2" t="inlineStr">
        <is>
          <t>Received</t>
        </is>
      </c>
      <c r="N86" s="2" t="inlineStr">
        <is>
          <t>Approved</t>
        </is>
      </c>
      <c r="O86" s="2" t="n"/>
      <c r="P86" s="2" t="n"/>
      <c r="Q86" s="2" t="n"/>
      <c r="R86" s="2" t="n"/>
    </row>
    <row r="87">
      <c r="A87" s="2" t="inlineStr">
        <is>
          <t>INV00084</t>
        </is>
      </c>
      <c r="B87" s="7" t="n">
        <v>46032</v>
      </c>
      <c r="C87" s="2" t="inlineStr">
        <is>
          <t>IBM</t>
        </is>
      </c>
      <c r="D87" s="2" t="inlineStr">
        <is>
          <t>IT</t>
        </is>
      </c>
      <c r="E87" s="2" t="inlineStr">
        <is>
          <t>Software</t>
        </is>
      </c>
      <c r="F87" s="8" t="n">
        <v>351700</v>
      </c>
      <c r="G87" s="2" t="n">
        <v>30</v>
      </c>
      <c r="H87" s="7" t="n">
        <v>46062</v>
      </c>
      <c r="I87" s="7" t="n">
        <v>46122</v>
      </c>
      <c r="J87" s="2" t="inlineStr">
        <is>
          <t>Paid</t>
        </is>
      </c>
      <c r="K87" s="2" t="inlineStr">
        <is>
          <t>No</t>
        </is>
      </c>
      <c r="L87" s="9" t="n">
        <v>0</v>
      </c>
      <c r="M87" s="2" t="inlineStr">
        <is>
          <t>Received</t>
        </is>
      </c>
      <c r="N87" s="2" t="inlineStr">
        <is>
          <t>Approved</t>
        </is>
      </c>
      <c r="O87" s="2" t="n"/>
      <c r="P87" s="2" t="n"/>
      <c r="Q87" s="2" t="n"/>
      <c r="R87" s="2" t="n"/>
    </row>
    <row r="88">
      <c r="A88" s="2" t="inlineStr">
        <is>
          <t>INV00085</t>
        </is>
      </c>
      <c r="B88" s="7" t="n">
        <v>46361</v>
      </c>
      <c r="C88" s="2" t="inlineStr">
        <is>
          <t>Zoho</t>
        </is>
      </c>
      <c r="D88" s="2" t="inlineStr">
        <is>
          <t>Operations</t>
        </is>
      </c>
      <c r="E88" s="2" t="inlineStr">
        <is>
          <t>Travel</t>
        </is>
      </c>
      <c r="F88" s="8" t="n">
        <v>711700</v>
      </c>
      <c r="G88" s="2" t="n">
        <v>15</v>
      </c>
      <c r="H88" s="7" t="n">
        <v>46376</v>
      </c>
      <c r="I88" s="7" t="n">
        <v>46376</v>
      </c>
      <c r="J88" s="2" t="inlineStr">
        <is>
          <t>Paid</t>
        </is>
      </c>
      <c r="K88" s="2" t="inlineStr">
        <is>
          <t>No</t>
        </is>
      </c>
      <c r="L88" s="9" t="n">
        <v>0</v>
      </c>
      <c r="M88" s="2" t="inlineStr">
        <is>
          <t>Pending</t>
        </is>
      </c>
      <c r="N88" s="2" t="inlineStr">
        <is>
          <t>Approved</t>
        </is>
      </c>
      <c r="O88" s="2" t="n"/>
      <c r="P88" s="2" t="n"/>
      <c r="Q88" s="2" t="n"/>
      <c r="R88" s="2" t="n"/>
    </row>
    <row r="89">
      <c r="A89" s="2" t="inlineStr">
        <is>
          <t>INV00086</t>
        </is>
      </c>
      <c r="B89" s="7" t="n">
        <v>46075</v>
      </c>
      <c r="C89" s="2" t="inlineStr">
        <is>
          <t>Oracle</t>
        </is>
      </c>
      <c r="D89" s="2" t="inlineStr">
        <is>
          <t>Marketing</t>
        </is>
      </c>
      <c r="E89" s="2" t="inlineStr">
        <is>
          <t>Travel</t>
        </is>
      </c>
      <c r="F89" s="8" t="n">
        <v>19800</v>
      </c>
      <c r="G89" s="2" t="n">
        <v>45</v>
      </c>
      <c r="H89" s="7" t="n">
        <v>46120</v>
      </c>
      <c r="I89" s="2" t="n"/>
      <c r="J89" s="2" t="inlineStr">
        <is>
          <t>Pending</t>
        </is>
      </c>
      <c r="K89" s="2" t="inlineStr">
        <is>
          <t>No</t>
        </is>
      </c>
      <c r="L89" s="9" t="n">
        <v>0</v>
      </c>
      <c r="M89" s="2" t="inlineStr">
        <is>
          <t>Received</t>
        </is>
      </c>
      <c r="N89" s="2" t="inlineStr">
        <is>
          <t>Approved</t>
        </is>
      </c>
      <c r="O89" s="2" t="n"/>
      <c r="P89" s="2" t="n"/>
      <c r="Q89" s="2" t="n"/>
      <c r="R89" s="2" t="n"/>
    </row>
    <row r="90">
      <c r="A90" s="2" t="inlineStr">
        <is>
          <t>INV00087</t>
        </is>
      </c>
      <c r="B90" s="7" t="n">
        <v>46346</v>
      </c>
      <c r="C90" s="2" t="inlineStr">
        <is>
          <t>Microsoft</t>
        </is>
      </c>
      <c r="D90" s="2" t="inlineStr">
        <is>
          <t>IT</t>
        </is>
      </c>
      <c r="E90" s="2" t="inlineStr">
        <is>
          <t>Facilities</t>
        </is>
      </c>
      <c r="F90" s="8" t="n">
        <v>64700</v>
      </c>
      <c r="G90" s="2" t="n">
        <v>45</v>
      </c>
      <c r="H90" s="7" t="n">
        <v>46391</v>
      </c>
      <c r="I90" s="7" t="n">
        <v>46406</v>
      </c>
      <c r="J90" s="2" t="inlineStr">
        <is>
          <t>Paid</t>
        </is>
      </c>
      <c r="K90" s="2" t="inlineStr">
        <is>
          <t>Yes</t>
        </is>
      </c>
      <c r="L90" s="9" t="n">
        <v>0.02</v>
      </c>
      <c r="M90" s="2" t="inlineStr">
        <is>
          <t>Received</t>
        </is>
      </c>
      <c r="N90" s="2" t="inlineStr">
        <is>
          <t>Approved</t>
        </is>
      </c>
      <c r="O90" s="2" t="n"/>
      <c r="P90" s="2" t="n"/>
      <c r="Q90" s="2" t="n"/>
      <c r="R90" s="2" t="n"/>
    </row>
    <row r="91">
      <c r="A91" s="2" t="inlineStr">
        <is>
          <t>INV00088</t>
        </is>
      </c>
      <c r="B91" s="7" t="n">
        <v>46198</v>
      </c>
      <c r="C91" s="2" t="inlineStr">
        <is>
          <t>Deloitte</t>
        </is>
      </c>
      <c r="D91" s="2" t="inlineStr">
        <is>
          <t>Marketing</t>
        </is>
      </c>
      <c r="E91" s="2" t="inlineStr">
        <is>
          <t>Software</t>
        </is>
      </c>
      <c r="F91" s="8" t="n">
        <v>215300</v>
      </c>
      <c r="G91" s="2" t="n">
        <v>45</v>
      </c>
      <c r="H91" s="7" t="n">
        <v>46243</v>
      </c>
      <c r="I91" s="7" t="n">
        <v>46258</v>
      </c>
      <c r="J91" s="2" t="inlineStr">
        <is>
          <t>Paid</t>
        </is>
      </c>
      <c r="K91" s="2" t="inlineStr">
        <is>
          <t>Yes</t>
        </is>
      </c>
      <c r="L91" s="9" t="n">
        <v>0.02</v>
      </c>
      <c r="M91" s="2" t="inlineStr">
        <is>
          <t>Received</t>
        </is>
      </c>
      <c r="N91" s="2" t="inlineStr">
        <is>
          <t>Approved</t>
        </is>
      </c>
      <c r="O91" s="2" t="n"/>
      <c r="P91" s="2" t="n"/>
      <c r="Q91" s="2" t="n"/>
      <c r="R91" s="2" t="n"/>
    </row>
    <row r="92">
      <c r="A92" s="2" t="inlineStr">
        <is>
          <t>INV00089</t>
        </is>
      </c>
      <c r="B92" s="7" t="n">
        <v>46199</v>
      </c>
      <c r="C92" s="2" t="inlineStr">
        <is>
          <t>Cognizant</t>
        </is>
      </c>
      <c r="D92" s="2" t="inlineStr">
        <is>
          <t>Finance</t>
        </is>
      </c>
      <c r="E92" s="2" t="inlineStr">
        <is>
          <t>Office Supplies</t>
        </is>
      </c>
      <c r="F92" s="8" t="n">
        <v>8900</v>
      </c>
      <c r="G92" s="2" t="n">
        <v>45</v>
      </c>
      <c r="H92" s="7" t="n">
        <v>46244</v>
      </c>
      <c r="I92" s="2" t="n"/>
      <c r="J92" s="2" t="inlineStr">
        <is>
          <t>Pending</t>
        </is>
      </c>
      <c r="K92" s="2" t="inlineStr">
        <is>
          <t>No</t>
        </is>
      </c>
      <c r="L92" s="9" t="n">
        <v>0</v>
      </c>
      <c r="M92" s="2" t="inlineStr">
        <is>
          <t>Received</t>
        </is>
      </c>
      <c r="N92" s="2" t="inlineStr">
        <is>
          <t>Approved</t>
        </is>
      </c>
      <c r="O92" s="2" t="n"/>
      <c r="P92" s="2" t="n"/>
      <c r="Q92" s="2" t="n"/>
      <c r="R92" s="2" t="n"/>
    </row>
    <row r="93">
      <c r="A93" s="2" t="inlineStr">
        <is>
          <t>INV00090</t>
        </is>
      </c>
      <c r="B93" s="7" t="n">
        <v>46190</v>
      </c>
      <c r="C93" s="2" t="inlineStr">
        <is>
          <t>Accenture</t>
        </is>
      </c>
      <c r="D93" s="2" t="inlineStr">
        <is>
          <t>IT</t>
        </is>
      </c>
      <c r="E93" s="2" t="inlineStr">
        <is>
          <t>Professional Services</t>
        </is>
      </c>
      <c r="F93" s="8" t="n">
        <v>282500</v>
      </c>
      <c r="G93" s="2" t="n">
        <v>30</v>
      </c>
      <c r="H93" s="7" t="n">
        <v>46220</v>
      </c>
      <c r="I93" s="7" t="n">
        <v>46310</v>
      </c>
      <c r="J93" s="2" t="inlineStr">
        <is>
          <t>Paid</t>
        </is>
      </c>
      <c r="K93" s="2" t="inlineStr">
        <is>
          <t>Yes</t>
        </is>
      </c>
      <c r="L93" s="9" t="n">
        <v>0.02</v>
      </c>
      <c r="M93" s="2" t="inlineStr">
        <is>
          <t>Received</t>
        </is>
      </c>
      <c r="N93" s="2" t="inlineStr">
        <is>
          <t>Approved</t>
        </is>
      </c>
      <c r="O93" s="2" t="n"/>
      <c r="P93" s="2" t="n"/>
      <c r="Q93" s="2" t="n"/>
      <c r="R93" s="2" t="n"/>
    </row>
    <row r="94">
      <c r="A94" s="2" t="inlineStr">
        <is>
          <t>INV00091</t>
        </is>
      </c>
      <c r="B94" s="7" t="n">
        <v>46330</v>
      </c>
      <c r="C94" s="2" t="inlineStr">
        <is>
          <t>IBM</t>
        </is>
      </c>
      <c r="D94" s="2" t="inlineStr">
        <is>
          <t>Sales</t>
        </is>
      </c>
      <c r="E94" s="2" t="inlineStr">
        <is>
          <t>Professional Services</t>
        </is>
      </c>
      <c r="F94" s="8" t="n">
        <v>225300</v>
      </c>
      <c r="G94" s="2" t="n">
        <v>15</v>
      </c>
      <c r="H94" s="7" t="n">
        <v>46345</v>
      </c>
      <c r="I94" s="7" t="n">
        <v>46345</v>
      </c>
      <c r="J94" s="2" t="inlineStr">
        <is>
          <t>Paid</t>
        </is>
      </c>
      <c r="K94" s="2" t="inlineStr">
        <is>
          <t>No</t>
        </is>
      </c>
      <c r="L94" s="9" t="n">
        <v>0</v>
      </c>
      <c r="M94" s="2" t="inlineStr">
        <is>
          <t>Received</t>
        </is>
      </c>
      <c r="N94" s="2" t="inlineStr">
        <is>
          <t>Approved</t>
        </is>
      </c>
      <c r="O94" s="2" t="n"/>
      <c r="P94" s="2" t="n"/>
      <c r="Q94" s="2" t="n"/>
      <c r="R94" s="2" t="n"/>
    </row>
    <row r="95">
      <c r="A95" s="2" t="inlineStr">
        <is>
          <t>INV00092</t>
        </is>
      </c>
      <c r="B95" s="7" t="n">
        <v>46312</v>
      </c>
      <c r="C95" s="2" t="inlineStr">
        <is>
          <t>Infosys</t>
        </is>
      </c>
      <c r="D95" s="2" t="inlineStr">
        <is>
          <t>Operations</t>
        </is>
      </c>
      <c r="E95" s="2" t="inlineStr">
        <is>
          <t>Office Supplies</t>
        </is>
      </c>
      <c r="F95" s="8" t="n">
        <v>29300</v>
      </c>
      <c r="G95" s="2" t="n">
        <v>60</v>
      </c>
      <c r="H95" s="7" t="n">
        <v>46372</v>
      </c>
      <c r="I95" s="7" t="n">
        <v>46432</v>
      </c>
      <c r="J95" s="2" t="inlineStr">
        <is>
          <t>Paid</t>
        </is>
      </c>
      <c r="K95" s="2" t="inlineStr">
        <is>
          <t>No</t>
        </is>
      </c>
      <c r="L95" s="9" t="n">
        <v>0</v>
      </c>
      <c r="M95" s="2" t="inlineStr">
        <is>
          <t>Received</t>
        </is>
      </c>
      <c r="N95" s="2" t="inlineStr">
        <is>
          <t>Approved</t>
        </is>
      </c>
      <c r="O95" s="2" t="n"/>
      <c r="P95" s="2" t="n"/>
      <c r="Q95" s="2" t="n"/>
      <c r="R95" s="2" t="n"/>
    </row>
    <row r="96">
      <c r="A96" s="2" t="inlineStr">
        <is>
          <t>INV00093</t>
        </is>
      </c>
      <c r="B96" s="7" t="n">
        <v>46360</v>
      </c>
      <c r="C96" s="2" t="inlineStr">
        <is>
          <t>Oracle</t>
        </is>
      </c>
      <c r="D96" s="2" t="inlineStr">
        <is>
          <t>Operations</t>
        </is>
      </c>
      <c r="E96" s="2" t="inlineStr">
        <is>
          <t>Consulting</t>
        </is>
      </c>
      <c r="F96" s="8" t="n">
        <v>364500</v>
      </c>
      <c r="G96" s="2" t="n">
        <v>45</v>
      </c>
      <c r="H96" s="7" t="n">
        <v>46405</v>
      </c>
      <c r="I96" s="7" t="n">
        <v>46435</v>
      </c>
      <c r="J96" s="2" t="inlineStr">
        <is>
          <t>Paid</t>
        </is>
      </c>
      <c r="K96" s="2" t="inlineStr">
        <is>
          <t>Yes</t>
        </is>
      </c>
      <c r="L96" s="9" t="n">
        <v>0.02</v>
      </c>
      <c r="M96" s="2" t="inlineStr">
        <is>
          <t>Received</t>
        </is>
      </c>
      <c r="N96" s="2" t="inlineStr">
        <is>
          <t>Approved</t>
        </is>
      </c>
      <c r="O96" s="2" t="n"/>
      <c r="P96" s="2" t="n"/>
      <c r="Q96" s="2" t="n"/>
      <c r="R96" s="2" t="n"/>
    </row>
    <row r="97">
      <c r="A97" s="2" t="inlineStr">
        <is>
          <t>INV00094</t>
        </is>
      </c>
      <c r="B97" s="7" t="n">
        <v>46099</v>
      </c>
      <c r="C97" s="2" t="inlineStr">
        <is>
          <t>Microsoft</t>
        </is>
      </c>
      <c r="D97" s="2" t="inlineStr">
        <is>
          <t>Marketing</t>
        </is>
      </c>
      <c r="E97" s="2" t="inlineStr">
        <is>
          <t>Office Supplies</t>
        </is>
      </c>
      <c r="F97" s="8" t="n">
        <v>558100</v>
      </c>
      <c r="G97" s="2" t="n">
        <v>45</v>
      </c>
      <c r="H97" s="7" t="n">
        <v>46144</v>
      </c>
      <c r="I97" s="2" t="n"/>
      <c r="J97" s="2" t="inlineStr">
        <is>
          <t>Pending</t>
        </is>
      </c>
      <c r="K97" s="2" t="inlineStr">
        <is>
          <t>No</t>
        </is>
      </c>
      <c r="L97" s="9" t="n">
        <v>0</v>
      </c>
      <c r="M97" s="2" t="inlineStr">
        <is>
          <t>Pending</t>
        </is>
      </c>
      <c r="N97" s="2" t="inlineStr">
        <is>
          <t>Approved</t>
        </is>
      </c>
      <c r="O97" s="2" t="n"/>
      <c r="P97" s="2" t="n"/>
      <c r="Q97" s="2" t="n"/>
      <c r="R97" s="2" t="n"/>
    </row>
    <row r="98">
      <c r="A98" s="2" t="inlineStr">
        <is>
          <t>INV00095</t>
        </is>
      </c>
      <c r="B98" s="7" t="n">
        <v>46177</v>
      </c>
      <c r="C98" s="2" t="inlineStr">
        <is>
          <t>Accenture</t>
        </is>
      </c>
      <c r="D98" s="2" t="inlineStr">
        <is>
          <t>Marketing</t>
        </is>
      </c>
      <c r="E98" s="2" t="inlineStr">
        <is>
          <t>Cloud</t>
        </is>
      </c>
      <c r="F98" s="8" t="n">
        <v>165900</v>
      </c>
      <c r="G98" s="2" t="n">
        <v>30</v>
      </c>
      <c r="H98" s="7" t="n">
        <v>46207</v>
      </c>
      <c r="I98" s="7" t="n">
        <v>46212</v>
      </c>
      <c r="J98" s="2" t="inlineStr">
        <is>
          <t>Paid</t>
        </is>
      </c>
      <c r="K98" s="2" t="inlineStr">
        <is>
          <t>Yes</t>
        </is>
      </c>
      <c r="L98" s="9" t="n">
        <v>0.02</v>
      </c>
      <c r="M98" s="2" t="inlineStr">
        <is>
          <t>Received</t>
        </is>
      </c>
      <c r="N98" s="2" t="inlineStr">
        <is>
          <t>Approved</t>
        </is>
      </c>
      <c r="O98" s="2" t="n"/>
      <c r="P98" s="2" t="n"/>
      <c r="Q98" s="2" t="n"/>
      <c r="R98" s="2" t="n"/>
    </row>
    <row r="99">
      <c r="A99" s="2" t="inlineStr">
        <is>
          <t>INV00096</t>
        </is>
      </c>
      <c r="B99" s="7" t="n">
        <v>46231</v>
      </c>
      <c r="C99" s="2" t="inlineStr">
        <is>
          <t>Google Cloud</t>
        </is>
      </c>
      <c r="D99" s="2" t="inlineStr">
        <is>
          <t>Marketing</t>
        </is>
      </c>
      <c r="E99" s="2" t="inlineStr">
        <is>
          <t>Office Supplies</t>
        </is>
      </c>
      <c r="F99" s="8" t="n">
        <v>743400</v>
      </c>
      <c r="G99" s="2" t="n">
        <v>15</v>
      </c>
      <c r="H99" s="7" t="n">
        <v>46246</v>
      </c>
      <c r="I99" s="7" t="n">
        <v>46246</v>
      </c>
      <c r="J99" s="2" t="inlineStr">
        <is>
          <t>Paid</t>
        </is>
      </c>
      <c r="K99" s="2" t="inlineStr">
        <is>
          <t>No</t>
        </is>
      </c>
      <c r="L99" s="9" t="n">
        <v>0</v>
      </c>
      <c r="M99" s="2" t="inlineStr">
        <is>
          <t>Pending</t>
        </is>
      </c>
      <c r="N99" s="2" t="inlineStr">
        <is>
          <t>Approved</t>
        </is>
      </c>
      <c r="O99" s="2" t="n"/>
      <c r="P99" s="2" t="n"/>
      <c r="Q99" s="2" t="n"/>
      <c r="R99" s="2" t="n"/>
    </row>
    <row r="100">
      <c r="A100" s="2" t="inlineStr">
        <is>
          <t>INV00097</t>
        </is>
      </c>
      <c r="B100" s="7" t="n">
        <v>46109</v>
      </c>
      <c r="C100" s="2" t="inlineStr">
        <is>
          <t>Deloitte</t>
        </is>
      </c>
      <c r="D100" s="2" t="inlineStr">
        <is>
          <t>Marketing</t>
        </is>
      </c>
      <c r="E100" s="2" t="inlineStr">
        <is>
          <t>Travel</t>
        </is>
      </c>
      <c r="F100" s="8" t="n">
        <v>22000</v>
      </c>
      <c r="G100" s="2" t="n">
        <v>60</v>
      </c>
      <c r="H100" s="7" t="n">
        <v>46169</v>
      </c>
      <c r="I100" s="7" t="n">
        <v>46169</v>
      </c>
      <c r="J100" s="2" t="inlineStr">
        <is>
          <t>Paid</t>
        </is>
      </c>
      <c r="K100" s="2" t="inlineStr">
        <is>
          <t>No</t>
        </is>
      </c>
      <c r="L100" s="9" t="n">
        <v>0</v>
      </c>
      <c r="M100" s="2" t="inlineStr">
        <is>
          <t>Received</t>
        </is>
      </c>
      <c r="N100" s="2" t="inlineStr">
        <is>
          <t>Approved</t>
        </is>
      </c>
      <c r="O100" s="2" t="n"/>
      <c r="P100" s="2" t="n"/>
      <c r="Q100" s="2" t="n"/>
      <c r="R100" s="2" t="n"/>
    </row>
    <row r="101">
      <c r="A101" s="2" t="inlineStr">
        <is>
          <t>INV00098</t>
        </is>
      </c>
      <c r="B101" s="7" t="n">
        <v>46166</v>
      </c>
      <c r="C101" s="2" t="inlineStr">
        <is>
          <t>Oracle</t>
        </is>
      </c>
      <c r="D101" s="2" t="inlineStr">
        <is>
          <t>Marketing</t>
        </is>
      </c>
      <c r="E101" s="2" t="inlineStr">
        <is>
          <t>Office Supplies</t>
        </is>
      </c>
      <c r="F101" s="8" t="n">
        <v>221400</v>
      </c>
      <c r="G101" s="2" t="n">
        <v>15</v>
      </c>
      <c r="H101" s="7" t="n">
        <v>46181</v>
      </c>
      <c r="I101" s="7" t="n">
        <v>46181</v>
      </c>
      <c r="J101" s="2" t="inlineStr">
        <is>
          <t>Paid</t>
        </is>
      </c>
      <c r="K101" s="2" t="inlineStr">
        <is>
          <t>No</t>
        </is>
      </c>
      <c r="L101" s="9" t="n">
        <v>0</v>
      </c>
      <c r="M101" s="2" t="inlineStr">
        <is>
          <t>Received</t>
        </is>
      </c>
      <c r="N101" s="2" t="inlineStr">
        <is>
          <t>Approved</t>
        </is>
      </c>
      <c r="O101" s="2" t="n"/>
      <c r="P101" s="2" t="n"/>
      <c r="Q101" s="2" t="n"/>
      <c r="R101" s="2" t="n"/>
    </row>
    <row r="102">
      <c r="A102" s="2" t="inlineStr">
        <is>
          <t>INV00099</t>
        </is>
      </c>
      <c r="B102" s="7" t="n">
        <v>46149</v>
      </c>
      <c r="C102" s="2" t="inlineStr">
        <is>
          <t>Cognizant</t>
        </is>
      </c>
      <c r="D102" s="2" t="inlineStr">
        <is>
          <t>Marketing</t>
        </is>
      </c>
      <c r="E102" s="2" t="inlineStr">
        <is>
          <t>Software</t>
        </is>
      </c>
      <c r="F102" s="8" t="n">
        <v>462400</v>
      </c>
      <c r="G102" s="2" t="n">
        <v>45</v>
      </c>
      <c r="H102" s="7" t="n">
        <v>46194</v>
      </c>
      <c r="I102" s="7" t="n">
        <v>46194</v>
      </c>
      <c r="J102" s="2" t="inlineStr">
        <is>
          <t>Paid</t>
        </is>
      </c>
      <c r="K102" s="2" t="inlineStr">
        <is>
          <t>Yes</t>
        </is>
      </c>
      <c r="L102" s="9" t="n">
        <v>0.02</v>
      </c>
      <c r="M102" s="2" t="inlineStr">
        <is>
          <t>Pending</t>
        </is>
      </c>
      <c r="N102" s="2" t="inlineStr">
        <is>
          <t>Approved</t>
        </is>
      </c>
      <c r="O102" s="2" t="n"/>
      <c r="P102" s="2" t="n"/>
      <c r="Q102" s="2" t="n"/>
      <c r="R102" s="2" t="n"/>
    </row>
    <row r="103">
      <c r="A103" s="2" t="inlineStr">
        <is>
          <t>INV00100</t>
        </is>
      </c>
      <c r="B103" s="7" t="n">
        <v>46122</v>
      </c>
      <c r="C103" s="2" t="inlineStr">
        <is>
          <t>TCS</t>
        </is>
      </c>
      <c r="D103" s="2" t="inlineStr">
        <is>
          <t>Finance</t>
        </is>
      </c>
      <c r="E103" s="2" t="inlineStr">
        <is>
          <t>Facilities</t>
        </is>
      </c>
      <c r="F103" s="8" t="n">
        <v>340000</v>
      </c>
      <c r="G103" s="2" t="n">
        <v>45</v>
      </c>
      <c r="H103" s="7" t="n">
        <v>46167</v>
      </c>
      <c r="I103" s="2" t="n"/>
      <c r="J103" s="2" t="inlineStr">
        <is>
          <t>Pending</t>
        </is>
      </c>
      <c r="K103" s="2" t="inlineStr">
        <is>
          <t>Yes</t>
        </is>
      </c>
      <c r="L103" s="9" t="n">
        <v>0.02</v>
      </c>
      <c r="M103" s="2" t="inlineStr">
        <is>
          <t>Received</t>
        </is>
      </c>
      <c r="N103" s="2" t="inlineStr">
        <is>
          <t>Approved</t>
        </is>
      </c>
      <c r="O103" s="2" t="n"/>
      <c r="P103" s="2" t="n"/>
      <c r="Q103" s="2" t="n"/>
      <c r="R103" s="2" t="n"/>
    </row>
    <row r="104">
      <c r="A104" s="2" t="inlineStr">
        <is>
          <t>INV00101</t>
        </is>
      </c>
      <c r="B104" s="7" t="n">
        <v>46283</v>
      </c>
      <c r="C104" s="2" t="inlineStr">
        <is>
          <t>HCLTech</t>
        </is>
      </c>
      <c r="D104" s="2" t="inlineStr">
        <is>
          <t>Sales</t>
        </is>
      </c>
      <c r="E104" s="2" t="inlineStr">
        <is>
          <t>Facilities</t>
        </is>
      </c>
      <c r="F104" s="8" t="n">
        <v>22700</v>
      </c>
      <c r="G104" s="2" t="n">
        <v>45</v>
      </c>
      <c r="H104" s="7" t="n">
        <v>46328</v>
      </c>
      <c r="I104" s="7" t="n">
        <v>46328</v>
      </c>
      <c r="J104" s="2" t="inlineStr">
        <is>
          <t>Paid</t>
        </is>
      </c>
      <c r="K104" s="2" t="inlineStr">
        <is>
          <t>Yes</t>
        </is>
      </c>
      <c r="L104" s="9" t="n">
        <v>0.02</v>
      </c>
      <c r="M104" s="2" t="inlineStr">
        <is>
          <t>Received</t>
        </is>
      </c>
      <c r="N104" s="2" t="inlineStr">
        <is>
          <t>Approved</t>
        </is>
      </c>
      <c r="O104" s="2" t="n"/>
      <c r="P104" s="2" t="n"/>
      <c r="Q104" s="2" t="n"/>
      <c r="R104" s="2" t="n"/>
    </row>
    <row r="105">
      <c r="A105" s="2" t="inlineStr">
        <is>
          <t>INV00102</t>
        </is>
      </c>
      <c r="B105" s="7" t="n">
        <v>46226</v>
      </c>
      <c r="C105" s="2" t="inlineStr">
        <is>
          <t>SAP</t>
        </is>
      </c>
      <c r="D105" s="2" t="inlineStr">
        <is>
          <t>Operations</t>
        </is>
      </c>
      <c r="E105" s="2" t="inlineStr">
        <is>
          <t>Consulting</t>
        </is>
      </c>
      <c r="F105" s="8" t="n">
        <v>104200</v>
      </c>
      <c r="G105" s="2" t="n">
        <v>15</v>
      </c>
      <c r="H105" s="7" t="n">
        <v>46241</v>
      </c>
      <c r="I105" s="2" t="n"/>
      <c r="J105" s="2" t="inlineStr">
        <is>
          <t>Pending</t>
        </is>
      </c>
      <c r="K105" s="2" t="inlineStr">
        <is>
          <t>No</t>
        </is>
      </c>
      <c r="L105" s="9" t="n">
        <v>0</v>
      </c>
      <c r="M105" s="2" t="inlineStr">
        <is>
          <t>Received</t>
        </is>
      </c>
      <c r="N105" s="2" t="inlineStr">
        <is>
          <t>Pending</t>
        </is>
      </c>
      <c r="O105" s="2" t="n"/>
      <c r="P105" s="2" t="n"/>
      <c r="Q105" s="2" t="n"/>
      <c r="R105" s="2" t="n"/>
    </row>
    <row r="106">
      <c r="A106" s="2" t="inlineStr">
        <is>
          <t>INV00103</t>
        </is>
      </c>
      <c r="B106" s="7" t="n">
        <v>46067</v>
      </c>
      <c r="C106" s="2" t="inlineStr">
        <is>
          <t>HCLTech</t>
        </is>
      </c>
      <c r="D106" s="2" t="inlineStr">
        <is>
          <t>IT</t>
        </is>
      </c>
      <c r="E106" s="2" t="inlineStr">
        <is>
          <t>Cloud</t>
        </is>
      </c>
      <c r="F106" s="8" t="n">
        <v>643000</v>
      </c>
      <c r="G106" s="2" t="n">
        <v>60</v>
      </c>
      <c r="H106" s="7" t="n">
        <v>46127</v>
      </c>
      <c r="I106" s="2" t="n"/>
      <c r="J106" s="2" t="inlineStr">
        <is>
          <t>Pending</t>
        </is>
      </c>
      <c r="K106" s="2" t="inlineStr">
        <is>
          <t>No</t>
        </is>
      </c>
      <c r="L106" s="9" t="n">
        <v>0</v>
      </c>
      <c r="M106" s="2" t="inlineStr">
        <is>
          <t>Received</t>
        </is>
      </c>
      <c r="N106" s="2" t="inlineStr">
        <is>
          <t>Approved</t>
        </is>
      </c>
      <c r="O106" s="2" t="n"/>
      <c r="P106" s="2" t="n"/>
      <c r="Q106" s="2" t="n"/>
      <c r="R106" s="2" t="n"/>
    </row>
    <row r="107">
      <c r="A107" s="2" t="inlineStr">
        <is>
          <t>INV00104</t>
        </is>
      </c>
      <c r="B107" s="7" t="n">
        <v>46070</v>
      </c>
      <c r="C107" s="2" t="inlineStr">
        <is>
          <t>SAP</t>
        </is>
      </c>
      <c r="D107" s="2" t="inlineStr">
        <is>
          <t>IT</t>
        </is>
      </c>
      <c r="E107" s="2" t="inlineStr">
        <is>
          <t>Office Supplies</t>
        </is>
      </c>
      <c r="F107" s="8" t="n">
        <v>227000</v>
      </c>
      <c r="G107" s="2" t="n">
        <v>30</v>
      </c>
      <c r="H107" s="7" t="n">
        <v>46100</v>
      </c>
      <c r="I107" s="7" t="n">
        <v>46100</v>
      </c>
      <c r="J107" s="2" t="inlineStr">
        <is>
          <t>Paid</t>
        </is>
      </c>
      <c r="K107" s="2" t="inlineStr">
        <is>
          <t>Yes</t>
        </is>
      </c>
      <c r="L107" s="9" t="n">
        <v>0.02</v>
      </c>
      <c r="M107" s="2" t="inlineStr">
        <is>
          <t>Received</t>
        </is>
      </c>
      <c r="N107" s="2" t="inlineStr">
        <is>
          <t>Approved</t>
        </is>
      </c>
      <c r="O107" s="2" t="n"/>
      <c r="P107" s="2" t="n"/>
      <c r="Q107" s="2" t="n"/>
      <c r="R107" s="2" t="n"/>
    </row>
    <row r="108">
      <c r="A108" s="2" t="inlineStr">
        <is>
          <t>INV00105</t>
        </is>
      </c>
      <c r="B108" s="7" t="n">
        <v>46329</v>
      </c>
      <c r="C108" s="2" t="inlineStr">
        <is>
          <t>Deloitte</t>
        </is>
      </c>
      <c r="D108" s="2" t="inlineStr">
        <is>
          <t>Sales</t>
        </is>
      </c>
      <c r="E108" s="2" t="inlineStr">
        <is>
          <t>Professional Services</t>
        </is>
      </c>
      <c r="F108" s="8" t="n">
        <v>819900</v>
      </c>
      <c r="G108" s="2" t="n">
        <v>60</v>
      </c>
      <c r="H108" s="7" t="n">
        <v>46389</v>
      </c>
      <c r="I108" s="7" t="n">
        <v>46449</v>
      </c>
      <c r="J108" s="2" t="inlineStr">
        <is>
          <t>Paid</t>
        </is>
      </c>
      <c r="K108" s="2" t="inlineStr">
        <is>
          <t>No</t>
        </is>
      </c>
      <c r="L108" s="9" t="n">
        <v>0</v>
      </c>
      <c r="M108" s="2" t="inlineStr">
        <is>
          <t>Pending</t>
        </is>
      </c>
      <c r="N108" s="2" t="inlineStr">
        <is>
          <t>Approved</t>
        </is>
      </c>
      <c r="O108" s="2" t="n"/>
      <c r="P108" s="2" t="n"/>
      <c r="Q108" s="2" t="n"/>
      <c r="R108" s="2" t="n"/>
    </row>
    <row r="109">
      <c r="A109" s="2" t="inlineStr">
        <is>
          <t>INV00106</t>
        </is>
      </c>
      <c r="B109" s="7" t="n">
        <v>46337</v>
      </c>
      <c r="C109" s="2" t="inlineStr">
        <is>
          <t>Deloitte</t>
        </is>
      </c>
      <c r="D109" s="2" t="inlineStr">
        <is>
          <t>Operations</t>
        </is>
      </c>
      <c r="E109" s="2" t="inlineStr">
        <is>
          <t>Software</t>
        </is>
      </c>
      <c r="F109" s="8" t="n">
        <v>477100</v>
      </c>
      <c r="G109" s="2" t="n">
        <v>60</v>
      </c>
      <c r="H109" s="7" t="n">
        <v>46397</v>
      </c>
      <c r="I109" s="7" t="n">
        <v>46397</v>
      </c>
      <c r="J109" s="2" t="inlineStr">
        <is>
          <t>Paid</t>
        </is>
      </c>
      <c r="K109" s="2" t="inlineStr">
        <is>
          <t>Yes</t>
        </is>
      </c>
      <c r="L109" s="9" t="n">
        <v>0.02</v>
      </c>
      <c r="M109" s="2" t="inlineStr">
        <is>
          <t>Received</t>
        </is>
      </c>
      <c r="N109" s="2" t="inlineStr">
        <is>
          <t>Approved</t>
        </is>
      </c>
      <c r="O109" s="2" t="n"/>
      <c r="P109" s="2" t="n"/>
      <c r="Q109" s="2" t="n"/>
      <c r="R109" s="2" t="n"/>
    </row>
    <row r="110">
      <c r="A110" s="2" t="inlineStr">
        <is>
          <t>INV00107</t>
        </is>
      </c>
      <c r="B110" s="7" t="n">
        <v>46200</v>
      </c>
      <c r="C110" s="2" t="inlineStr">
        <is>
          <t>Infosys</t>
        </is>
      </c>
      <c r="D110" s="2" t="inlineStr">
        <is>
          <t>IT</t>
        </is>
      </c>
      <c r="E110" s="2" t="inlineStr">
        <is>
          <t>Travel</t>
        </is>
      </c>
      <c r="F110" s="8" t="n">
        <v>630300</v>
      </c>
      <c r="G110" s="2" t="n">
        <v>15</v>
      </c>
      <c r="H110" s="7" t="n">
        <v>46215</v>
      </c>
      <c r="I110" s="7" t="n">
        <v>46305</v>
      </c>
      <c r="J110" s="2" t="inlineStr">
        <is>
          <t>Paid</t>
        </is>
      </c>
      <c r="K110" s="2" t="inlineStr">
        <is>
          <t>No</t>
        </is>
      </c>
      <c r="L110" s="9" t="n">
        <v>0</v>
      </c>
      <c r="M110" s="2" t="inlineStr">
        <is>
          <t>Received</t>
        </is>
      </c>
      <c r="N110" s="2" t="inlineStr">
        <is>
          <t>Pending</t>
        </is>
      </c>
      <c r="O110" s="2" t="n"/>
      <c r="P110" s="2" t="n"/>
      <c r="Q110" s="2" t="n"/>
      <c r="R110" s="2" t="n"/>
    </row>
    <row r="111">
      <c r="A111" s="2" t="inlineStr">
        <is>
          <t>INV00108</t>
        </is>
      </c>
      <c r="B111" s="7" t="n">
        <v>46316</v>
      </c>
      <c r="C111" s="2" t="inlineStr">
        <is>
          <t>TCS</t>
        </is>
      </c>
      <c r="D111" s="2" t="inlineStr">
        <is>
          <t>HR</t>
        </is>
      </c>
      <c r="E111" s="2" t="inlineStr">
        <is>
          <t>Office Supplies</t>
        </is>
      </c>
      <c r="F111" s="8" t="n">
        <v>968300</v>
      </c>
      <c r="G111" s="2" t="n">
        <v>60</v>
      </c>
      <c r="H111" s="7" t="n">
        <v>46376</v>
      </c>
      <c r="I111" s="7" t="n">
        <v>46436</v>
      </c>
      <c r="J111" s="2" t="inlineStr">
        <is>
          <t>Paid</t>
        </is>
      </c>
      <c r="K111" s="2" t="inlineStr">
        <is>
          <t>Yes</t>
        </is>
      </c>
      <c r="L111" s="9" t="n">
        <v>0.02</v>
      </c>
      <c r="M111" s="2" t="inlineStr">
        <is>
          <t>Received</t>
        </is>
      </c>
      <c r="N111" s="2" t="inlineStr">
        <is>
          <t>Approved</t>
        </is>
      </c>
      <c r="O111" s="2" t="n"/>
      <c r="P111" s="2" t="n"/>
      <c r="Q111" s="2" t="n"/>
      <c r="R111" s="2" t="n"/>
    </row>
    <row r="112">
      <c r="A112" s="2" t="inlineStr">
        <is>
          <t>INV00109</t>
        </is>
      </c>
      <c r="B112" s="7" t="n">
        <v>46083</v>
      </c>
      <c r="C112" s="2" t="inlineStr">
        <is>
          <t>TCS</t>
        </is>
      </c>
      <c r="D112" s="2" t="inlineStr">
        <is>
          <t>Sales</t>
        </is>
      </c>
      <c r="E112" s="2" t="inlineStr">
        <is>
          <t>Professional Services</t>
        </is>
      </c>
      <c r="F112" s="8" t="n">
        <v>707400</v>
      </c>
      <c r="G112" s="2" t="n">
        <v>60</v>
      </c>
      <c r="H112" s="7" t="n">
        <v>46143</v>
      </c>
      <c r="I112" s="7" t="n">
        <v>46143</v>
      </c>
      <c r="J112" s="2" t="inlineStr">
        <is>
          <t>Paid</t>
        </is>
      </c>
      <c r="K112" s="2" t="inlineStr">
        <is>
          <t>No</t>
        </is>
      </c>
      <c r="L112" s="9" t="n">
        <v>0</v>
      </c>
      <c r="M112" s="2" t="inlineStr">
        <is>
          <t>Received</t>
        </is>
      </c>
      <c r="N112" s="2" t="inlineStr">
        <is>
          <t>Approved</t>
        </is>
      </c>
      <c r="O112" s="2" t="n"/>
      <c r="P112" s="2" t="n"/>
      <c r="Q112" s="2" t="n"/>
      <c r="R112" s="2" t="n"/>
    </row>
    <row r="113">
      <c r="A113" s="2" t="inlineStr">
        <is>
          <t>INV00110</t>
        </is>
      </c>
      <c r="B113" s="7" t="n">
        <v>46347</v>
      </c>
      <c r="C113" s="2" t="inlineStr">
        <is>
          <t>Oracle</t>
        </is>
      </c>
      <c r="D113" s="2" t="inlineStr">
        <is>
          <t>IT</t>
        </is>
      </c>
      <c r="E113" s="2" t="inlineStr">
        <is>
          <t>Consulting</t>
        </is>
      </c>
      <c r="F113" s="8" t="n">
        <v>539900</v>
      </c>
      <c r="G113" s="2" t="n">
        <v>15</v>
      </c>
      <c r="H113" s="7" t="n">
        <v>46362</v>
      </c>
      <c r="I113" s="2" t="n"/>
      <c r="J113" s="2" t="inlineStr">
        <is>
          <t>Pending</t>
        </is>
      </c>
      <c r="K113" s="2" t="inlineStr">
        <is>
          <t>No</t>
        </is>
      </c>
      <c r="L113" s="9" t="n">
        <v>0</v>
      </c>
      <c r="M113" s="2" t="inlineStr">
        <is>
          <t>Pending</t>
        </is>
      </c>
      <c r="N113" s="2" t="inlineStr">
        <is>
          <t>Approved</t>
        </is>
      </c>
      <c r="O113" s="2" t="n"/>
      <c r="P113" s="2" t="n"/>
      <c r="Q113" s="2" t="n"/>
      <c r="R113" s="2" t="n"/>
    </row>
    <row r="114">
      <c r="A114" s="2" t="inlineStr">
        <is>
          <t>INV00111</t>
        </is>
      </c>
      <c r="B114" s="7" t="n">
        <v>46176</v>
      </c>
      <c r="C114" s="2" t="inlineStr">
        <is>
          <t>Accenture</t>
        </is>
      </c>
      <c r="D114" s="2" t="inlineStr">
        <is>
          <t>Sales</t>
        </is>
      </c>
      <c r="E114" s="2" t="inlineStr">
        <is>
          <t>Cloud</t>
        </is>
      </c>
      <c r="F114" s="8" t="n">
        <v>742000</v>
      </c>
      <c r="G114" s="2" t="n">
        <v>45</v>
      </c>
      <c r="H114" s="7" t="n">
        <v>46221</v>
      </c>
      <c r="I114" s="7" t="n">
        <v>46236</v>
      </c>
      <c r="J114" s="2" t="inlineStr">
        <is>
          <t>Paid</t>
        </is>
      </c>
      <c r="K114" s="2" t="inlineStr">
        <is>
          <t>Yes</t>
        </is>
      </c>
      <c r="L114" s="9" t="n">
        <v>0.02</v>
      </c>
      <c r="M114" s="2" t="inlineStr">
        <is>
          <t>Received</t>
        </is>
      </c>
      <c r="N114" s="2" t="inlineStr">
        <is>
          <t>Approved</t>
        </is>
      </c>
      <c r="O114" s="2" t="n"/>
      <c r="P114" s="2" t="n"/>
      <c r="Q114" s="2" t="n"/>
      <c r="R114" s="2" t="n"/>
    </row>
    <row r="115">
      <c r="A115" s="2" t="inlineStr">
        <is>
          <t>INV00112</t>
        </is>
      </c>
      <c r="B115" s="7" t="n">
        <v>46200</v>
      </c>
      <c r="C115" s="2" t="inlineStr">
        <is>
          <t>Deloitte</t>
        </is>
      </c>
      <c r="D115" s="2" t="inlineStr">
        <is>
          <t>Sales</t>
        </is>
      </c>
      <c r="E115" s="2" t="inlineStr">
        <is>
          <t>Travel</t>
        </is>
      </c>
      <c r="F115" s="8" t="n">
        <v>567600</v>
      </c>
      <c r="G115" s="2" t="n">
        <v>15</v>
      </c>
      <c r="H115" s="7" t="n">
        <v>46215</v>
      </c>
      <c r="I115" s="7" t="n">
        <v>46215</v>
      </c>
      <c r="J115" s="2" t="inlineStr">
        <is>
          <t>Paid</t>
        </is>
      </c>
      <c r="K115" s="2" t="inlineStr">
        <is>
          <t>No</t>
        </is>
      </c>
      <c r="L115" s="9" t="n">
        <v>0</v>
      </c>
      <c r="M115" s="2" t="inlineStr">
        <is>
          <t>Received</t>
        </is>
      </c>
      <c r="N115" s="2" t="inlineStr">
        <is>
          <t>Approved</t>
        </is>
      </c>
      <c r="O115" s="2" t="n"/>
      <c r="P115" s="2" t="n"/>
      <c r="Q115" s="2" t="n"/>
      <c r="R115" s="2" t="n"/>
    </row>
    <row r="116">
      <c r="A116" s="2" t="inlineStr">
        <is>
          <t>INV00113</t>
        </is>
      </c>
      <c r="B116" s="7" t="n">
        <v>46120</v>
      </c>
      <c r="C116" s="2" t="inlineStr">
        <is>
          <t>Deloitte</t>
        </is>
      </c>
      <c r="D116" s="2" t="inlineStr">
        <is>
          <t>Finance</t>
        </is>
      </c>
      <c r="E116" s="2" t="inlineStr">
        <is>
          <t>Software</t>
        </is>
      </c>
      <c r="F116" s="8" t="n">
        <v>211900</v>
      </c>
      <c r="G116" s="2" t="n">
        <v>45</v>
      </c>
      <c r="H116" s="7" t="n">
        <v>46165</v>
      </c>
      <c r="I116" s="7" t="n">
        <v>46195</v>
      </c>
      <c r="J116" s="2" t="inlineStr">
        <is>
          <t>Paid</t>
        </is>
      </c>
      <c r="K116" s="2" t="inlineStr">
        <is>
          <t>No</t>
        </is>
      </c>
      <c r="L116" s="9" t="n">
        <v>0</v>
      </c>
      <c r="M116" s="2" t="inlineStr">
        <is>
          <t>Received</t>
        </is>
      </c>
      <c r="N116" s="2" t="inlineStr">
        <is>
          <t>Approved</t>
        </is>
      </c>
      <c r="O116" s="2" t="n"/>
      <c r="P116" s="2" t="n"/>
      <c r="Q116" s="2" t="n"/>
      <c r="R116" s="2" t="n"/>
    </row>
    <row r="117">
      <c r="A117" s="2" t="inlineStr">
        <is>
          <t>INV00114</t>
        </is>
      </c>
      <c r="B117" s="7" t="n">
        <v>46108</v>
      </c>
      <c r="C117" s="2" t="inlineStr">
        <is>
          <t>Wipro</t>
        </is>
      </c>
      <c r="D117" s="2" t="inlineStr">
        <is>
          <t>Marketing</t>
        </is>
      </c>
      <c r="E117" s="2" t="inlineStr">
        <is>
          <t>Facilities</t>
        </is>
      </c>
      <c r="F117" s="8" t="n">
        <v>282800</v>
      </c>
      <c r="G117" s="2" t="n">
        <v>30</v>
      </c>
      <c r="H117" s="7" t="n">
        <v>46138</v>
      </c>
      <c r="I117" s="7" t="n">
        <v>46138</v>
      </c>
      <c r="J117" s="2" t="inlineStr">
        <is>
          <t>Paid</t>
        </is>
      </c>
      <c r="K117" s="2" t="inlineStr">
        <is>
          <t>No</t>
        </is>
      </c>
      <c r="L117" s="9" t="n">
        <v>0</v>
      </c>
      <c r="M117" s="2" t="inlineStr">
        <is>
          <t>Received</t>
        </is>
      </c>
      <c r="N117" s="2" t="inlineStr">
        <is>
          <t>Approved</t>
        </is>
      </c>
      <c r="O117" s="2" t="n"/>
      <c r="P117" s="2" t="n"/>
      <c r="Q117" s="2" t="n"/>
      <c r="R117" s="2" t="n"/>
    </row>
    <row r="118">
      <c r="A118" s="2" t="inlineStr">
        <is>
          <t>INV00115</t>
        </is>
      </c>
      <c r="B118" s="7" t="n">
        <v>46242</v>
      </c>
      <c r="C118" s="2" t="inlineStr">
        <is>
          <t>Google Cloud</t>
        </is>
      </c>
      <c r="D118" s="2" t="inlineStr">
        <is>
          <t>Finance</t>
        </is>
      </c>
      <c r="E118" s="2" t="inlineStr">
        <is>
          <t>Consulting</t>
        </is>
      </c>
      <c r="F118" s="8" t="n">
        <v>395500</v>
      </c>
      <c r="G118" s="2" t="n">
        <v>60</v>
      </c>
      <c r="H118" s="7" t="n">
        <v>46302</v>
      </c>
      <c r="I118" s="7" t="n">
        <v>46302</v>
      </c>
      <c r="J118" s="2" t="inlineStr">
        <is>
          <t>Paid</t>
        </is>
      </c>
      <c r="K118" s="2" t="inlineStr">
        <is>
          <t>No</t>
        </is>
      </c>
      <c r="L118" s="9" t="n">
        <v>0</v>
      </c>
      <c r="M118" s="2" t="inlineStr">
        <is>
          <t>Received</t>
        </is>
      </c>
      <c r="N118" s="2" t="inlineStr">
        <is>
          <t>Pending</t>
        </is>
      </c>
      <c r="O118" s="2" t="n"/>
      <c r="P118" s="2" t="n"/>
      <c r="Q118" s="2" t="n"/>
      <c r="R118" s="2" t="n"/>
    </row>
    <row r="119">
      <c r="A119" s="2" t="inlineStr">
        <is>
          <t>INV00116</t>
        </is>
      </c>
      <c r="B119" s="7" t="n">
        <v>46138</v>
      </c>
      <c r="C119" s="2" t="inlineStr">
        <is>
          <t>Accenture</t>
        </is>
      </c>
      <c r="D119" s="2" t="inlineStr">
        <is>
          <t>Finance</t>
        </is>
      </c>
      <c r="E119" s="2" t="inlineStr">
        <is>
          <t>Facilities</t>
        </is>
      </c>
      <c r="F119" s="8" t="n">
        <v>610400</v>
      </c>
      <c r="G119" s="2" t="n">
        <v>45</v>
      </c>
      <c r="H119" s="7" t="n">
        <v>46183</v>
      </c>
      <c r="I119" s="7" t="n">
        <v>46183</v>
      </c>
      <c r="J119" s="2" t="inlineStr">
        <is>
          <t>Paid</t>
        </is>
      </c>
      <c r="K119" s="2" t="inlineStr">
        <is>
          <t>No</t>
        </is>
      </c>
      <c r="L119" s="9" t="n">
        <v>0</v>
      </c>
      <c r="M119" s="2" t="inlineStr">
        <is>
          <t>Received</t>
        </is>
      </c>
      <c r="N119" s="2" t="inlineStr">
        <is>
          <t>Approved</t>
        </is>
      </c>
      <c r="O119" s="2" t="n"/>
      <c r="P119" s="2" t="n"/>
      <c r="Q119" s="2" t="n"/>
      <c r="R119" s="2" t="n"/>
    </row>
    <row r="120">
      <c r="A120" s="2" t="inlineStr">
        <is>
          <t>INV00117</t>
        </is>
      </c>
      <c r="B120" s="7" t="n">
        <v>46090</v>
      </c>
      <c r="C120" s="2" t="inlineStr">
        <is>
          <t>IBM</t>
        </is>
      </c>
      <c r="D120" s="2" t="inlineStr">
        <is>
          <t>Marketing</t>
        </is>
      </c>
      <c r="E120" s="2" t="inlineStr">
        <is>
          <t>Cloud</t>
        </is>
      </c>
      <c r="F120" s="8" t="n">
        <v>932900</v>
      </c>
      <c r="G120" s="2" t="n">
        <v>60</v>
      </c>
      <c r="H120" s="7" t="n">
        <v>46150</v>
      </c>
      <c r="I120" s="2" t="n"/>
      <c r="J120" s="2" t="inlineStr">
        <is>
          <t>Pending</t>
        </is>
      </c>
      <c r="K120" s="2" t="inlineStr">
        <is>
          <t>No</t>
        </is>
      </c>
      <c r="L120" s="9" t="n">
        <v>0</v>
      </c>
      <c r="M120" s="2" t="inlineStr">
        <is>
          <t>Received</t>
        </is>
      </c>
      <c r="N120" s="2" t="inlineStr">
        <is>
          <t>Approved</t>
        </is>
      </c>
      <c r="O120" s="2" t="n"/>
      <c r="P120" s="2" t="n"/>
      <c r="Q120" s="2" t="n"/>
      <c r="R120" s="2" t="n"/>
    </row>
    <row r="121">
      <c r="A121" s="2" t="inlineStr">
        <is>
          <t>INV00118</t>
        </is>
      </c>
      <c r="B121" s="7" t="n">
        <v>46181</v>
      </c>
      <c r="C121" s="2" t="inlineStr">
        <is>
          <t>Adobe</t>
        </is>
      </c>
      <c r="D121" s="2" t="inlineStr">
        <is>
          <t>IT</t>
        </is>
      </c>
      <c r="E121" s="2" t="inlineStr">
        <is>
          <t>Consulting</t>
        </is>
      </c>
      <c r="F121" s="8" t="n">
        <v>948100</v>
      </c>
      <c r="G121" s="2" t="n">
        <v>30</v>
      </c>
      <c r="H121" s="7" t="n">
        <v>46211</v>
      </c>
      <c r="I121" s="2" t="n"/>
      <c r="J121" s="2" t="inlineStr">
        <is>
          <t>Pending</t>
        </is>
      </c>
      <c r="K121" s="2" t="inlineStr">
        <is>
          <t>Yes</t>
        </is>
      </c>
      <c r="L121" s="9" t="n">
        <v>0.02</v>
      </c>
      <c r="M121" s="2" t="inlineStr">
        <is>
          <t>Received</t>
        </is>
      </c>
      <c r="N121" s="2" t="inlineStr">
        <is>
          <t>Approved</t>
        </is>
      </c>
      <c r="O121" s="2" t="n"/>
      <c r="P121" s="2" t="n"/>
      <c r="Q121" s="2" t="n"/>
      <c r="R121" s="2" t="n"/>
    </row>
    <row r="122">
      <c r="A122" s="2" t="inlineStr">
        <is>
          <t>INV00119</t>
        </is>
      </c>
      <c r="B122" s="7" t="n">
        <v>46383</v>
      </c>
      <c r="C122" s="2" t="inlineStr">
        <is>
          <t>Deloitte</t>
        </is>
      </c>
      <c r="D122" s="2" t="inlineStr">
        <is>
          <t>Sales</t>
        </is>
      </c>
      <c r="E122" s="2" t="inlineStr">
        <is>
          <t>Professional Services</t>
        </is>
      </c>
      <c r="F122" s="8" t="n">
        <v>155800</v>
      </c>
      <c r="G122" s="2" t="n">
        <v>60</v>
      </c>
      <c r="H122" s="7" t="n">
        <v>46443</v>
      </c>
      <c r="I122" s="7" t="n">
        <v>46473</v>
      </c>
      <c r="J122" s="2" t="inlineStr">
        <is>
          <t>Paid</t>
        </is>
      </c>
      <c r="K122" s="2" t="inlineStr">
        <is>
          <t>No</t>
        </is>
      </c>
      <c r="L122" s="9" t="n">
        <v>0</v>
      </c>
      <c r="M122" s="2" t="inlineStr">
        <is>
          <t>Received</t>
        </is>
      </c>
      <c r="N122" s="2" t="inlineStr">
        <is>
          <t>Approved</t>
        </is>
      </c>
      <c r="O122" s="2" t="n"/>
      <c r="P122" s="2" t="n"/>
      <c r="Q122" s="2" t="n"/>
      <c r="R122" s="2" t="n"/>
    </row>
    <row r="123">
      <c r="A123" s="2" t="inlineStr">
        <is>
          <t>INV00120</t>
        </is>
      </c>
      <c r="B123" s="7" t="n">
        <v>46078</v>
      </c>
      <c r="C123" s="2" t="inlineStr">
        <is>
          <t>Infosys</t>
        </is>
      </c>
      <c r="D123" s="2" t="inlineStr">
        <is>
          <t>Finance</t>
        </is>
      </c>
      <c r="E123" s="2" t="inlineStr">
        <is>
          <t>Consulting</t>
        </is>
      </c>
      <c r="F123" s="8" t="n">
        <v>564900</v>
      </c>
      <c r="G123" s="2" t="n">
        <v>15</v>
      </c>
      <c r="H123" s="7" t="n">
        <v>46093</v>
      </c>
      <c r="I123" s="7" t="n">
        <v>46123</v>
      </c>
      <c r="J123" s="2" t="inlineStr">
        <is>
          <t>Paid</t>
        </is>
      </c>
      <c r="K123" s="2" t="inlineStr">
        <is>
          <t>No</t>
        </is>
      </c>
      <c r="L123" s="9" t="n">
        <v>0</v>
      </c>
      <c r="M123" s="2" t="inlineStr">
        <is>
          <t>Received</t>
        </is>
      </c>
      <c r="N123" s="2" t="inlineStr">
        <is>
          <t>Approved</t>
        </is>
      </c>
      <c r="O123" s="2" t="n"/>
      <c r="P123" s="2" t="n"/>
      <c r="Q123" s="2" t="n"/>
      <c r="R123" s="2" t="n"/>
    </row>
    <row r="124">
      <c r="A124" s="2" t="inlineStr">
        <is>
          <t>INV00121</t>
        </is>
      </c>
      <c r="B124" s="7" t="n">
        <v>46303</v>
      </c>
      <c r="C124" s="2" t="inlineStr">
        <is>
          <t>Wipro</t>
        </is>
      </c>
      <c r="D124" s="2" t="inlineStr">
        <is>
          <t>Finance</t>
        </is>
      </c>
      <c r="E124" s="2" t="inlineStr">
        <is>
          <t>Consulting</t>
        </is>
      </c>
      <c r="F124" s="8" t="n">
        <v>514600</v>
      </c>
      <c r="G124" s="2" t="n">
        <v>60</v>
      </c>
      <c r="H124" s="7" t="n">
        <v>46363</v>
      </c>
      <c r="I124" s="7" t="n">
        <v>46368</v>
      </c>
      <c r="J124" s="2" t="inlineStr">
        <is>
          <t>Paid</t>
        </is>
      </c>
      <c r="K124" s="2" t="inlineStr">
        <is>
          <t>No</t>
        </is>
      </c>
      <c r="L124" s="9" t="n">
        <v>0</v>
      </c>
      <c r="M124" s="2" t="inlineStr">
        <is>
          <t>Received</t>
        </is>
      </c>
      <c r="N124" s="2" t="inlineStr">
        <is>
          <t>Pending</t>
        </is>
      </c>
      <c r="O124" s="2" t="n"/>
      <c r="P124" s="2" t="n"/>
      <c r="Q124" s="2" t="n"/>
      <c r="R124" s="2" t="n"/>
    </row>
    <row r="125">
      <c r="A125" s="2" t="inlineStr">
        <is>
          <t>INV00122</t>
        </is>
      </c>
      <c r="B125" s="7" t="n">
        <v>46282</v>
      </c>
      <c r="C125" s="2" t="inlineStr">
        <is>
          <t>Cognizant</t>
        </is>
      </c>
      <c r="D125" s="2" t="inlineStr">
        <is>
          <t>Marketing</t>
        </is>
      </c>
      <c r="E125" s="2" t="inlineStr">
        <is>
          <t>Office Supplies</t>
        </is>
      </c>
      <c r="F125" s="8" t="n">
        <v>602600</v>
      </c>
      <c r="G125" s="2" t="n">
        <v>15</v>
      </c>
      <c r="H125" s="7" t="n">
        <v>46297</v>
      </c>
      <c r="I125" s="2" t="n"/>
      <c r="J125" s="2" t="inlineStr">
        <is>
          <t>Pending</t>
        </is>
      </c>
      <c r="K125" s="2" t="inlineStr">
        <is>
          <t>Yes</t>
        </is>
      </c>
      <c r="L125" s="9" t="n">
        <v>0.02</v>
      </c>
      <c r="M125" s="2" t="inlineStr">
        <is>
          <t>Received</t>
        </is>
      </c>
      <c r="N125" s="2" t="inlineStr">
        <is>
          <t>Approved</t>
        </is>
      </c>
      <c r="O125" s="2" t="n"/>
      <c r="P125" s="2" t="n"/>
      <c r="Q125" s="2" t="n"/>
      <c r="R125" s="2" t="n"/>
    </row>
    <row r="126">
      <c r="A126" s="2" t="inlineStr">
        <is>
          <t>INV00123</t>
        </is>
      </c>
      <c r="B126" s="7" t="n">
        <v>46181</v>
      </c>
      <c r="C126" s="2" t="inlineStr">
        <is>
          <t>Wipro</t>
        </is>
      </c>
      <c r="D126" s="2" t="inlineStr">
        <is>
          <t>Sales</t>
        </is>
      </c>
      <c r="E126" s="2" t="inlineStr">
        <is>
          <t>Travel</t>
        </is>
      </c>
      <c r="F126" s="8" t="n">
        <v>801400</v>
      </c>
      <c r="G126" s="2" t="n">
        <v>15</v>
      </c>
      <c r="H126" s="7" t="n">
        <v>46196</v>
      </c>
      <c r="I126" s="7" t="n">
        <v>46196</v>
      </c>
      <c r="J126" s="2" t="inlineStr">
        <is>
          <t>Paid</t>
        </is>
      </c>
      <c r="K126" s="2" t="inlineStr">
        <is>
          <t>Yes</t>
        </is>
      </c>
      <c r="L126" s="9" t="n">
        <v>0.02</v>
      </c>
      <c r="M126" s="2" t="inlineStr">
        <is>
          <t>Received</t>
        </is>
      </c>
      <c r="N126" s="2" t="inlineStr">
        <is>
          <t>Approved</t>
        </is>
      </c>
      <c r="O126" s="2" t="n"/>
      <c r="P126" s="2" t="n"/>
      <c r="Q126" s="2" t="n"/>
      <c r="R126" s="2" t="n"/>
    </row>
    <row r="127">
      <c r="A127" s="2" t="inlineStr">
        <is>
          <t>INV00124</t>
        </is>
      </c>
      <c r="B127" s="7" t="n">
        <v>46341</v>
      </c>
      <c r="C127" s="2" t="inlineStr">
        <is>
          <t>Wipro</t>
        </is>
      </c>
      <c r="D127" s="2" t="inlineStr">
        <is>
          <t>Operations</t>
        </is>
      </c>
      <c r="E127" s="2" t="inlineStr">
        <is>
          <t>Travel</t>
        </is>
      </c>
      <c r="F127" s="8" t="n">
        <v>297300</v>
      </c>
      <c r="G127" s="2" t="n">
        <v>30</v>
      </c>
      <c r="H127" s="7" t="n">
        <v>46371</v>
      </c>
      <c r="I127" s="7" t="n">
        <v>46371</v>
      </c>
      <c r="J127" s="2" t="inlineStr">
        <is>
          <t>Paid</t>
        </is>
      </c>
      <c r="K127" s="2" t="inlineStr">
        <is>
          <t>No</t>
        </is>
      </c>
      <c r="L127" s="9" t="n">
        <v>0</v>
      </c>
      <c r="M127" s="2" t="inlineStr">
        <is>
          <t>Pending</t>
        </is>
      </c>
      <c r="N127" s="2" t="inlineStr">
        <is>
          <t>Approved</t>
        </is>
      </c>
      <c r="O127" s="2" t="n"/>
      <c r="P127" s="2" t="n"/>
      <c r="Q127" s="2" t="n"/>
      <c r="R127" s="2" t="n"/>
    </row>
    <row r="128">
      <c r="A128" s="2" t="inlineStr">
        <is>
          <t>INV00125</t>
        </is>
      </c>
      <c r="B128" s="7" t="n">
        <v>46159</v>
      </c>
      <c r="C128" s="2" t="inlineStr">
        <is>
          <t>Adobe</t>
        </is>
      </c>
      <c r="D128" s="2" t="inlineStr">
        <is>
          <t>Marketing</t>
        </is>
      </c>
      <c r="E128" s="2" t="inlineStr">
        <is>
          <t>Professional Services</t>
        </is>
      </c>
      <c r="F128" s="8" t="n">
        <v>735200</v>
      </c>
      <c r="G128" s="2" t="n">
        <v>45</v>
      </c>
      <c r="H128" s="7" t="n">
        <v>46204</v>
      </c>
      <c r="I128" s="7" t="n">
        <v>46219</v>
      </c>
      <c r="J128" s="2" t="inlineStr">
        <is>
          <t>Paid</t>
        </is>
      </c>
      <c r="K128" s="2" t="inlineStr">
        <is>
          <t>No</t>
        </is>
      </c>
      <c r="L128" s="9" t="n">
        <v>0</v>
      </c>
      <c r="M128" s="2" t="inlineStr">
        <is>
          <t>Received</t>
        </is>
      </c>
      <c r="N128" s="2" t="inlineStr">
        <is>
          <t>Approved</t>
        </is>
      </c>
      <c r="O128" s="2" t="n"/>
      <c r="P128" s="2" t="n"/>
      <c r="Q128" s="2" t="n"/>
      <c r="R128" s="2" t="n"/>
    </row>
    <row r="129">
      <c r="A129" s="2" t="inlineStr">
        <is>
          <t>INV00126</t>
        </is>
      </c>
      <c r="B129" s="7" t="n">
        <v>46187</v>
      </c>
      <c r="C129" s="2" t="inlineStr">
        <is>
          <t>Zoho</t>
        </is>
      </c>
      <c r="D129" s="2" t="inlineStr">
        <is>
          <t>Operations</t>
        </is>
      </c>
      <c r="E129" s="2" t="inlineStr">
        <is>
          <t>Travel</t>
        </is>
      </c>
      <c r="F129" s="8" t="n">
        <v>224200</v>
      </c>
      <c r="G129" s="2" t="n">
        <v>60</v>
      </c>
      <c r="H129" s="7" t="n">
        <v>46247</v>
      </c>
      <c r="I129" s="7" t="n">
        <v>46247</v>
      </c>
      <c r="J129" s="2" t="inlineStr">
        <is>
          <t>Paid</t>
        </is>
      </c>
      <c r="K129" s="2" t="inlineStr">
        <is>
          <t>No</t>
        </is>
      </c>
      <c r="L129" s="9" t="n">
        <v>0</v>
      </c>
      <c r="M129" s="2" t="inlineStr">
        <is>
          <t>Received</t>
        </is>
      </c>
      <c r="N129" s="2" t="inlineStr">
        <is>
          <t>Approved</t>
        </is>
      </c>
      <c r="O129" s="2" t="n"/>
      <c r="P129" s="2" t="n"/>
      <c r="Q129" s="2" t="n"/>
      <c r="R129" s="2" t="n"/>
    </row>
    <row r="130">
      <c r="A130" s="2" t="inlineStr">
        <is>
          <t>INV00127</t>
        </is>
      </c>
      <c r="B130" s="7" t="n">
        <v>46370</v>
      </c>
      <c r="C130" s="2" t="inlineStr">
        <is>
          <t>Amazon Web Services</t>
        </is>
      </c>
      <c r="D130" s="2" t="inlineStr">
        <is>
          <t>Operations</t>
        </is>
      </c>
      <c r="E130" s="2" t="inlineStr">
        <is>
          <t>Office Supplies</t>
        </is>
      </c>
      <c r="F130" s="8" t="n">
        <v>138600</v>
      </c>
      <c r="G130" s="2" t="n">
        <v>30</v>
      </c>
      <c r="H130" s="7" t="n">
        <v>46400</v>
      </c>
      <c r="I130" s="7" t="n">
        <v>46400</v>
      </c>
      <c r="J130" s="2" t="inlineStr">
        <is>
          <t>Paid</t>
        </is>
      </c>
      <c r="K130" s="2" t="inlineStr">
        <is>
          <t>No</t>
        </is>
      </c>
      <c r="L130" s="9" t="n">
        <v>0</v>
      </c>
      <c r="M130" s="2" t="inlineStr">
        <is>
          <t>Received</t>
        </is>
      </c>
      <c r="N130" s="2" t="inlineStr">
        <is>
          <t>Approved</t>
        </is>
      </c>
      <c r="O130" s="2" t="n"/>
      <c r="P130" s="2" t="n"/>
      <c r="Q130" s="2" t="n"/>
      <c r="R130" s="2" t="n"/>
    </row>
    <row r="131">
      <c r="A131" s="2" t="inlineStr">
        <is>
          <t>INV00128</t>
        </is>
      </c>
      <c r="B131" s="7" t="n">
        <v>46246</v>
      </c>
      <c r="C131" s="2" t="inlineStr">
        <is>
          <t>IBM</t>
        </is>
      </c>
      <c r="D131" s="2" t="inlineStr">
        <is>
          <t>IT</t>
        </is>
      </c>
      <c r="E131" s="2" t="inlineStr">
        <is>
          <t>Travel</t>
        </is>
      </c>
      <c r="F131" s="8" t="n">
        <v>155600</v>
      </c>
      <c r="G131" s="2" t="n">
        <v>45</v>
      </c>
      <c r="H131" s="7" t="n">
        <v>46291</v>
      </c>
      <c r="I131" s="7" t="n">
        <v>46296</v>
      </c>
      <c r="J131" s="2" t="inlineStr">
        <is>
          <t>Paid</t>
        </is>
      </c>
      <c r="K131" s="2" t="inlineStr">
        <is>
          <t>No</t>
        </is>
      </c>
      <c r="L131" s="9" t="n">
        <v>0</v>
      </c>
      <c r="M131" s="2" t="inlineStr">
        <is>
          <t>Received</t>
        </is>
      </c>
      <c r="N131" s="2" t="inlineStr">
        <is>
          <t>Approved</t>
        </is>
      </c>
      <c r="O131" s="2" t="n"/>
      <c r="P131" s="2" t="n"/>
      <c r="Q131" s="2" t="n"/>
      <c r="R131" s="2" t="n"/>
    </row>
    <row r="132">
      <c r="A132" s="2" t="inlineStr">
        <is>
          <t>INV00129</t>
        </is>
      </c>
      <c r="B132" s="7" t="n">
        <v>46027</v>
      </c>
      <c r="C132" s="2" t="inlineStr">
        <is>
          <t>HCLTech</t>
        </is>
      </c>
      <c r="D132" s="2" t="inlineStr">
        <is>
          <t>Marketing</t>
        </is>
      </c>
      <c r="E132" s="2" t="inlineStr">
        <is>
          <t>Travel</t>
        </is>
      </c>
      <c r="F132" s="8" t="n">
        <v>300400</v>
      </c>
      <c r="G132" s="2" t="n">
        <v>60</v>
      </c>
      <c r="H132" s="7" t="n">
        <v>46087</v>
      </c>
      <c r="I132" s="7" t="n">
        <v>46147</v>
      </c>
      <c r="J132" s="2" t="inlineStr">
        <is>
          <t>Paid</t>
        </is>
      </c>
      <c r="K132" s="2" t="inlineStr">
        <is>
          <t>Yes</t>
        </is>
      </c>
      <c r="L132" s="9" t="n">
        <v>0.02</v>
      </c>
      <c r="M132" s="2" t="inlineStr">
        <is>
          <t>Received</t>
        </is>
      </c>
      <c r="N132" s="2" t="inlineStr">
        <is>
          <t>Approved</t>
        </is>
      </c>
      <c r="O132" s="2" t="n"/>
      <c r="P132" s="2" t="n"/>
      <c r="Q132" s="2" t="n"/>
      <c r="R132" s="2" t="n"/>
    </row>
    <row r="133">
      <c r="A133" s="2" t="inlineStr">
        <is>
          <t>INV00130</t>
        </is>
      </c>
      <c r="B133" s="7" t="n">
        <v>46185</v>
      </c>
      <c r="C133" s="2" t="inlineStr">
        <is>
          <t>IBM</t>
        </is>
      </c>
      <c r="D133" s="2" t="inlineStr">
        <is>
          <t>IT</t>
        </is>
      </c>
      <c r="E133" s="2" t="inlineStr">
        <is>
          <t>Office Supplies</t>
        </is>
      </c>
      <c r="F133" s="8" t="n">
        <v>548500</v>
      </c>
      <c r="G133" s="2" t="n">
        <v>30</v>
      </c>
      <c r="H133" s="7" t="n">
        <v>46215</v>
      </c>
      <c r="I133" s="7" t="n">
        <v>46215</v>
      </c>
      <c r="J133" s="2" t="inlineStr">
        <is>
          <t>Paid</t>
        </is>
      </c>
      <c r="K133" s="2" t="inlineStr">
        <is>
          <t>No</t>
        </is>
      </c>
      <c r="L133" s="9" t="n">
        <v>0</v>
      </c>
      <c r="M133" s="2" t="inlineStr">
        <is>
          <t>Received</t>
        </is>
      </c>
      <c r="N133" s="2" t="inlineStr">
        <is>
          <t>Approved</t>
        </is>
      </c>
      <c r="O133" s="2" t="n"/>
      <c r="P133" s="2" t="n"/>
      <c r="Q133" s="2" t="n"/>
      <c r="R133" s="2" t="n"/>
    </row>
    <row r="134">
      <c r="A134" s="2" t="inlineStr">
        <is>
          <t>INV00131</t>
        </is>
      </c>
      <c r="B134" s="7" t="n">
        <v>46269</v>
      </c>
      <c r="C134" s="2" t="inlineStr">
        <is>
          <t>Infosys</t>
        </is>
      </c>
      <c r="D134" s="2" t="inlineStr">
        <is>
          <t>HR</t>
        </is>
      </c>
      <c r="E134" s="2" t="inlineStr">
        <is>
          <t>Travel</t>
        </is>
      </c>
      <c r="F134" s="8" t="n">
        <v>708900</v>
      </c>
      <c r="G134" s="2" t="n">
        <v>60</v>
      </c>
      <c r="H134" s="7" t="n">
        <v>46329</v>
      </c>
      <c r="I134" s="7" t="n">
        <v>46329</v>
      </c>
      <c r="J134" s="2" t="inlineStr">
        <is>
          <t>Paid</t>
        </is>
      </c>
      <c r="K134" s="2" t="inlineStr">
        <is>
          <t>Yes</t>
        </is>
      </c>
      <c r="L134" s="9" t="n">
        <v>0.02</v>
      </c>
      <c r="M134" s="2" t="inlineStr">
        <is>
          <t>Received</t>
        </is>
      </c>
      <c r="N134" s="2" t="inlineStr">
        <is>
          <t>Approved</t>
        </is>
      </c>
      <c r="O134" s="2" t="n"/>
      <c r="P134" s="2" t="n"/>
      <c r="Q134" s="2" t="n"/>
      <c r="R134" s="2" t="n"/>
    </row>
    <row r="135">
      <c r="A135" s="2" t="inlineStr">
        <is>
          <t>INV00132</t>
        </is>
      </c>
      <c r="B135" s="7" t="n">
        <v>46079</v>
      </c>
      <c r="C135" s="2" t="inlineStr">
        <is>
          <t>SAP</t>
        </is>
      </c>
      <c r="D135" s="2" t="inlineStr">
        <is>
          <t>HR</t>
        </is>
      </c>
      <c r="E135" s="2" t="inlineStr">
        <is>
          <t>Travel</t>
        </is>
      </c>
      <c r="F135" s="8" t="n">
        <v>662500</v>
      </c>
      <c r="G135" s="2" t="n">
        <v>45</v>
      </c>
      <c r="H135" s="7" t="n">
        <v>46124</v>
      </c>
      <c r="I135" s="2" t="n"/>
      <c r="J135" s="2" t="inlineStr">
        <is>
          <t>Pending</t>
        </is>
      </c>
      <c r="K135" s="2" t="inlineStr">
        <is>
          <t>No</t>
        </is>
      </c>
      <c r="L135" s="9" t="n">
        <v>0</v>
      </c>
      <c r="M135" s="2" t="inlineStr">
        <is>
          <t>Received</t>
        </is>
      </c>
      <c r="N135" s="2" t="inlineStr">
        <is>
          <t>Pending</t>
        </is>
      </c>
      <c r="O135" s="2" t="n"/>
      <c r="P135" s="2" t="n"/>
      <c r="Q135" s="2" t="n"/>
      <c r="R135" s="2" t="n"/>
    </row>
    <row r="136">
      <c r="A136" s="2" t="inlineStr">
        <is>
          <t>INV00133</t>
        </is>
      </c>
      <c r="B136" s="7" t="n">
        <v>46332</v>
      </c>
      <c r="C136" s="2" t="inlineStr">
        <is>
          <t>Cognizant</t>
        </is>
      </c>
      <c r="D136" s="2" t="inlineStr">
        <is>
          <t>HR</t>
        </is>
      </c>
      <c r="E136" s="2" t="inlineStr">
        <is>
          <t>Office Supplies</t>
        </is>
      </c>
      <c r="F136" s="8" t="n">
        <v>34700</v>
      </c>
      <c r="G136" s="2" t="n">
        <v>30</v>
      </c>
      <c r="H136" s="7" t="n">
        <v>46362</v>
      </c>
      <c r="I136" s="7" t="n">
        <v>46362</v>
      </c>
      <c r="J136" s="2" t="inlineStr">
        <is>
          <t>Paid</t>
        </is>
      </c>
      <c r="K136" s="2" t="inlineStr">
        <is>
          <t>No</t>
        </is>
      </c>
      <c r="L136" s="9" t="n">
        <v>0</v>
      </c>
      <c r="M136" s="2" t="inlineStr">
        <is>
          <t>Received</t>
        </is>
      </c>
      <c r="N136" s="2" t="inlineStr">
        <is>
          <t>Approved</t>
        </is>
      </c>
      <c r="O136" s="2" t="n"/>
      <c r="P136" s="2" t="n"/>
      <c r="Q136" s="2" t="n"/>
      <c r="R136" s="2" t="n"/>
    </row>
    <row r="137">
      <c r="A137" s="2" t="inlineStr">
        <is>
          <t>INV00134</t>
        </is>
      </c>
      <c r="B137" s="7" t="n">
        <v>46270</v>
      </c>
      <c r="C137" s="2" t="inlineStr">
        <is>
          <t>Accenture</t>
        </is>
      </c>
      <c r="D137" s="2" t="inlineStr">
        <is>
          <t>IT</t>
        </is>
      </c>
      <c r="E137" s="2" t="inlineStr">
        <is>
          <t>Software</t>
        </is>
      </c>
      <c r="F137" s="8" t="n">
        <v>787700</v>
      </c>
      <c r="G137" s="2" t="n">
        <v>45</v>
      </c>
      <c r="H137" s="7" t="n">
        <v>46315</v>
      </c>
      <c r="I137" s="7" t="n">
        <v>46330</v>
      </c>
      <c r="J137" s="2" t="inlineStr">
        <is>
          <t>Paid</t>
        </is>
      </c>
      <c r="K137" s="2" t="inlineStr">
        <is>
          <t>No</t>
        </is>
      </c>
      <c r="L137" s="9" t="n">
        <v>0</v>
      </c>
      <c r="M137" s="2" t="inlineStr">
        <is>
          <t>Received</t>
        </is>
      </c>
      <c r="N137" s="2" t="inlineStr">
        <is>
          <t>Pending</t>
        </is>
      </c>
      <c r="O137" s="2" t="n"/>
      <c r="P137" s="2" t="n"/>
      <c r="Q137" s="2" t="n"/>
      <c r="R137" s="2" t="n"/>
    </row>
    <row r="138">
      <c r="A138" s="2" t="inlineStr">
        <is>
          <t>INV00135</t>
        </is>
      </c>
      <c r="B138" s="7" t="n">
        <v>46329</v>
      </c>
      <c r="C138" s="2" t="inlineStr">
        <is>
          <t>IBM</t>
        </is>
      </c>
      <c r="D138" s="2" t="inlineStr">
        <is>
          <t>Operations</t>
        </is>
      </c>
      <c r="E138" s="2" t="inlineStr">
        <is>
          <t>Travel</t>
        </is>
      </c>
      <c r="F138" s="8" t="n">
        <v>36400</v>
      </c>
      <c r="G138" s="2" t="n">
        <v>45</v>
      </c>
      <c r="H138" s="7" t="n">
        <v>46374</v>
      </c>
      <c r="I138" s="2" t="n"/>
      <c r="J138" s="2" t="inlineStr">
        <is>
          <t>Pending</t>
        </is>
      </c>
      <c r="K138" s="2" t="inlineStr">
        <is>
          <t>Yes</t>
        </is>
      </c>
      <c r="L138" s="9" t="n">
        <v>0.02</v>
      </c>
      <c r="M138" s="2" t="inlineStr">
        <is>
          <t>Received</t>
        </is>
      </c>
      <c r="N138" s="2" t="inlineStr">
        <is>
          <t>Approved</t>
        </is>
      </c>
      <c r="O138" s="2" t="n"/>
      <c r="P138" s="2" t="n"/>
      <c r="Q138" s="2" t="n"/>
      <c r="R138" s="2" t="n"/>
    </row>
    <row r="139">
      <c r="A139" s="2" t="inlineStr">
        <is>
          <t>INV00136</t>
        </is>
      </c>
      <c r="B139" s="7" t="n">
        <v>46070</v>
      </c>
      <c r="C139" s="2" t="inlineStr">
        <is>
          <t>Deloitte</t>
        </is>
      </c>
      <c r="D139" s="2" t="inlineStr">
        <is>
          <t>HR</t>
        </is>
      </c>
      <c r="E139" s="2" t="inlineStr">
        <is>
          <t>Cloud</t>
        </is>
      </c>
      <c r="F139" s="8" t="n">
        <v>782000</v>
      </c>
      <c r="G139" s="2" t="n">
        <v>30</v>
      </c>
      <c r="H139" s="7" t="n">
        <v>46100</v>
      </c>
      <c r="I139" s="2" t="n"/>
      <c r="J139" s="2" t="inlineStr">
        <is>
          <t>Pending</t>
        </is>
      </c>
      <c r="K139" s="2" t="inlineStr">
        <is>
          <t>No</t>
        </is>
      </c>
      <c r="L139" s="9" t="n">
        <v>0</v>
      </c>
      <c r="M139" s="2" t="inlineStr">
        <is>
          <t>Received</t>
        </is>
      </c>
      <c r="N139" s="2" t="inlineStr">
        <is>
          <t>Approved</t>
        </is>
      </c>
      <c r="O139" s="2" t="n"/>
      <c r="P139" s="2" t="n"/>
      <c r="Q139" s="2" t="n"/>
      <c r="R139" s="2" t="n"/>
    </row>
    <row r="140">
      <c r="A140" s="2" t="inlineStr">
        <is>
          <t>INV00137</t>
        </is>
      </c>
      <c r="B140" s="7" t="n">
        <v>46133</v>
      </c>
      <c r="C140" s="2" t="inlineStr">
        <is>
          <t>Google Cloud</t>
        </is>
      </c>
      <c r="D140" s="2" t="inlineStr">
        <is>
          <t>HR</t>
        </is>
      </c>
      <c r="E140" s="2" t="inlineStr">
        <is>
          <t>Cloud</t>
        </is>
      </c>
      <c r="F140" s="8" t="n">
        <v>155500</v>
      </c>
      <c r="G140" s="2" t="n">
        <v>45</v>
      </c>
      <c r="H140" s="7" t="n">
        <v>46178</v>
      </c>
      <c r="I140" s="7" t="n">
        <v>46183</v>
      </c>
      <c r="J140" s="2" t="inlineStr">
        <is>
          <t>Paid</t>
        </is>
      </c>
      <c r="K140" s="2" t="inlineStr">
        <is>
          <t>Yes</t>
        </is>
      </c>
      <c r="L140" s="9" t="n">
        <v>0.02</v>
      </c>
      <c r="M140" s="2" t="inlineStr">
        <is>
          <t>Received</t>
        </is>
      </c>
      <c r="N140" s="2" t="inlineStr">
        <is>
          <t>Pending</t>
        </is>
      </c>
      <c r="O140" s="2" t="n"/>
      <c r="P140" s="2" t="n"/>
      <c r="Q140" s="2" t="n"/>
      <c r="R140" s="2" t="n"/>
    </row>
    <row r="141">
      <c r="A141" s="2" t="inlineStr">
        <is>
          <t>INV00138</t>
        </is>
      </c>
      <c r="B141" s="7" t="n">
        <v>46200</v>
      </c>
      <c r="C141" s="2" t="inlineStr">
        <is>
          <t>Zoho</t>
        </is>
      </c>
      <c r="D141" s="2" t="inlineStr">
        <is>
          <t>Marketing</t>
        </is>
      </c>
      <c r="E141" s="2" t="inlineStr">
        <is>
          <t>Software</t>
        </is>
      </c>
      <c r="F141" s="8" t="n">
        <v>961400</v>
      </c>
      <c r="G141" s="2" t="n">
        <v>15</v>
      </c>
      <c r="H141" s="7" t="n">
        <v>46215</v>
      </c>
      <c r="I141" s="7" t="n">
        <v>46230</v>
      </c>
      <c r="J141" s="2" t="inlineStr">
        <is>
          <t>Paid</t>
        </is>
      </c>
      <c r="K141" s="2" t="inlineStr">
        <is>
          <t>No</t>
        </is>
      </c>
      <c r="L141" s="9" t="n">
        <v>0</v>
      </c>
      <c r="M141" s="2" t="inlineStr">
        <is>
          <t>Received</t>
        </is>
      </c>
      <c r="N141" s="2" t="inlineStr">
        <is>
          <t>Approved</t>
        </is>
      </c>
      <c r="O141" s="2" t="n"/>
      <c r="P141" s="2" t="n"/>
      <c r="Q141" s="2" t="n"/>
      <c r="R141" s="2" t="n"/>
    </row>
    <row r="142">
      <c r="A142" s="2" t="inlineStr">
        <is>
          <t>INV00139</t>
        </is>
      </c>
      <c r="B142" s="7" t="n">
        <v>46344</v>
      </c>
      <c r="C142" s="2" t="inlineStr">
        <is>
          <t>Infosys</t>
        </is>
      </c>
      <c r="D142" s="2" t="inlineStr">
        <is>
          <t>Sales</t>
        </is>
      </c>
      <c r="E142" s="2" t="inlineStr">
        <is>
          <t>Consulting</t>
        </is>
      </c>
      <c r="F142" s="8" t="n">
        <v>855500</v>
      </c>
      <c r="G142" s="2" t="n">
        <v>60</v>
      </c>
      <c r="H142" s="7" t="n">
        <v>46404</v>
      </c>
      <c r="I142" s="7" t="n">
        <v>46404</v>
      </c>
      <c r="J142" s="2" t="inlineStr">
        <is>
          <t>Paid</t>
        </is>
      </c>
      <c r="K142" s="2" t="inlineStr">
        <is>
          <t>Yes</t>
        </is>
      </c>
      <c r="L142" s="9" t="n">
        <v>0.02</v>
      </c>
      <c r="M142" s="2" t="inlineStr">
        <is>
          <t>Received</t>
        </is>
      </c>
      <c r="N142" s="2" t="inlineStr">
        <is>
          <t>Approved</t>
        </is>
      </c>
      <c r="O142" s="2" t="n"/>
      <c r="P142" s="2" t="n"/>
      <c r="Q142" s="2" t="n"/>
      <c r="R142" s="2" t="n"/>
    </row>
    <row r="143">
      <c r="A143" s="2" t="inlineStr">
        <is>
          <t>INV00140</t>
        </is>
      </c>
      <c r="B143" s="7" t="n">
        <v>46123</v>
      </c>
      <c r="C143" s="2" t="inlineStr">
        <is>
          <t>Accenture</t>
        </is>
      </c>
      <c r="D143" s="2" t="inlineStr">
        <is>
          <t>Finance</t>
        </is>
      </c>
      <c r="E143" s="2" t="inlineStr">
        <is>
          <t>Consulting</t>
        </is>
      </c>
      <c r="F143" s="8" t="n">
        <v>895600</v>
      </c>
      <c r="G143" s="2" t="n">
        <v>45</v>
      </c>
      <c r="H143" s="7" t="n">
        <v>46168</v>
      </c>
      <c r="I143" s="7" t="n">
        <v>46168</v>
      </c>
      <c r="J143" s="2" t="inlineStr">
        <is>
          <t>Paid</t>
        </is>
      </c>
      <c r="K143" s="2" t="inlineStr">
        <is>
          <t>No</t>
        </is>
      </c>
      <c r="L143" s="9" t="n">
        <v>0</v>
      </c>
      <c r="M143" s="2" t="inlineStr">
        <is>
          <t>Received</t>
        </is>
      </c>
      <c r="N143" s="2" t="inlineStr">
        <is>
          <t>Approved</t>
        </is>
      </c>
      <c r="O143" s="2" t="n"/>
      <c r="P143" s="2" t="n"/>
      <c r="Q143" s="2" t="n"/>
      <c r="R143" s="2" t="n"/>
    </row>
    <row r="144">
      <c r="A144" s="2" t="inlineStr">
        <is>
          <t>INV00141</t>
        </is>
      </c>
      <c r="B144" s="7" t="n">
        <v>46157</v>
      </c>
      <c r="C144" s="2" t="inlineStr">
        <is>
          <t>TCS</t>
        </is>
      </c>
      <c r="D144" s="2" t="inlineStr">
        <is>
          <t>Finance</t>
        </is>
      </c>
      <c r="E144" s="2" t="inlineStr">
        <is>
          <t>Software</t>
        </is>
      </c>
      <c r="F144" s="8" t="n">
        <v>538100</v>
      </c>
      <c r="G144" s="2" t="n">
        <v>15</v>
      </c>
      <c r="H144" s="7" t="n">
        <v>46172</v>
      </c>
      <c r="I144" s="7" t="n">
        <v>46202</v>
      </c>
      <c r="J144" s="2" t="inlineStr">
        <is>
          <t>Paid</t>
        </is>
      </c>
      <c r="K144" s="2" t="inlineStr">
        <is>
          <t>Yes</t>
        </is>
      </c>
      <c r="L144" s="9" t="n">
        <v>0.02</v>
      </c>
      <c r="M144" s="2" t="inlineStr">
        <is>
          <t>Received</t>
        </is>
      </c>
      <c r="N144" s="2" t="inlineStr">
        <is>
          <t>Approved</t>
        </is>
      </c>
      <c r="O144" s="2" t="n"/>
      <c r="P144" s="2" t="n"/>
      <c r="Q144" s="2" t="n"/>
      <c r="R144" s="2" t="n"/>
    </row>
    <row r="145">
      <c r="A145" s="2" t="inlineStr">
        <is>
          <t>INV00142</t>
        </is>
      </c>
      <c r="B145" s="7" t="n">
        <v>46180</v>
      </c>
      <c r="C145" s="2" t="inlineStr">
        <is>
          <t>Cognizant</t>
        </is>
      </c>
      <c r="D145" s="2" t="inlineStr">
        <is>
          <t>Finance</t>
        </is>
      </c>
      <c r="E145" s="2" t="inlineStr">
        <is>
          <t>Professional Services</t>
        </is>
      </c>
      <c r="F145" s="8" t="n">
        <v>127200</v>
      </c>
      <c r="G145" s="2" t="n">
        <v>60</v>
      </c>
      <c r="H145" s="7" t="n">
        <v>46240</v>
      </c>
      <c r="I145" s="7" t="n">
        <v>46240</v>
      </c>
      <c r="J145" s="2" t="inlineStr">
        <is>
          <t>Paid</t>
        </is>
      </c>
      <c r="K145" s="2" t="inlineStr">
        <is>
          <t>No</t>
        </is>
      </c>
      <c r="L145" s="9" t="n">
        <v>0</v>
      </c>
      <c r="M145" s="2" t="inlineStr">
        <is>
          <t>Received</t>
        </is>
      </c>
      <c r="N145" s="2" t="inlineStr">
        <is>
          <t>Approved</t>
        </is>
      </c>
      <c r="O145" s="2" t="n"/>
      <c r="P145" s="2" t="n"/>
      <c r="Q145" s="2" t="n"/>
      <c r="R145" s="2" t="n"/>
    </row>
    <row r="146">
      <c r="A146" s="2" t="inlineStr">
        <is>
          <t>INV00143</t>
        </is>
      </c>
      <c r="B146" s="7" t="n">
        <v>46024</v>
      </c>
      <c r="C146" s="2" t="inlineStr">
        <is>
          <t>Infosys</t>
        </is>
      </c>
      <c r="D146" s="2" t="inlineStr">
        <is>
          <t>Operations</t>
        </is>
      </c>
      <c r="E146" s="2" t="inlineStr">
        <is>
          <t>Office Supplies</t>
        </is>
      </c>
      <c r="F146" s="8" t="n">
        <v>75000</v>
      </c>
      <c r="G146" s="2" t="n">
        <v>60</v>
      </c>
      <c r="H146" s="7" t="n">
        <v>46084</v>
      </c>
      <c r="I146" s="7" t="n">
        <v>46144</v>
      </c>
      <c r="J146" s="2" t="inlineStr">
        <is>
          <t>Paid</t>
        </is>
      </c>
      <c r="K146" s="2" t="inlineStr">
        <is>
          <t>No</t>
        </is>
      </c>
      <c r="L146" s="9" t="n">
        <v>0</v>
      </c>
      <c r="M146" s="2" t="inlineStr">
        <is>
          <t>Received</t>
        </is>
      </c>
      <c r="N146" s="2" t="inlineStr">
        <is>
          <t>Approved</t>
        </is>
      </c>
      <c r="O146" s="2" t="n"/>
      <c r="P146" s="2" t="n"/>
      <c r="Q146" s="2" t="n"/>
      <c r="R146" s="2" t="n"/>
    </row>
    <row r="147">
      <c r="A147" s="2" t="inlineStr">
        <is>
          <t>INV00144</t>
        </is>
      </c>
      <c r="B147" s="7" t="n">
        <v>46205</v>
      </c>
      <c r="C147" s="2" t="inlineStr">
        <is>
          <t>Accenture</t>
        </is>
      </c>
      <c r="D147" s="2" t="inlineStr">
        <is>
          <t>Marketing</t>
        </is>
      </c>
      <c r="E147" s="2" t="inlineStr">
        <is>
          <t>Cloud</t>
        </is>
      </c>
      <c r="F147" s="8" t="n">
        <v>305100</v>
      </c>
      <c r="G147" s="2" t="n">
        <v>45</v>
      </c>
      <c r="H147" s="7" t="n">
        <v>46250</v>
      </c>
      <c r="I147" s="2" t="n"/>
      <c r="J147" s="2" t="inlineStr">
        <is>
          <t>Pending</t>
        </is>
      </c>
      <c r="K147" s="2" t="inlineStr">
        <is>
          <t>Yes</t>
        </is>
      </c>
      <c r="L147" s="9" t="n">
        <v>0.02</v>
      </c>
      <c r="M147" s="2" t="inlineStr">
        <is>
          <t>Pending</t>
        </is>
      </c>
      <c r="N147" s="2" t="inlineStr">
        <is>
          <t>Approved</t>
        </is>
      </c>
      <c r="O147" s="2" t="n"/>
      <c r="P147" s="2" t="n"/>
      <c r="Q147" s="2" t="n"/>
      <c r="R147" s="2" t="n"/>
    </row>
    <row r="148">
      <c r="A148" s="2" t="inlineStr">
        <is>
          <t>INV00145</t>
        </is>
      </c>
      <c r="B148" s="7" t="n">
        <v>46058</v>
      </c>
      <c r="C148" s="2" t="inlineStr">
        <is>
          <t>Amazon Web Services</t>
        </is>
      </c>
      <c r="D148" s="2" t="inlineStr">
        <is>
          <t>Operations</t>
        </is>
      </c>
      <c r="E148" s="2" t="inlineStr">
        <is>
          <t>Consulting</t>
        </is>
      </c>
      <c r="F148" s="8" t="n">
        <v>141700</v>
      </c>
      <c r="G148" s="2" t="n">
        <v>45</v>
      </c>
      <c r="H148" s="7" t="n">
        <v>46103</v>
      </c>
      <c r="I148" s="7" t="n">
        <v>46103</v>
      </c>
      <c r="J148" s="2" t="inlineStr">
        <is>
          <t>Paid</t>
        </is>
      </c>
      <c r="K148" s="2" t="inlineStr">
        <is>
          <t>No</t>
        </is>
      </c>
      <c r="L148" s="9" t="n">
        <v>0</v>
      </c>
      <c r="M148" s="2" t="inlineStr">
        <is>
          <t>Received</t>
        </is>
      </c>
      <c r="N148" s="2" t="inlineStr">
        <is>
          <t>Approved</t>
        </is>
      </c>
      <c r="O148" s="2" t="n"/>
      <c r="P148" s="2" t="n"/>
      <c r="Q148" s="2" t="n"/>
      <c r="R148" s="2" t="n"/>
    </row>
    <row r="149">
      <c r="A149" s="2" t="inlineStr">
        <is>
          <t>INV00146</t>
        </is>
      </c>
      <c r="B149" s="7" t="n">
        <v>46199</v>
      </c>
      <c r="C149" s="2" t="inlineStr">
        <is>
          <t>IBM</t>
        </is>
      </c>
      <c r="D149" s="2" t="inlineStr">
        <is>
          <t>Marketing</t>
        </is>
      </c>
      <c r="E149" s="2" t="inlineStr">
        <is>
          <t>Professional Services</t>
        </is>
      </c>
      <c r="F149" s="8" t="n">
        <v>636600</v>
      </c>
      <c r="G149" s="2" t="n">
        <v>30</v>
      </c>
      <c r="H149" s="7" t="n">
        <v>46229</v>
      </c>
      <c r="I149" s="2" t="n"/>
      <c r="J149" s="2" t="inlineStr">
        <is>
          <t>Pending</t>
        </is>
      </c>
      <c r="K149" s="2" t="inlineStr">
        <is>
          <t>Yes</t>
        </is>
      </c>
      <c r="L149" s="9" t="n">
        <v>0.02</v>
      </c>
      <c r="M149" s="2" t="inlineStr">
        <is>
          <t>Received</t>
        </is>
      </c>
      <c r="N149" s="2" t="inlineStr">
        <is>
          <t>Approved</t>
        </is>
      </c>
      <c r="O149" s="2" t="n"/>
      <c r="P149" s="2" t="n"/>
      <c r="Q149" s="2" t="n"/>
      <c r="R149" s="2" t="n"/>
    </row>
    <row r="150">
      <c r="A150" s="2" t="inlineStr">
        <is>
          <t>INV00147</t>
        </is>
      </c>
      <c r="B150" s="7" t="n">
        <v>46161</v>
      </c>
      <c r="C150" s="2" t="inlineStr">
        <is>
          <t>Oracle</t>
        </is>
      </c>
      <c r="D150" s="2" t="inlineStr">
        <is>
          <t>Marketing</t>
        </is>
      </c>
      <c r="E150" s="2" t="inlineStr">
        <is>
          <t>Facilities</t>
        </is>
      </c>
      <c r="F150" s="8" t="n">
        <v>178600</v>
      </c>
      <c r="G150" s="2" t="n">
        <v>60</v>
      </c>
      <c r="H150" s="7" t="n">
        <v>46221</v>
      </c>
      <c r="I150" s="7" t="n">
        <v>46226</v>
      </c>
      <c r="J150" s="2" t="inlineStr">
        <is>
          <t>Paid</t>
        </is>
      </c>
      <c r="K150" s="2" t="inlineStr">
        <is>
          <t>No</t>
        </is>
      </c>
      <c r="L150" s="9" t="n">
        <v>0</v>
      </c>
      <c r="M150" s="2" t="inlineStr">
        <is>
          <t>Received</t>
        </is>
      </c>
      <c r="N150" s="2" t="inlineStr">
        <is>
          <t>Approved</t>
        </is>
      </c>
      <c r="O150" s="2" t="n"/>
      <c r="P150" s="2" t="n"/>
      <c r="Q150" s="2" t="n"/>
      <c r="R150" s="2" t="n"/>
    </row>
    <row r="151">
      <c r="A151" s="2" t="inlineStr">
        <is>
          <t>INV00148</t>
        </is>
      </c>
      <c r="B151" s="7" t="n">
        <v>46384</v>
      </c>
      <c r="C151" s="2" t="inlineStr">
        <is>
          <t>Wipro</t>
        </is>
      </c>
      <c r="D151" s="2" t="inlineStr">
        <is>
          <t>Sales</t>
        </is>
      </c>
      <c r="E151" s="2" t="inlineStr">
        <is>
          <t>Software</t>
        </is>
      </c>
      <c r="F151" s="8" t="n">
        <v>70100</v>
      </c>
      <c r="G151" s="2" t="n">
        <v>60</v>
      </c>
      <c r="H151" s="7" t="n">
        <v>46444</v>
      </c>
      <c r="I151" s="2" t="n"/>
      <c r="J151" s="2" t="inlineStr">
        <is>
          <t>Pending</t>
        </is>
      </c>
      <c r="K151" s="2" t="inlineStr">
        <is>
          <t>No</t>
        </is>
      </c>
      <c r="L151" s="9" t="n">
        <v>0</v>
      </c>
      <c r="M151" s="2" t="inlineStr">
        <is>
          <t>Received</t>
        </is>
      </c>
      <c r="N151" s="2" t="inlineStr">
        <is>
          <t>Approved</t>
        </is>
      </c>
      <c r="O151" s="2" t="n"/>
      <c r="P151" s="2" t="n"/>
      <c r="Q151" s="2" t="n"/>
      <c r="R151" s="2" t="n"/>
    </row>
    <row r="152">
      <c r="A152" s="2" t="inlineStr">
        <is>
          <t>INV00149</t>
        </is>
      </c>
      <c r="B152" s="7" t="n">
        <v>46320</v>
      </c>
      <c r="C152" s="2" t="inlineStr">
        <is>
          <t>HCLTech</t>
        </is>
      </c>
      <c r="D152" s="2" t="inlineStr">
        <is>
          <t>Operations</t>
        </is>
      </c>
      <c r="E152" s="2" t="inlineStr">
        <is>
          <t>Cloud</t>
        </is>
      </c>
      <c r="F152" s="8" t="n">
        <v>12700</v>
      </c>
      <c r="G152" s="2" t="n">
        <v>30</v>
      </c>
      <c r="H152" s="7" t="n">
        <v>46350</v>
      </c>
      <c r="I152" s="7" t="n">
        <v>46350</v>
      </c>
      <c r="J152" s="2" t="inlineStr">
        <is>
          <t>Paid</t>
        </is>
      </c>
      <c r="K152" s="2" t="inlineStr">
        <is>
          <t>No</t>
        </is>
      </c>
      <c r="L152" s="9" t="n">
        <v>0</v>
      </c>
      <c r="M152" s="2" t="inlineStr">
        <is>
          <t>Received</t>
        </is>
      </c>
      <c r="N152" s="2" t="inlineStr">
        <is>
          <t>Approved</t>
        </is>
      </c>
      <c r="O152" s="2" t="n"/>
      <c r="P152" s="2" t="n"/>
      <c r="Q152" s="2" t="n"/>
      <c r="R152" s="2" t="n"/>
    </row>
    <row r="153">
      <c r="A153" s="2" t="inlineStr">
        <is>
          <t>INV00150</t>
        </is>
      </c>
      <c r="B153" s="7" t="n">
        <v>46290</v>
      </c>
      <c r="C153" s="2" t="inlineStr">
        <is>
          <t>Accenture</t>
        </is>
      </c>
      <c r="D153" s="2" t="inlineStr">
        <is>
          <t>Operations</t>
        </is>
      </c>
      <c r="E153" s="2" t="inlineStr">
        <is>
          <t>Facilities</t>
        </is>
      </c>
      <c r="F153" s="8" t="n">
        <v>639000</v>
      </c>
      <c r="G153" s="2" t="n">
        <v>15</v>
      </c>
      <c r="H153" s="7" t="n">
        <v>46305</v>
      </c>
      <c r="I153" s="2" t="n"/>
      <c r="J153" s="2" t="inlineStr">
        <is>
          <t>Pending</t>
        </is>
      </c>
      <c r="K153" s="2" t="inlineStr">
        <is>
          <t>No</t>
        </is>
      </c>
      <c r="L153" s="9" t="n">
        <v>0</v>
      </c>
      <c r="M153" s="2" t="inlineStr">
        <is>
          <t>Received</t>
        </is>
      </c>
      <c r="N153" s="2" t="inlineStr">
        <is>
          <t>Pending</t>
        </is>
      </c>
      <c r="O153" s="2" t="n"/>
      <c r="P153" s="2" t="n"/>
      <c r="Q153" s="2" t="n"/>
      <c r="R153" s="2" t="n"/>
    </row>
    <row r="154">
      <c r="A154" s="2" t="inlineStr">
        <is>
          <t>INV00151</t>
        </is>
      </c>
      <c r="B154" s="7" t="n">
        <v>46252</v>
      </c>
      <c r="C154" s="2" t="inlineStr">
        <is>
          <t>Oracle</t>
        </is>
      </c>
      <c r="D154" s="2" t="inlineStr">
        <is>
          <t>Marketing</t>
        </is>
      </c>
      <c r="E154" s="2" t="inlineStr">
        <is>
          <t>Consulting</t>
        </is>
      </c>
      <c r="F154" s="8" t="n">
        <v>154500</v>
      </c>
      <c r="G154" s="2" t="n">
        <v>45</v>
      </c>
      <c r="H154" s="7" t="n">
        <v>46297</v>
      </c>
      <c r="I154" s="7" t="n">
        <v>46297</v>
      </c>
      <c r="J154" s="2" t="inlineStr">
        <is>
          <t>Paid</t>
        </is>
      </c>
      <c r="K154" s="2" t="inlineStr">
        <is>
          <t>No</t>
        </is>
      </c>
      <c r="L154" s="9" t="n">
        <v>0</v>
      </c>
      <c r="M154" s="2" t="inlineStr">
        <is>
          <t>Pending</t>
        </is>
      </c>
      <c r="N154" s="2" t="inlineStr">
        <is>
          <t>Approved</t>
        </is>
      </c>
      <c r="O154" s="2" t="n"/>
      <c r="P154" s="2" t="n"/>
      <c r="Q154" s="2" t="n"/>
      <c r="R154" s="2" t="n"/>
    </row>
    <row r="155">
      <c r="A155" s="2" t="inlineStr">
        <is>
          <t>INV00152</t>
        </is>
      </c>
      <c r="B155" s="7" t="n">
        <v>46363</v>
      </c>
      <c r="C155" s="2" t="inlineStr">
        <is>
          <t>Wipro</t>
        </is>
      </c>
      <c r="D155" s="2" t="inlineStr">
        <is>
          <t>Sales</t>
        </is>
      </c>
      <c r="E155" s="2" t="inlineStr">
        <is>
          <t>Professional Services</t>
        </is>
      </c>
      <c r="F155" s="8" t="n">
        <v>670400</v>
      </c>
      <c r="G155" s="2" t="n">
        <v>45</v>
      </c>
      <c r="H155" s="7" t="n">
        <v>46408</v>
      </c>
      <c r="I155" s="7" t="n">
        <v>46413</v>
      </c>
      <c r="J155" s="2" t="inlineStr">
        <is>
          <t>Paid</t>
        </is>
      </c>
      <c r="K155" s="2" t="inlineStr">
        <is>
          <t>No</t>
        </is>
      </c>
      <c r="L155" s="9" t="n">
        <v>0</v>
      </c>
      <c r="M155" s="2" t="inlineStr">
        <is>
          <t>Pending</t>
        </is>
      </c>
      <c r="N155" s="2" t="inlineStr">
        <is>
          <t>Approved</t>
        </is>
      </c>
      <c r="O155" s="2" t="n"/>
      <c r="P155" s="2" t="n"/>
      <c r="Q155" s="2" t="n"/>
      <c r="R155" s="2" t="n"/>
    </row>
    <row r="156">
      <c r="A156" s="2" t="inlineStr">
        <is>
          <t>INV00153</t>
        </is>
      </c>
      <c r="B156" s="7" t="n">
        <v>46198</v>
      </c>
      <c r="C156" s="2" t="inlineStr">
        <is>
          <t>Cognizant</t>
        </is>
      </c>
      <c r="D156" s="2" t="inlineStr">
        <is>
          <t>Finance</t>
        </is>
      </c>
      <c r="E156" s="2" t="inlineStr">
        <is>
          <t>Consulting</t>
        </is>
      </c>
      <c r="F156" s="8" t="n">
        <v>785600</v>
      </c>
      <c r="G156" s="2" t="n">
        <v>15</v>
      </c>
      <c r="H156" s="7" t="n">
        <v>46213</v>
      </c>
      <c r="I156" s="2" t="n"/>
      <c r="J156" s="2" t="inlineStr">
        <is>
          <t>Pending</t>
        </is>
      </c>
      <c r="K156" s="2" t="inlineStr">
        <is>
          <t>No</t>
        </is>
      </c>
      <c r="L156" s="9" t="n">
        <v>0</v>
      </c>
      <c r="M156" s="2" t="inlineStr">
        <is>
          <t>Received</t>
        </is>
      </c>
      <c r="N156" s="2" t="inlineStr">
        <is>
          <t>Approved</t>
        </is>
      </c>
      <c r="O156" s="2" t="n"/>
      <c r="P156" s="2" t="n"/>
      <c r="Q156" s="2" t="n"/>
      <c r="R156" s="2" t="n"/>
    </row>
    <row r="157">
      <c r="A157" s="2" t="inlineStr">
        <is>
          <t>INV00154</t>
        </is>
      </c>
      <c r="B157" s="7" t="n">
        <v>46274</v>
      </c>
      <c r="C157" s="2" t="inlineStr">
        <is>
          <t>Zoho</t>
        </is>
      </c>
      <c r="D157" s="2" t="inlineStr">
        <is>
          <t>Marketing</t>
        </is>
      </c>
      <c r="E157" s="2" t="inlineStr">
        <is>
          <t>Travel</t>
        </is>
      </c>
      <c r="F157" s="8" t="n">
        <v>38600</v>
      </c>
      <c r="G157" s="2" t="n">
        <v>45</v>
      </c>
      <c r="H157" s="7" t="n">
        <v>46319</v>
      </c>
      <c r="I157" s="7" t="n">
        <v>46324</v>
      </c>
      <c r="J157" s="2" t="inlineStr">
        <is>
          <t>Paid</t>
        </is>
      </c>
      <c r="K157" s="2" t="inlineStr">
        <is>
          <t>No</t>
        </is>
      </c>
      <c r="L157" s="9" t="n">
        <v>0</v>
      </c>
      <c r="M157" s="2" t="inlineStr">
        <is>
          <t>Received</t>
        </is>
      </c>
      <c r="N157" s="2" t="inlineStr">
        <is>
          <t>Approved</t>
        </is>
      </c>
      <c r="O157" s="2" t="n"/>
      <c r="P157" s="2" t="n"/>
      <c r="Q157" s="2" t="n"/>
      <c r="R157" s="2" t="n"/>
    </row>
    <row r="158">
      <c r="A158" s="2" t="inlineStr">
        <is>
          <t>INV00155</t>
        </is>
      </c>
      <c r="B158" s="7" t="n">
        <v>46214</v>
      </c>
      <c r="C158" s="2" t="inlineStr">
        <is>
          <t>Wipro</t>
        </is>
      </c>
      <c r="D158" s="2" t="inlineStr">
        <is>
          <t>Operations</t>
        </is>
      </c>
      <c r="E158" s="2" t="inlineStr">
        <is>
          <t>Software</t>
        </is>
      </c>
      <c r="F158" s="8" t="n">
        <v>6300</v>
      </c>
      <c r="G158" s="2" t="n">
        <v>30</v>
      </c>
      <c r="H158" s="7" t="n">
        <v>46244</v>
      </c>
      <c r="I158" s="7" t="n">
        <v>46304</v>
      </c>
      <c r="J158" s="2" t="inlineStr">
        <is>
          <t>Paid</t>
        </is>
      </c>
      <c r="K158" s="2" t="inlineStr">
        <is>
          <t>No</t>
        </is>
      </c>
      <c r="L158" s="9" t="n">
        <v>0</v>
      </c>
      <c r="M158" s="2" t="inlineStr">
        <is>
          <t>Received</t>
        </is>
      </c>
      <c r="N158" s="2" t="inlineStr">
        <is>
          <t>Approved</t>
        </is>
      </c>
      <c r="O158" s="2" t="n"/>
      <c r="P158" s="2" t="n"/>
      <c r="Q158" s="2" t="n"/>
      <c r="R158" s="2" t="n"/>
    </row>
    <row r="159">
      <c r="A159" s="2" t="inlineStr">
        <is>
          <t>INV00156</t>
        </is>
      </c>
      <c r="B159" s="7" t="n">
        <v>46153</v>
      </c>
      <c r="C159" s="2" t="inlineStr">
        <is>
          <t>Infosys</t>
        </is>
      </c>
      <c r="D159" s="2" t="inlineStr">
        <is>
          <t>Sales</t>
        </is>
      </c>
      <c r="E159" s="2" t="inlineStr">
        <is>
          <t>Software</t>
        </is>
      </c>
      <c r="F159" s="8" t="n">
        <v>164800</v>
      </c>
      <c r="G159" s="2" t="n">
        <v>15</v>
      </c>
      <c r="H159" s="7" t="n">
        <v>46168</v>
      </c>
      <c r="I159" s="2" t="n"/>
      <c r="J159" s="2" t="inlineStr">
        <is>
          <t>Pending</t>
        </is>
      </c>
      <c r="K159" s="2" t="inlineStr">
        <is>
          <t>Yes</t>
        </is>
      </c>
      <c r="L159" s="9" t="n">
        <v>0.02</v>
      </c>
      <c r="M159" s="2" t="inlineStr">
        <is>
          <t>Pending</t>
        </is>
      </c>
      <c r="N159" s="2" t="inlineStr">
        <is>
          <t>Approved</t>
        </is>
      </c>
      <c r="O159" s="2" t="n"/>
      <c r="P159" s="2" t="n"/>
      <c r="Q159" s="2" t="n"/>
      <c r="R159" s="2" t="n"/>
    </row>
    <row r="160">
      <c r="A160" s="2" t="inlineStr">
        <is>
          <t>INV00157</t>
        </is>
      </c>
      <c r="B160" s="7" t="n">
        <v>46049</v>
      </c>
      <c r="C160" s="2" t="inlineStr">
        <is>
          <t>Adobe</t>
        </is>
      </c>
      <c r="D160" s="2" t="inlineStr">
        <is>
          <t>Operations</t>
        </is>
      </c>
      <c r="E160" s="2" t="inlineStr">
        <is>
          <t>Cloud</t>
        </is>
      </c>
      <c r="F160" s="8" t="n">
        <v>219800</v>
      </c>
      <c r="G160" s="2" t="n">
        <v>45</v>
      </c>
      <c r="H160" s="7" t="n">
        <v>46094</v>
      </c>
      <c r="I160" s="2" t="n"/>
      <c r="J160" s="2" t="inlineStr">
        <is>
          <t>Pending</t>
        </is>
      </c>
      <c r="K160" s="2" t="inlineStr">
        <is>
          <t>Yes</t>
        </is>
      </c>
      <c r="L160" s="9" t="n">
        <v>0.02</v>
      </c>
      <c r="M160" s="2" t="inlineStr">
        <is>
          <t>Received</t>
        </is>
      </c>
      <c r="N160" s="2" t="inlineStr">
        <is>
          <t>Approved</t>
        </is>
      </c>
      <c r="O160" s="2" t="n"/>
      <c r="P160" s="2" t="n"/>
      <c r="Q160" s="2" t="n"/>
      <c r="R160" s="2" t="n"/>
    </row>
    <row r="161">
      <c r="A161" s="2" t="inlineStr">
        <is>
          <t>INV00158</t>
        </is>
      </c>
      <c r="B161" s="7" t="n">
        <v>46281</v>
      </c>
      <c r="C161" s="2" t="inlineStr">
        <is>
          <t>Zoho</t>
        </is>
      </c>
      <c r="D161" s="2" t="inlineStr">
        <is>
          <t>Finance</t>
        </is>
      </c>
      <c r="E161" s="2" t="inlineStr">
        <is>
          <t>Facilities</t>
        </is>
      </c>
      <c r="F161" s="8" t="n">
        <v>856600</v>
      </c>
      <c r="G161" s="2" t="n">
        <v>60</v>
      </c>
      <c r="H161" s="7" t="n">
        <v>46341</v>
      </c>
      <c r="I161" s="7" t="n">
        <v>46341</v>
      </c>
      <c r="J161" s="2" t="inlineStr">
        <is>
          <t>Paid</t>
        </is>
      </c>
      <c r="K161" s="2" t="inlineStr">
        <is>
          <t>Yes</t>
        </is>
      </c>
      <c r="L161" s="9" t="n">
        <v>0.02</v>
      </c>
      <c r="M161" s="2" t="inlineStr">
        <is>
          <t>Received</t>
        </is>
      </c>
      <c r="N161" s="2" t="inlineStr">
        <is>
          <t>Approved</t>
        </is>
      </c>
      <c r="O161" s="2" t="n"/>
      <c r="P161" s="2" t="n"/>
      <c r="Q161" s="2" t="n"/>
      <c r="R161" s="2" t="n"/>
    </row>
    <row r="162">
      <c r="A162" s="2" t="inlineStr">
        <is>
          <t>INV00159</t>
        </is>
      </c>
      <c r="B162" s="7" t="n">
        <v>46161</v>
      </c>
      <c r="C162" s="2" t="inlineStr">
        <is>
          <t>SAP</t>
        </is>
      </c>
      <c r="D162" s="2" t="inlineStr">
        <is>
          <t>Finance</t>
        </is>
      </c>
      <c r="E162" s="2" t="inlineStr">
        <is>
          <t>Cloud</t>
        </is>
      </c>
      <c r="F162" s="8" t="n">
        <v>207600</v>
      </c>
      <c r="G162" s="2" t="n">
        <v>60</v>
      </c>
      <c r="H162" s="7" t="n">
        <v>46221</v>
      </c>
      <c r="I162" s="7" t="n">
        <v>46221</v>
      </c>
      <c r="J162" s="2" t="inlineStr">
        <is>
          <t>Paid</t>
        </is>
      </c>
      <c r="K162" s="2" t="inlineStr">
        <is>
          <t>No</t>
        </is>
      </c>
      <c r="L162" s="9" t="n">
        <v>0</v>
      </c>
      <c r="M162" s="2" t="inlineStr">
        <is>
          <t>Received</t>
        </is>
      </c>
      <c r="N162" s="2" t="inlineStr">
        <is>
          <t>Pending</t>
        </is>
      </c>
      <c r="O162" s="2" t="n"/>
      <c r="P162" s="2" t="n"/>
      <c r="Q162" s="2" t="n"/>
      <c r="R162" s="2" t="n"/>
    </row>
    <row r="163">
      <c r="A163" s="2" t="inlineStr">
        <is>
          <t>INV00160</t>
        </is>
      </c>
      <c r="B163" s="7" t="n">
        <v>46031</v>
      </c>
      <c r="C163" s="2" t="inlineStr">
        <is>
          <t>Adobe</t>
        </is>
      </c>
      <c r="D163" s="2" t="inlineStr">
        <is>
          <t>Finance</t>
        </is>
      </c>
      <c r="E163" s="2" t="inlineStr">
        <is>
          <t>Professional Services</t>
        </is>
      </c>
      <c r="F163" s="8" t="n">
        <v>238700</v>
      </c>
      <c r="G163" s="2" t="n">
        <v>45</v>
      </c>
      <c r="H163" s="7" t="n">
        <v>46076</v>
      </c>
      <c r="I163" s="7" t="n">
        <v>46076</v>
      </c>
      <c r="J163" s="2" t="inlineStr">
        <is>
          <t>Paid</t>
        </is>
      </c>
      <c r="K163" s="2" t="inlineStr">
        <is>
          <t>Yes</t>
        </is>
      </c>
      <c r="L163" s="9" t="n">
        <v>0.02</v>
      </c>
      <c r="M163" s="2" t="inlineStr">
        <is>
          <t>Received</t>
        </is>
      </c>
      <c r="N163" s="2" t="inlineStr">
        <is>
          <t>Approved</t>
        </is>
      </c>
      <c r="O163" s="2" t="n"/>
      <c r="P163" s="2" t="n"/>
      <c r="Q163" s="2" t="n"/>
      <c r="R163" s="2" t="n"/>
    </row>
    <row r="164">
      <c r="A164" s="2" t="inlineStr">
        <is>
          <t>INV00161</t>
        </is>
      </c>
      <c r="B164" s="7" t="n">
        <v>46094</v>
      </c>
      <c r="C164" s="2" t="inlineStr">
        <is>
          <t>SAP</t>
        </is>
      </c>
      <c r="D164" s="2" t="inlineStr">
        <is>
          <t>Marketing</t>
        </is>
      </c>
      <c r="E164" s="2" t="inlineStr">
        <is>
          <t>Travel</t>
        </is>
      </c>
      <c r="F164" s="8" t="n">
        <v>729000</v>
      </c>
      <c r="G164" s="2" t="n">
        <v>45</v>
      </c>
      <c r="H164" s="7" t="n">
        <v>46139</v>
      </c>
      <c r="I164" s="7" t="n">
        <v>46139</v>
      </c>
      <c r="J164" s="2" t="inlineStr">
        <is>
          <t>Paid</t>
        </is>
      </c>
      <c r="K164" s="2" t="inlineStr">
        <is>
          <t>No</t>
        </is>
      </c>
      <c r="L164" s="9" t="n">
        <v>0</v>
      </c>
      <c r="M164" s="2" t="inlineStr">
        <is>
          <t>Received</t>
        </is>
      </c>
      <c r="N164" s="2" t="inlineStr">
        <is>
          <t>Approved</t>
        </is>
      </c>
      <c r="O164" s="2" t="n"/>
      <c r="P164" s="2" t="n"/>
      <c r="Q164" s="2" t="n"/>
      <c r="R164" s="2" t="n"/>
    </row>
    <row r="165">
      <c r="A165" s="2" t="inlineStr">
        <is>
          <t>INV00162</t>
        </is>
      </c>
      <c r="B165" s="7" t="n">
        <v>46307</v>
      </c>
      <c r="C165" s="2" t="inlineStr">
        <is>
          <t>Adobe</t>
        </is>
      </c>
      <c r="D165" s="2" t="inlineStr">
        <is>
          <t>Sales</t>
        </is>
      </c>
      <c r="E165" s="2" t="inlineStr">
        <is>
          <t>Office Supplies</t>
        </is>
      </c>
      <c r="F165" s="8" t="n">
        <v>190600</v>
      </c>
      <c r="G165" s="2" t="n">
        <v>60</v>
      </c>
      <c r="H165" s="7" t="n">
        <v>46367</v>
      </c>
      <c r="I165" s="2" t="n"/>
      <c r="J165" s="2" t="inlineStr">
        <is>
          <t>Pending</t>
        </is>
      </c>
      <c r="K165" s="2" t="inlineStr">
        <is>
          <t>No</t>
        </is>
      </c>
      <c r="L165" s="9" t="n">
        <v>0</v>
      </c>
      <c r="M165" s="2" t="inlineStr">
        <is>
          <t>Received</t>
        </is>
      </c>
      <c r="N165" s="2" t="inlineStr">
        <is>
          <t>Approved</t>
        </is>
      </c>
      <c r="O165" s="2" t="n"/>
      <c r="P165" s="2" t="n"/>
      <c r="Q165" s="2" t="n"/>
      <c r="R165" s="2" t="n"/>
    </row>
    <row r="166">
      <c r="A166" s="2" t="inlineStr">
        <is>
          <t>INV00163</t>
        </is>
      </c>
      <c r="B166" s="7" t="n">
        <v>46280</v>
      </c>
      <c r="C166" s="2" t="inlineStr">
        <is>
          <t>Google Cloud</t>
        </is>
      </c>
      <c r="D166" s="2" t="inlineStr">
        <is>
          <t>Sales</t>
        </is>
      </c>
      <c r="E166" s="2" t="inlineStr">
        <is>
          <t>Consulting</t>
        </is>
      </c>
      <c r="F166" s="8" t="n">
        <v>229700</v>
      </c>
      <c r="G166" s="2" t="n">
        <v>15</v>
      </c>
      <c r="H166" s="7" t="n">
        <v>46295</v>
      </c>
      <c r="I166" s="7" t="n">
        <v>46295</v>
      </c>
      <c r="J166" s="2" t="inlineStr">
        <is>
          <t>Paid</t>
        </is>
      </c>
      <c r="K166" s="2" t="inlineStr">
        <is>
          <t>Yes</t>
        </is>
      </c>
      <c r="L166" s="9" t="n">
        <v>0.02</v>
      </c>
      <c r="M166" s="2" t="inlineStr">
        <is>
          <t>Received</t>
        </is>
      </c>
      <c r="N166" s="2" t="inlineStr">
        <is>
          <t>Approved</t>
        </is>
      </c>
      <c r="O166" s="2" t="n"/>
      <c r="P166" s="2" t="n"/>
      <c r="Q166" s="2" t="n"/>
      <c r="R166" s="2" t="n"/>
    </row>
    <row r="167">
      <c r="A167" s="2" t="inlineStr">
        <is>
          <t>INV00164</t>
        </is>
      </c>
      <c r="B167" s="7" t="n">
        <v>46135</v>
      </c>
      <c r="C167" s="2" t="inlineStr">
        <is>
          <t>Accenture</t>
        </is>
      </c>
      <c r="D167" s="2" t="inlineStr">
        <is>
          <t>Operations</t>
        </is>
      </c>
      <c r="E167" s="2" t="inlineStr">
        <is>
          <t>Software</t>
        </is>
      </c>
      <c r="F167" s="8" t="n">
        <v>590100</v>
      </c>
      <c r="G167" s="2" t="n">
        <v>60</v>
      </c>
      <c r="H167" s="7" t="n">
        <v>46195</v>
      </c>
      <c r="I167" s="7" t="n">
        <v>46195</v>
      </c>
      <c r="J167" s="2" t="inlineStr">
        <is>
          <t>Paid</t>
        </is>
      </c>
      <c r="K167" s="2" t="inlineStr">
        <is>
          <t>No</t>
        </is>
      </c>
      <c r="L167" s="9" t="n">
        <v>0</v>
      </c>
      <c r="M167" s="2" t="inlineStr">
        <is>
          <t>Received</t>
        </is>
      </c>
      <c r="N167" s="2" t="inlineStr">
        <is>
          <t>Approved</t>
        </is>
      </c>
      <c r="O167" s="2" t="n"/>
      <c r="P167" s="2" t="n"/>
      <c r="Q167" s="2" t="n"/>
      <c r="R167" s="2" t="n"/>
    </row>
    <row r="168">
      <c r="A168" s="2" t="inlineStr">
        <is>
          <t>INV00165</t>
        </is>
      </c>
      <c r="B168" s="7" t="n">
        <v>46212</v>
      </c>
      <c r="C168" s="2" t="inlineStr">
        <is>
          <t>HCLTech</t>
        </is>
      </c>
      <c r="D168" s="2" t="inlineStr">
        <is>
          <t>IT</t>
        </is>
      </c>
      <c r="E168" s="2" t="inlineStr">
        <is>
          <t>Travel</t>
        </is>
      </c>
      <c r="F168" s="8" t="n">
        <v>284000</v>
      </c>
      <c r="G168" s="2" t="n">
        <v>30</v>
      </c>
      <c r="H168" s="7" t="n">
        <v>46242</v>
      </c>
      <c r="I168" s="7" t="n">
        <v>46242</v>
      </c>
      <c r="J168" s="2" t="inlineStr">
        <is>
          <t>Paid</t>
        </is>
      </c>
      <c r="K168" s="2" t="inlineStr">
        <is>
          <t>Yes</t>
        </is>
      </c>
      <c r="L168" s="9" t="n">
        <v>0.02</v>
      </c>
      <c r="M168" s="2" t="inlineStr">
        <is>
          <t>Pending</t>
        </is>
      </c>
      <c r="N168" s="2" t="inlineStr">
        <is>
          <t>Pending</t>
        </is>
      </c>
      <c r="O168" s="2" t="n"/>
      <c r="P168" s="2" t="n"/>
      <c r="Q168" s="2" t="n"/>
      <c r="R168" s="2" t="n"/>
    </row>
    <row r="169">
      <c r="A169" s="2" t="inlineStr">
        <is>
          <t>INV00166</t>
        </is>
      </c>
      <c r="B169" s="7" t="n">
        <v>46236</v>
      </c>
      <c r="C169" s="2" t="inlineStr">
        <is>
          <t>Infosys</t>
        </is>
      </c>
      <c r="D169" s="2" t="inlineStr">
        <is>
          <t>Operations</t>
        </is>
      </c>
      <c r="E169" s="2" t="inlineStr">
        <is>
          <t>Cloud</t>
        </is>
      </c>
      <c r="F169" s="8" t="n">
        <v>983700</v>
      </c>
      <c r="G169" s="2" t="n">
        <v>30</v>
      </c>
      <c r="H169" s="7" t="n">
        <v>46266</v>
      </c>
      <c r="I169" s="7" t="n">
        <v>46326</v>
      </c>
      <c r="J169" s="2" t="inlineStr">
        <is>
          <t>Paid</t>
        </is>
      </c>
      <c r="K169" s="2" t="inlineStr">
        <is>
          <t>No</t>
        </is>
      </c>
      <c r="L169" s="9" t="n">
        <v>0</v>
      </c>
      <c r="M169" s="2" t="inlineStr">
        <is>
          <t>Pending</t>
        </is>
      </c>
      <c r="N169" s="2" t="inlineStr">
        <is>
          <t>Approved</t>
        </is>
      </c>
      <c r="O169" s="2" t="n"/>
      <c r="P169" s="2" t="n"/>
      <c r="Q169" s="2" t="n"/>
      <c r="R169" s="2" t="n"/>
    </row>
    <row r="170">
      <c r="A170" s="2" t="inlineStr">
        <is>
          <t>INV00167</t>
        </is>
      </c>
      <c r="B170" s="7" t="n">
        <v>46075</v>
      </c>
      <c r="C170" s="2" t="inlineStr">
        <is>
          <t>SAP</t>
        </is>
      </c>
      <c r="D170" s="2" t="inlineStr">
        <is>
          <t>Marketing</t>
        </is>
      </c>
      <c r="E170" s="2" t="inlineStr">
        <is>
          <t>Cloud</t>
        </is>
      </c>
      <c r="F170" s="8" t="n">
        <v>994600</v>
      </c>
      <c r="G170" s="2" t="n">
        <v>45</v>
      </c>
      <c r="H170" s="7" t="n">
        <v>46120</v>
      </c>
      <c r="I170" s="7" t="n">
        <v>46135</v>
      </c>
      <c r="J170" s="2" t="inlineStr">
        <is>
          <t>Paid</t>
        </is>
      </c>
      <c r="K170" s="2" t="inlineStr">
        <is>
          <t>Yes</t>
        </is>
      </c>
      <c r="L170" s="9" t="n">
        <v>0.02</v>
      </c>
      <c r="M170" s="2" t="inlineStr">
        <is>
          <t>Received</t>
        </is>
      </c>
      <c r="N170" s="2" t="inlineStr">
        <is>
          <t>Approved</t>
        </is>
      </c>
      <c r="O170" s="2" t="n"/>
      <c r="P170" s="2" t="n"/>
      <c r="Q170" s="2" t="n"/>
      <c r="R170" s="2" t="n"/>
    </row>
    <row r="171">
      <c r="A171" s="2" t="inlineStr">
        <is>
          <t>INV00168</t>
        </is>
      </c>
      <c r="B171" s="7" t="n">
        <v>46157</v>
      </c>
      <c r="C171" s="2" t="inlineStr">
        <is>
          <t>SAP</t>
        </is>
      </c>
      <c r="D171" s="2" t="inlineStr">
        <is>
          <t>Sales</t>
        </is>
      </c>
      <c r="E171" s="2" t="inlineStr">
        <is>
          <t>Office Supplies</t>
        </is>
      </c>
      <c r="F171" s="8" t="n">
        <v>135300</v>
      </c>
      <c r="G171" s="2" t="n">
        <v>60</v>
      </c>
      <c r="H171" s="7" t="n">
        <v>46217</v>
      </c>
      <c r="I171" s="7" t="n">
        <v>46217</v>
      </c>
      <c r="J171" s="2" t="inlineStr">
        <is>
          <t>Paid</t>
        </is>
      </c>
      <c r="K171" s="2" t="inlineStr">
        <is>
          <t>Yes</t>
        </is>
      </c>
      <c r="L171" s="9" t="n">
        <v>0.02</v>
      </c>
      <c r="M171" s="2" t="inlineStr">
        <is>
          <t>Received</t>
        </is>
      </c>
      <c r="N171" s="2" t="inlineStr">
        <is>
          <t>Approved</t>
        </is>
      </c>
      <c r="O171" s="2" t="n"/>
      <c r="P171" s="2" t="n"/>
      <c r="Q171" s="2" t="n"/>
      <c r="R171" s="2" t="n"/>
    </row>
    <row r="172">
      <c r="A172" s="2" t="inlineStr">
        <is>
          <t>INV00169</t>
        </is>
      </c>
      <c r="B172" s="7" t="n">
        <v>46048</v>
      </c>
      <c r="C172" s="2" t="inlineStr">
        <is>
          <t>SAP</t>
        </is>
      </c>
      <c r="D172" s="2" t="inlineStr">
        <is>
          <t>Operations</t>
        </is>
      </c>
      <c r="E172" s="2" t="inlineStr">
        <is>
          <t>Office Supplies</t>
        </is>
      </c>
      <c r="F172" s="8" t="n">
        <v>64000</v>
      </c>
      <c r="G172" s="2" t="n">
        <v>15</v>
      </c>
      <c r="H172" s="7" t="n">
        <v>46063</v>
      </c>
      <c r="I172" s="7" t="n">
        <v>46068</v>
      </c>
      <c r="J172" s="2" t="inlineStr">
        <is>
          <t>Paid</t>
        </is>
      </c>
      <c r="K172" s="2" t="inlineStr">
        <is>
          <t>No</t>
        </is>
      </c>
      <c r="L172" s="9" t="n">
        <v>0</v>
      </c>
      <c r="M172" s="2" t="inlineStr">
        <is>
          <t>Received</t>
        </is>
      </c>
      <c r="N172" s="2" t="inlineStr">
        <is>
          <t>Approved</t>
        </is>
      </c>
      <c r="O172" s="2" t="n"/>
      <c r="P172" s="2" t="n"/>
      <c r="Q172" s="2" t="n"/>
      <c r="R172" s="2" t="n"/>
    </row>
    <row r="173">
      <c r="A173" s="2" t="inlineStr">
        <is>
          <t>INV00170</t>
        </is>
      </c>
      <c r="B173" s="7" t="n">
        <v>46242</v>
      </c>
      <c r="C173" s="2" t="inlineStr">
        <is>
          <t>Google Cloud</t>
        </is>
      </c>
      <c r="D173" s="2" t="inlineStr">
        <is>
          <t>Finance</t>
        </is>
      </c>
      <c r="E173" s="2" t="inlineStr">
        <is>
          <t>Facilities</t>
        </is>
      </c>
      <c r="F173" s="8" t="n">
        <v>39300</v>
      </c>
      <c r="G173" s="2" t="n">
        <v>15</v>
      </c>
      <c r="H173" s="7" t="n">
        <v>46257</v>
      </c>
      <c r="I173" s="2" t="n"/>
      <c r="J173" s="2" t="inlineStr">
        <is>
          <t>Pending</t>
        </is>
      </c>
      <c r="K173" s="2" t="inlineStr">
        <is>
          <t>No</t>
        </is>
      </c>
      <c r="L173" s="9" t="n">
        <v>0</v>
      </c>
      <c r="M173" s="2" t="inlineStr">
        <is>
          <t>Received</t>
        </is>
      </c>
      <c r="N173" s="2" t="inlineStr">
        <is>
          <t>Approved</t>
        </is>
      </c>
      <c r="O173" s="2" t="n"/>
      <c r="P173" s="2" t="n"/>
      <c r="Q173" s="2" t="n"/>
      <c r="R173" s="2" t="n"/>
    </row>
    <row r="174">
      <c r="A174" s="2" t="inlineStr">
        <is>
          <t>INV00171</t>
        </is>
      </c>
      <c r="B174" s="7" t="n">
        <v>46353</v>
      </c>
      <c r="C174" s="2" t="inlineStr">
        <is>
          <t>Oracle</t>
        </is>
      </c>
      <c r="D174" s="2" t="inlineStr">
        <is>
          <t>Finance</t>
        </is>
      </c>
      <c r="E174" s="2" t="inlineStr">
        <is>
          <t>Consulting</t>
        </is>
      </c>
      <c r="F174" s="8" t="n">
        <v>640900</v>
      </c>
      <c r="G174" s="2" t="n">
        <v>30</v>
      </c>
      <c r="H174" s="7" t="n">
        <v>46383</v>
      </c>
      <c r="I174" s="7" t="n">
        <v>46383</v>
      </c>
      <c r="J174" s="2" t="inlineStr">
        <is>
          <t>Paid</t>
        </is>
      </c>
      <c r="K174" s="2" t="inlineStr">
        <is>
          <t>No</t>
        </is>
      </c>
      <c r="L174" s="9" t="n">
        <v>0</v>
      </c>
      <c r="M174" s="2" t="inlineStr">
        <is>
          <t>Received</t>
        </is>
      </c>
      <c r="N174" s="2" t="inlineStr">
        <is>
          <t>Pending</t>
        </is>
      </c>
      <c r="O174" s="2" t="n"/>
      <c r="P174" s="2" t="n"/>
      <c r="Q174" s="2" t="n"/>
      <c r="R174" s="2" t="n"/>
    </row>
    <row r="175">
      <c r="A175" s="2" t="inlineStr">
        <is>
          <t>INV00172</t>
        </is>
      </c>
      <c r="B175" s="7" t="n">
        <v>46348</v>
      </c>
      <c r="C175" s="2" t="inlineStr">
        <is>
          <t>Adobe</t>
        </is>
      </c>
      <c r="D175" s="2" t="inlineStr">
        <is>
          <t>Marketing</t>
        </is>
      </c>
      <c r="E175" s="2" t="inlineStr">
        <is>
          <t>Professional Services</t>
        </is>
      </c>
      <c r="F175" s="8" t="n">
        <v>956200</v>
      </c>
      <c r="G175" s="2" t="n">
        <v>15</v>
      </c>
      <c r="H175" s="7" t="n">
        <v>46363</v>
      </c>
      <c r="I175" s="2" t="n"/>
      <c r="J175" s="2" t="inlineStr">
        <is>
          <t>Pending</t>
        </is>
      </c>
      <c r="K175" s="2" t="inlineStr">
        <is>
          <t>Yes</t>
        </is>
      </c>
      <c r="L175" s="9" t="n">
        <v>0.02</v>
      </c>
      <c r="M175" s="2" t="inlineStr">
        <is>
          <t>Received</t>
        </is>
      </c>
      <c r="N175" s="2" t="inlineStr">
        <is>
          <t>Approved</t>
        </is>
      </c>
      <c r="O175" s="2" t="n"/>
      <c r="P175" s="2" t="n"/>
      <c r="Q175" s="2" t="n"/>
      <c r="R175" s="2" t="n"/>
    </row>
    <row r="176">
      <c r="A176" s="2" t="inlineStr">
        <is>
          <t>INV00173</t>
        </is>
      </c>
      <c r="B176" s="7" t="n">
        <v>46209</v>
      </c>
      <c r="C176" s="2" t="inlineStr">
        <is>
          <t>Cognizant</t>
        </is>
      </c>
      <c r="D176" s="2" t="inlineStr">
        <is>
          <t>Marketing</t>
        </is>
      </c>
      <c r="E176" s="2" t="inlineStr">
        <is>
          <t>Professional Services</t>
        </is>
      </c>
      <c r="F176" s="8" t="n">
        <v>213100</v>
      </c>
      <c r="G176" s="2" t="n">
        <v>30</v>
      </c>
      <c r="H176" s="7" t="n">
        <v>46239</v>
      </c>
      <c r="I176" s="2" t="n"/>
      <c r="J176" s="2" t="inlineStr">
        <is>
          <t>Pending</t>
        </is>
      </c>
      <c r="K176" s="2" t="inlineStr">
        <is>
          <t>No</t>
        </is>
      </c>
      <c r="L176" s="9" t="n">
        <v>0</v>
      </c>
      <c r="M176" s="2" t="inlineStr">
        <is>
          <t>Received</t>
        </is>
      </c>
      <c r="N176" s="2" t="inlineStr">
        <is>
          <t>Pending</t>
        </is>
      </c>
      <c r="O176" s="2" t="n"/>
      <c r="P176" s="2" t="n"/>
      <c r="Q176" s="2" t="n"/>
      <c r="R176" s="2" t="n"/>
    </row>
    <row r="177">
      <c r="A177" s="2" t="inlineStr">
        <is>
          <t>INV00174</t>
        </is>
      </c>
      <c r="B177" s="7" t="n">
        <v>46282</v>
      </c>
      <c r="C177" s="2" t="inlineStr">
        <is>
          <t>Deloitte</t>
        </is>
      </c>
      <c r="D177" s="2" t="inlineStr">
        <is>
          <t>Operations</t>
        </is>
      </c>
      <c r="E177" s="2" t="inlineStr">
        <is>
          <t>Cloud</t>
        </is>
      </c>
      <c r="F177" s="8" t="n">
        <v>735000</v>
      </c>
      <c r="G177" s="2" t="n">
        <v>45</v>
      </c>
      <c r="H177" s="7" t="n">
        <v>46327</v>
      </c>
      <c r="I177" s="2" t="n"/>
      <c r="J177" s="2" t="inlineStr">
        <is>
          <t>Pending</t>
        </is>
      </c>
      <c r="K177" s="2" t="inlineStr">
        <is>
          <t>Yes</t>
        </is>
      </c>
      <c r="L177" s="9" t="n">
        <v>0.02</v>
      </c>
      <c r="M177" s="2" t="inlineStr">
        <is>
          <t>Received</t>
        </is>
      </c>
      <c r="N177" s="2" t="inlineStr">
        <is>
          <t>Approved</t>
        </is>
      </c>
      <c r="O177" s="2" t="n"/>
      <c r="P177" s="2" t="n"/>
      <c r="Q177" s="2" t="n"/>
      <c r="R177" s="2" t="n"/>
    </row>
    <row r="178">
      <c r="A178" s="2" t="inlineStr">
        <is>
          <t>INV00175</t>
        </is>
      </c>
      <c r="B178" s="7" t="n">
        <v>46155</v>
      </c>
      <c r="C178" s="2" t="inlineStr">
        <is>
          <t>SAP</t>
        </is>
      </c>
      <c r="D178" s="2" t="inlineStr">
        <is>
          <t>Marketing</t>
        </is>
      </c>
      <c r="E178" s="2" t="inlineStr">
        <is>
          <t>Office Supplies</t>
        </is>
      </c>
      <c r="F178" s="8" t="n">
        <v>219000</v>
      </c>
      <c r="G178" s="2" t="n">
        <v>15</v>
      </c>
      <c r="H178" s="7" t="n">
        <v>46170</v>
      </c>
      <c r="I178" s="7" t="n">
        <v>46200</v>
      </c>
      <c r="J178" s="2" t="inlineStr">
        <is>
          <t>Paid</t>
        </is>
      </c>
      <c r="K178" s="2" t="inlineStr">
        <is>
          <t>Yes</t>
        </is>
      </c>
      <c r="L178" s="9" t="n">
        <v>0.02</v>
      </c>
      <c r="M178" s="2" t="inlineStr">
        <is>
          <t>Pending</t>
        </is>
      </c>
      <c r="N178" s="2" t="inlineStr">
        <is>
          <t>Approved</t>
        </is>
      </c>
      <c r="O178" s="2" t="n"/>
      <c r="P178" s="2" t="n"/>
      <c r="Q178" s="2" t="n"/>
      <c r="R178" s="2" t="n"/>
    </row>
    <row r="179">
      <c r="A179" s="2" t="inlineStr">
        <is>
          <t>INV00176</t>
        </is>
      </c>
      <c r="B179" s="7" t="n">
        <v>46136</v>
      </c>
      <c r="C179" s="2" t="inlineStr">
        <is>
          <t>Amazon Web Services</t>
        </is>
      </c>
      <c r="D179" s="2" t="inlineStr">
        <is>
          <t>Sales</t>
        </is>
      </c>
      <c r="E179" s="2" t="inlineStr">
        <is>
          <t>Facilities</t>
        </is>
      </c>
      <c r="F179" s="8" t="n">
        <v>229000</v>
      </c>
      <c r="G179" s="2" t="n">
        <v>60</v>
      </c>
      <c r="H179" s="7" t="n">
        <v>46196</v>
      </c>
      <c r="I179" s="7" t="n">
        <v>46196</v>
      </c>
      <c r="J179" s="2" t="inlineStr">
        <is>
          <t>Paid</t>
        </is>
      </c>
      <c r="K179" s="2" t="inlineStr">
        <is>
          <t>Yes</t>
        </is>
      </c>
      <c r="L179" s="9" t="n">
        <v>0.02</v>
      </c>
      <c r="M179" s="2" t="inlineStr">
        <is>
          <t>Received</t>
        </is>
      </c>
      <c r="N179" s="2" t="inlineStr">
        <is>
          <t>Approved</t>
        </is>
      </c>
      <c r="O179" s="2" t="n"/>
      <c r="P179" s="2" t="n"/>
      <c r="Q179" s="2" t="n"/>
      <c r="R179" s="2" t="n"/>
    </row>
    <row r="180">
      <c r="A180" s="2" t="inlineStr">
        <is>
          <t>INV00177</t>
        </is>
      </c>
      <c r="B180" s="7" t="n">
        <v>46338</v>
      </c>
      <c r="C180" s="2" t="inlineStr">
        <is>
          <t>Infosys</t>
        </is>
      </c>
      <c r="D180" s="2" t="inlineStr">
        <is>
          <t>HR</t>
        </is>
      </c>
      <c r="E180" s="2" t="inlineStr">
        <is>
          <t>Consulting</t>
        </is>
      </c>
      <c r="F180" s="8" t="n">
        <v>852100</v>
      </c>
      <c r="G180" s="2" t="n">
        <v>60</v>
      </c>
      <c r="H180" s="7" t="n">
        <v>46398</v>
      </c>
      <c r="I180" s="2" t="n"/>
      <c r="J180" s="2" t="inlineStr">
        <is>
          <t>Pending</t>
        </is>
      </c>
      <c r="K180" s="2" t="inlineStr">
        <is>
          <t>Yes</t>
        </is>
      </c>
      <c r="L180" s="9" t="n">
        <v>0.02</v>
      </c>
      <c r="M180" s="2" t="inlineStr">
        <is>
          <t>Received</t>
        </is>
      </c>
      <c r="N180" s="2" t="inlineStr">
        <is>
          <t>Approved</t>
        </is>
      </c>
      <c r="O180" s="2" t="n"/>
      <c r="P180" s="2" t="n"/>
      <c r="Q180" s="2" t="n"/>
      <c r="R180" s="2" t="n"/>
    </row>
    <row r="181">
      <c r="A181" s="2" t="inlineStr">
        <is>
          <t>INV00178</t>
        </is>
      </c>
      <c r="B181" s="7" t="n">
        <v>46041</v>
      </c>
      <c r="C181" s="2" t="inlineStr">
        <is>
          <t>HCLTech</t>
        </is>
      </c>
      <c r="D181" s="2" t="inlineStr">
        <is>
          <t>Finance</t>
        </is>
      </c>
      <c r="E181" s="2" t="inlineStr">
        <is>
          <t>Travel</t>
        </is>
      </c>
      <c r="F181" s="8" t="n">
        <v>665000</v>
      </c>
      <c r="G181" s="2" t="n">
        <v>30</v>
      </c>
      <c r="H181" s="7" t="n">
        <v>46071</v>
      </c>
      <c r="I181" s="7" t="n">
        <v>46071</v>
      </c>
      <c r="J181" s="2" t="inlineStr">
        <is>
          <t>Paid</t>
        </is>
      </c>
      <c r="K181" s="2" t="inlineStr">
        <is>
          <t>Yes</t>
        </is>
      </c>
      <c r="L181" s="9" t="n">
        <v>0.02</v>
      </c>
      <c r="M181" s="2" t="inlineStr">
        <is>
          <t>Received</t>
        </is>
      </c>
      <c r="N181" s="2" t="inlineStr">
        <is>
          <t>Approved</t>
        </is>
      </c>
      <c r="O181" s="2" t="n"/>
      <c r="P181" s="2" t="n"/>
      <c r="Q181" s="2" t="n"/>
      <c r="R181" s="2" t="n"/>
    </row>
    <row r="182">
      <c r="A182" s="2" t="inlineStr">
        <is>
          <t>INV00179</t>
        </is>
      </c>
      <c r="B182" s="7" t="n">
        <v>46286</v>
      </c>
      <c r="C182" s="2" t="inlineStr">
        <is>
          <t>SAP</t>
        </is>
      </c>
      <c r="D182" s="2" t="inlineStr">
        <is>
          <t>HR</t>
        </is>
      </c>
      <c r="E182" s="2" t="inlineStr">
        <is>
          <t>Consulting</t>
        </is>
      </c>
      <c r="F182" s="8" t="n">
        <v>731300</v>
      </c>
      <c r="G182" s="2" t="n">
        <v>60</v>
      </c>
      <c r="H182" s="7" t="n">
        <v>46346</v>
      </c>
      <c r="I182" s="7" t="n">
        <v>46361</v>
      </c>
      <c r="J182" s="2" t="inlineStr">
        <is>
          <t>Paid</t>
        </is>
      </c>
      <c r="K182" s="2" t="inlineStr">
        <is>
          <t>No</t>
        </is>
      </c>
      <c r="L182" s="9" t="n">
        <v>0</v>
      </c>
      <c r="M182" s="2" t="inlineStr">
        <is>
          <t>Received</t>
        </is>
      </c>
      <c r="N182" s="2" t="inlineStr">
        <is>
          <t>Approved</t>
        </is>
      </c>
      <c r="O182" s="2" t="n"/>
      <c r="P182" s="2" t="n"/>
      <c r="Q182" s="2" t="n"/>
      <c r="R182" s="2" t="n"/>
    </row>
    <row r="183">
      <c r="A183" s="2" t="inlineStr">
        <is>
          <t>INV00180</t>
        </is>
      </c>
      <c r="B183" s="7" t="n">
        <v>46099</v>
      </c>
      <c r="C183" s="2" t="inlineStr">
        <is>
          <t>SAP</t>
        </is>
      </c>
      <c r="D183" s="2" t="inlineStr">
        <is>
          <t>IT</t>
        </is>
      </c>
      <c r="E183" s="2" t="inlineStr">
        <is>
          <t>Office Supplies</t>
        </is>
      </c>
      <c r="F183" s="8" t="n">
        <v>210600</v>
      </c>
      <c r="G183" s="2" t="n">
        <v>15</v>
      </c>
      <c r="H183" s="7" t="n">
        <v>46114</v>
      </c>
      <c r="I183" s="2" t="n"/>
      <c r="J183" s="2" t="inlineStr">
        <is>
          <t>Pending</t>
        </is>
      </c>
      <c r="K183" s="2" t="inlineStr">
        <is>
          <t>No</t>
        </is>
      </c>
      <c r="L183" s="9" t="n">
        <v>0</v>
      </c>
      <c r="M183" s="2" t="inlineStr">
        <is>
          <t>Received</t>
        </is>
      </c>
      <c r="N183" s="2" t="inlineStr">
        <is>
          <t>Approved</t>
        </is>
      </c>
      <c r="O183" s="2" t="n"/>
      <c r="P183" s="2" t="n"/>
      <c r="Q183" s="2" t="n"/>
      <c r="R183" s="2" t="n"/>
    </row>
    <row r="184">
      <c r="A184" s="2" t="inlineStr">
        <is>
          <t>INV00181</t>
        </is>
      </c>
      <c r="B184" s="7" t="n">
        <v>46361</v>
      </c>
      <c r="C184" s="2" t="inlineStr">
        <is>
          <t>Microsoft</t>
        </is>
      </c>
      <c r="D184" s="2" t="inlineStr">
        <is>
          <t>Finance</t>
        </is>
      </c>
      <c r="E184" s="2" t="inlineStr">
        <is>
          <t>Office Supplies</t>
        </is>
      </c>
      <c r="F184" s="8" t="n">
        <v>713400</v>
      </c>
      <c r="G184" s="2" t="n">
        <v>60</v>
      </c>
      <c r="H184" s="7" t="n">
        <v>46421</v>
      </c>
      <c r="I184" s="7" t="n">
        <v>46421</v>
      </c>
      <c r="J184" s="2" t="inlineStr">
        <is>
          <t>Paid</t>
        </is>
      </c>
      <c r="K184" s="2" t="inlineStr">
        <is>
          <t>No</t>
        </is>
      </c>
      <c r="L184" s="9" t="n">
        <v>0</v>
      </c>
      <c r="M184" s="2" t="inlineStr">
        <is>
          <t>Received</t>
        </is>
      </c>
      <c r="N184" s="2" t="inlineStr">
        <is>
          <t>Approved</t>
        </is>
      </c>
      <c r="O184" s="2" t="n"/>
      <c r="P184" s="2" t="n"/>
      <c r="Q184" s="2" t="n"/>
      <c r="R184" s="2" t="n"/>
    </row>
    <row r="185">
      <c r="A185" s="2" t="inlineStr">
        <is>
          <t>INV00182</t>
        </is>
      </c>
      <c r="B185" s="7" t="n">
        <v>46365</v>
      </c>
      <c r="C185" s="2" t="inlineStr">
        <is>
          <t>Google Cloud</t>
        </is>
      </c>
      <c r="D185" s="2" t="inlineStr">
        <is>
          <t>HR</t>
        </is>
      </c>
      <c r="E185" s="2" t="inlineStr">
        <is>
          <t>Software</t>
        </is>
      </c>
      <c r="F185" s="8" t="n">
        <v>202500</v>
      </c>
      <c r="G185" s="2" t="n">
        <v>60</v>
      </c>
      <c r="H185" s="7" t="n">
        <v>46425</v>
      </c>
      <c r="I185" s="2" t="n"/>
      <c r="J185" s="2" t="inlineStr">
        <is>
          <t>Pending</t>
        </is>
      </c>
      <c r="K185" s="2" t="inlineStr">
        <is>
          <t>No</t>
        </is>
      </c>
      <c r="L185" s="9" t="n">
        <v>0</v>
      </c>
      <c r="M185" s="2" t="inlineStr">
        <is>
          <t>Received</t>
        </is>
      </c>
      <c r="N185" s="2" t="inlineStr">
        <is>
          <t>Approved</t>
        </is>
      </c>
      <c r="O185" s="2" t="n"/>
      <c r="P185" s="2" t="n"/>
      <c r="Q185" s="2" t="n"/>
      <c r="R185" s="2" t="n"/>
    </row>
    <row r="186">
      <c r="A186" s="2" t="inlineStr">
        <is>
          <t>INV00183</t>
        </is>
      </c>
      <c r="B186" s="7" t="n">
        <v>46169</v>
      </c>
      <c r="C186" s="2" t="inlineStr">
        <is>
          <t>Oracle</t>
        </is>
      </c>
      <c r="D186" s="2" t="inlineStr">
        <is>
          <t>HR</t>
        </is>
      </c>
      <c r="E186" s="2" t="inlineStr">
        <is>
          <t>Facilities</t>
        </is>
      </c>
      <c r="F186" s="8" t="n">
        <v>969500</v>
      </c>
      <c r="G186" s="2" t="n">
        <v>60</v>
      </c>
      <c r="H186" s="7" t="n">
        <v>46229</v>
      </c>
      <c r="I186" s="7" t="n">
        <v>46319</v>
      </c>
      <c r="J186" s="2" t="inlineStr">
        <is>
          <t>Paid</t>
        </is>
      </c>
      <c r="K186" s="2" t="inlineStr">
        <is>
          <t>Yes</t>
        </is>
      </c>
      <c r="L186" s="9" t="n">
        <v>0.02</v>
      </c>
      <c r="M186" s="2" t="inlineStr">
        <is>
          <t>Received</t>
        </is>
      </c>
      <c r="N186" s="2" t="inlineStr">
        <is>
          <t>Approved</t>
        </is>
      </c>
      <c r="O186" s="2" t="n"/>
      <c r="P186" s="2" t="n"/>
      <c r="Q186" s="2" t="n"/>
      <c r="R186" s="2" t="n"/>
    </row>
    <row r="187">
      <c r="A187" s="2" t="inlineStr">
        <is>
          <t>INV00184</t>
        </is>
      </c>
      <c r="B187" s="7" t="n">
        <v>46354</v>
      </c>
      <c r="C187" s="2" t="inlineStr">
        <is>
          <t>SAP</t>
        </is>
      </c>
      <c r="D187" s="2" t="inlineStr">
        <is>
          <t>IT</t>
        </is>
      </c>
      <c r="E187" s="2" t="inlineStr">
        <is>
          <t>Software</t>
        </is>
      </c>
      <c r="F187" s="8" t="n">
        <v>97900</v>
      </c>
      <c r="G187" s="2" t="n">
        <v>60</v>
      </c>
      <c r="H187" s="7" t="n">
        <v>46414</v>
      </c>
      <c r="I187" s="7" t="n">
        <v>46429</v>
      </c>
      <c r="J187" s="2" t="inlineStr">
        <is>
          <t>Paid</t>
        </is>
      </c>
      <c r="K187" s="2" t="inlineStr">
        <is>
          <t>Yes</t>
        </is>
      </c>
      <c r="L187" s="9" t="n">
        <v>0.02</v>
      </c>
      <c r="M187" s="2" t="inlineStr">
        <is>
          <t>Received</t>
        </is>
      </c>
      <c r="N187" s="2" t="inlineStr">
        <is>
          <t>Approved</t>
        </is>
      </c>
      <c r="O187" s="2" t="n"/>
      <c r="P187" s="2" t="n"/>
      <c r="Q187" s="2" t="n"/>
      <c r="R187" s="2" t="n"/>
    </row>
    <row r="188">
      <c r="A188" s="2" t="inlineStr">
        <is>
          <t>INV00185</t>
        </is>
      </c>
      <c r="B188" s="7" t="n">
        <v>46192</v>
      </c>
      <c r="C188" s="2" t="inlineStr">
        <is>
          <t>HCLTech</t>
        </is>
      </c>
      <c r="D188" s="2" t="inlineStr">
        <is>
          <t>IT</t>
        </is>
      </c>
      <c r="E188" s="2" t="inlineStr">
        <is>
          <t>Office Supplies</t>
        </is>
      </c>
      <c r="F188" s="8" t="n">
        <v>926000</v>
      </c>
      <c r="G188" s="2" t="n">
        <v>15</v>
      </c>
      <c r="H188" s="7" t="n">
        <v>46207</v>
      </c>
      <c r="I188" s="7" t="n">
        <v>46267</v>
      </c>
      <c r="J188" s="2" t="inlineStr">
        <is>
          <t>Paid</t>
        </is>
      </c>
      <c r="K188" s="2" t="inlineStr">
        <is>
          <t>No</t>
        </is>
      </c>
      <c r="L188" s="9" t="n">
        <v>0</v>
      </c>
      <c r="M188" s="2" t="inlineStr">
        <is>
          <t>Received</t>
        </is>
      </c>
      <c r="N188" s="2" t="inlineStr">
        <is>
          <t>Approved</t>
        </is>
      </c>
      <c r="O188" s="2" t="n"/>
      <c r="P188" s="2" t="n"/>
      <c r="Q188" s="2" t="n"/>
      <c r="R188" s="2" t="n"/>
    </row>
    <row r="189">
      <c r="A189" s="2" t="inlineStr">
        <is>
          <t>INV00186</t>
        </is>
      </c>
      <c r="B189" s="7" t="n">
        <v>46328</v>
      </c>
      <c r="C189" s="2" t="inlineStr">
        <is>
          <t>Deloitte</t>
        </is>
      </c>
      <c r="D189" s="2" t="inlineStr">
        <is>
          <t>HR</t>
        </is>
      </c>
      <c r="E189" s="2" t="inlineStr">
        <is>
          <t>Software</t>
        </is>
      </c>
      <c r="F189" s="8" t="n">
        <v>814200</v>
      </c>
      <c r="G189" s="2" t="n">
        <v>30</v>
      </c>
      <c r="H189" s="7" t="n">
        <v>46358</v>
      </c>
      <c r="I189" s="2" t="n"/>
      <c r="J189" s="2" t="inlineStr">
        <is>
          <t>Pending</t>
        </is>
      </c>
      <c r="K189" s="2" t="inlineStr">
        <is>
          <t>Yes</t>
        </is>
      </c>
      <c r="L189" s="9" t="n">
        <v>0.02</v>
      </c>
      <c r="M189" s="2" t="inlineStr">
        <is>
          <t>Received</t>
        </is>
      </c>
      <c r="N189" s="2" t="inlineStr">
        <is>
          <t>Approved</t>
        </is>
      </c>
      <c r="O189" s="2" t="n"/>
      <c r="P189" s="2" t="n"/>
      <c r="Q189" s="2" t="n"/>
      <c r="R189" s="2" t="n"/>
    </row>
    <row r="190">
      <c r="A190" s="2" t="inlineStr">
        <is>
          <t>INV00187</t>
        </is>
      </c>
      <c r="B190" s="7" t="n">
        <v>46225</v>
      </c>
      <c r="C190" s="2" t="inlineStr">
        <is>
          <t>Zoho</t>
        </is>
      </c>
      <c r="D190" s="2" t="inlineStr">
        <is>
          <t>Marketing</t>
        </is>
      </c>
      <c r="E190" s="2" t="inlineStr">
        <is>
          <t>Consulting</t>
        </is>
      </c>
      <c r="F190" s="8" t="n">
        <v>190100</v>
      </c>
      <c r="G190" s="2" t="n">
        <v>60</v>
      </c>
      <c r="H190" s="7" t="n">
        <v>46285</v>
      </c>
      <c r="I190" s="7" t="n">
        <v>46375</v>
      </c>
      <c r="J190" s="2" t="inlineStr">
        <is>
          <t>Paid</t>
        </is>
      </c>
      <c r="K190" s="2" t="inlineStr">
        <is>
          <t>Yes</t>
        </is>
      </c>
      <c r="L190" s="9" t="n">
        <v>0.02</v>
      </c>
      <c r="M190" s="2" t="inlineStr">
        <is>
          <t>Received</t>
        </is>
      </c>
      <c r="N190" s="2" t="inlineStr">
        <is>
          <t>Approved</t>
        </is>
      </c>
      <c r="O190" s="2" t="n"/>
      <c r="P190" s="2" t="n"/>
      <c r="Q190" s="2" t="n"/>
      <c r="R190" s="2" t="n"/>
    </row>
    <row r="191">
      <c r="A191" s="2" t="inlineStr">
        <is>
          <t>INV00188</t>
        </is>
      </c>
      <c r="B191" s="7" t="n">
        <v>46193</v>
      </c>
      <c r="C191" s="2" t="inlineStr">
        <is>
          <t>Cognizant</t>
        </is>
      </c>
      <c r="D191" s="2" t="inlineStr">
        <is>
          <t>Marketing</t>
        </is>
      </c>
      <c r="E191" s="2" t="inlineStr">
        <is>
          <t>Office Supplies</t>
        </is>
      </c>
      <c r="F191" s="8" t="n">
        <v>494800</v>
      </c>
      <c r="G191" s="2" t="n">
        <v>60</v>
      </c>
      <c r="H191" s="7" t="n">
        <v>46253</v>
      </c>
      <c r="I191" s="2" t="n"/>
      <c r="J191" s="2" t="inlineStr">
        <is>
          <t>Pending</t>
        </is>
      </c>
      <c r="K191" s="2" t="inlineStr">
        <is>
          <t>No</t>
        </is>
      </c>
      <c r="L191" s="9" t="n">
        <v>0</v>
      </c>
      <c r="M191" s="2" t="inlineStr">
        <is>
          <t>Received</t>
        </is>
      </c>
      <c r="N191" s="2" t="inlineStr">
        <is>
          <t>Approved</t>
        </is>
      </c>
      <c r="O191" s="2" t="n"/>
      <c r="P191" s="2" t="n"/>
      <c r="Q191" s="2" t="n"/>
      <c r="R191" s="2" t="n"/>
    </row>
    <row r="192">
      <c r="A192" s="2" t="inlineStr">
        <is>
          <t>INV00189</t>
        </is>
      </c>
      <c r="B192" s="7" t="n">
        <v>46217</v>
      </c>
      <c r="C192" s="2" t="inlineStr">
        <is>
          <t>Deloitte</t>
        </is>
      </c>
      <c r="D192" s="2" t="inlineStr">
        <is>
          <t>Sales</t>
        </is>
      </c>
      <c r="E192" s="2" t="inlineStr">
        <is>
          <t>Office Supplies</t>
        </is>
      </c>
      <c r="F192" s="8" t="n">
        <v>26000</v>
      </c>
      <c r="G192" s="2" t="n">
        <v>60</v>
      </c>
      <c r="H192" s="7" t="n">
        <v>46277</v>
      </c>
      <c r="I192" s="7" t="n">
        <v>46277</v>
      </c>
      <c r="J192" s="2" t="inlineStr">
        <is>
          <t>Paid</t>
        </is>
      </c>
      <c r="K192" s="2" t="inlineStr">
        <is>
          <t>Yes</t>
        </is>
      </c>
      <c r="L192" s="9" t="n">
        <v>0.02</v>
      </c>
      <c r="M192" s="2" t="inlineStr">
        <is>
          <t>Received</t>
        </is>
      </c>
      <c r="N192" s="2" t="inlineStr">
        <is>
          <t>Approved</t>
        </is>
      </c>
      <c r="O192" s="2" t="n"/>
      <c r="P192" s="2" t="n"/>
      <c r="Q192" s="2" t="n"/>
      <c r="R192" s="2" t="n"/>
    </row>
    <row r="193">
      <c r="A193" s="2" t="inlineStr">
        <is>
          <t>INV00190</t>
        </is>
      </c>
      <c r="B193" s="7" t="n">
        <v>46369</v>
      </c>
      <c r="C193" s="2" t="inlineStr">
        <is>
          <t>Oracle</t>
        </is>
      </c>
      <c r="D193" s="2" t="inlineStr">
        <is>
          <t>HR</t>
        </is>
      </c>
      <c r="E193" s="2" t="inlineStr">
        <is>
          <t>Software</t>
        </is>
      </c>
      <c r="F193" s="8" t="n">
        <v>481200</v>
      </c>
      <c r="G193" s="2" t="n">
        <v>15</v>
      </c>
      <c r="H193" s="7" t="n">
        <v>46384</v>
      </c>
      <c r="I193" s="2" t="n"/>
      <c r="J193" s="2" t="inlineStr">
        <is>
          <t>Pending</t>
        </is>
      </c>
      <c r="K193" s="2" t="inlineStr">
        <is>
          <t>Yes</t>
        </is>
      </c>
      <c r="L193" s="9" t="n">
        <v>0.02</v>
      </c>
      <c r="M193" s="2" t="inlineStr">
        <is>
          <t>Received</t>
        </is>
      </c>
      <c r="N193" s="2" t="inlineStr">
        <is>
          <t>Approved</t>
        </is>
      </c>
      <c r="O193" s="2" t="n"/>
      <c r="P193" s="2" t="n"/>
      <c r="Q193" s="2" t="n"/>
      <c r="R193" s="2" t="n"/>
    </row>
    <row r="194">
      <c r="A194" s="2" t="inlineStr">
        <is>
          <t>INV00191</t>
        </is>
      </c>
      <c r="B194" s="7" t="n">
        <v>46283</v>
      </c>
      <c r="C194" s="2" t="inlineStr">
        <is>
          <t>Google Cloud</t>
        </is>
      </c>
      <c r="D194" s="2" t="inlineStr">
        <is>
          <t>Operations</t>
        </is>
      </c>
      <c r="E194" s="2" t="inlineStr">
        <is>
          <t>Software</t>
        </is>
      </c>
      <c r="F194" s="8" t="n">
        <v>665700</v>
      </c>
      <c r="G194" s="2" t="n">
        <v>15</v>
      </c>
      <c r="H194" s="7" t="n">
        <v>46298</v>
      </c>
      <c r="I194" s="2" t="n"/>
      <c r="J194" s="2" t="inlineStr">
        <is>
          <t>Pending</t>
        </is>
      </c>
      <c r="K194" s="2" t="inlineStr">
        <is>
          <t>Yes</t>
        </is>
      </c>
      <c r="L194" s="9" t="n">
        <v>0.02</v>
      </c>
      <c r="M194" s="2" t="inlineStr">
        <is>
          <t>Received</t>
        </is>
      </c>
      <c r="N194" s="2" t="inlineStr">
        <is>
          <t>Approved</t>
        </is>
      </c>
      <c r="O194" s="2" t="n"/>
      <c r="P194" s="2" t="n"/>
      <c r="Q194" s="2" t="n"/>
      <c r="R194" s="2" t="n"/>
    </row>
    <row r="195">
      <c r="A195" s="2" t="inlineStr">
        <is>
          <t>INV00192</t>
        </is>
      </c>
      <c r="B195" s="7" t="n">
        <v>46374</v>
      </c>
      <c r="C195" s="2" t="inlineStr">
        <is>
          <t>Zoho</t>
        </is>
      </c>
      <c r="D195" s="2" t="inlineStr">
        <is>
          <t>Finance</t>
        </is>
      </c>
      <c r="E195" s="2" t="inlineStr">
        <is>
          <t>Office Supplies</t>
        </is>
      </c>
      <c r="F195" s="8" t="n">
        <v>377100</v>
      </c>
      <c r="G195" s="2" t="n">
        <v>30</v>
      </c>
      <c r="H195" s="7" t="n">
        <v>46404</v>
      </c>
      <c r="I195" s="7" t="n">
        <v>46404</v>
      </c>
      <c r="J195" s="2" t="inlineStr">
        <is>
          <t>Paid</t>
        </is>
      </c>
      <c r="K195" s="2" t="inlineStr">
        <is>
          <t>Yes</t>
        </is>
      </c>
      <c r="L195" s="9" t="n">
        <v>0.02</v>
      </c>
      <c r="M195" s="2" t="inlineStr">
        <is>
          <t>Received</t>
        </is>
      </c>
      <c r="N195" s="2" t="inlineStr">
        <is>
          <t>Approved</t>
        </is>
      </c>
      <c r="O195" s="2" t="n"/>
      <c r="P195" s="2" t="n"/>
      <c r="Q195" s="2" t="n"/>
      <c r="R195" s="2" t="n"/>
    </row>
    <row r="196">
      <c r="A196" s="2" t="inlineStr">
        <is>
          <t>INV00193</t>
        </is>
      </c>
      <c r="B196" s="7" t="n">
        <v>46260</v>
      </c>
      <c r="C196" s="2" t="inlineStr">
        <is>
          <t>Amazon Web Services</t>
        </is>
      </c>
      <c r="D196" s="2" t="inlineStr">
        <is>
          <t>HR</t>
        </is>
      </c>
      <c r="E196" s="2" t="inlineStr">
        <is>
          <t>Consulting</t>
        </is>
      </c>
      <c r="F196" s="8" t="n">
        <v>181600</v>
      </c>
      <c r="G196" s="2" t="n">
        <v>30</v>
      </c>
      <c r="H196" s="7" t="n">
        <v>46290</v>
      </c>
      <c r="I196" s="7" t="n">
        <v>46290</v>
      </c>
      <c r="J196" s="2" t="inlineStr">
        <is>
          <t>Paid</t>
        </is>
      </c>
      <c r="K196" s="2" t="inlineStr">
        <is>
          <t>Yes</t>
        </is>
      </c>
      <c r="L196" s="9" t="n">
        <v>0.02</v>
      </c>
      <c r="M196" s="2" t="inlineStr">
        <is>
          <t>Received</t>
        </is>
      </c>
      <c r="N196" s="2" t="inlineStr">
        <is>
          <t>Approved</t>
        </is>
      </c>
      <c r="O196" s="2" t="n"/>
      <c r="P196" s="2" t="n"/>
      <c r="Q196" s="2" t="n"/>
      <c r="R196" s="2" t="n"/>
    </row>
    <row r="197">
      <c r="A197" s="2" t="inlineStr">
        <is>
          <t>INV00194</t>
        </is>
      </c>
      <c r="B197" s="7" t="n">
        <v>46229</v>
      </c>
      <c r="C197" s="2" t="inlineStr">
        <is>
          <t>HCLTech</t>
        </is>
      </c>
      <c r="D197" s="2" t="inlineStr">
        <is>
          <t>HR</t>
        </is>
      </c>
      <c r="E197" s="2" t="inlineStr">
        <is>
          <t>Professional Services</t>
        </is>
      </c>
      <c r="F197" s="8" t="n">
        <v>110500</v>
      </c>
      <c r="G197" s="2" t="n">
        <v>45</v>
      </c>
      <c r="H197" s="7" t="n">
        <v>46274</v>
      </c>
      <c r="I197" s="7" t="n">
        <v>46279</v>
      </c>
      <c r="J197" s="2" t="inlineStr">
        <is>
          <t>Paid</t>
        </is>
      </c>
      <c r="K197" s="2" t="inlineStr">
        <is>
          <t>No</t>
        </is>
      </c>
      <c r="L197" s="9" t="n">
        <v>0</v>
      </c>
      <c r="M197" s="2" t="inlineStr">
        <is>
          <t>Received</t>
        </is>
      </c>
      <c r="N197" s="2" t="inlineStr">
        <is>
          <t>Approved</t>
        </is>
      </c>
      <c r="O197" s="2" t="n"/>
      <c r="P197" s="2" t="n"/>
      <c r="Q197" s="2" t="n"/>
      <c r="R197" s="2" t="n"/>
    </row>
    <row r="198">
      <c r="A198" s="2" t="inlineStr">
        <is>
          <t>INV00195</t>
        </is>
      </c>
      <c r="B198" s="7" t="n">
        <v>46214</v>
      </c>
      <c r="C198" s="2" t="inlineStr">
        <is>
          <t>Infosys</t>
        </is>
      </c>
      <c r="D198" s="2" t="inlineStr">
        <is>
          <t>Sales</t>
        </is>
      </c>
      <c r="E198" s="2" t="inlineStr">
        <is>
          <t>Travel</t>
        </is>
      </c>
      <c r="F198" s="8" t="n">
        <v>836500</v>
      </c>
      <c r="G198" s="2" t="n">
        <v>60</v>
      </c>
      <c r="H198" s="7" t="n">
        <v>46274</v>
      </c>
      <c r="I198" s="7" t="n">
        <v>46304</v>
      </c>
      <c r="J198" s="2" t="inlineStr">
        <is>
          <t>Paid</t>
        </is>
      </c>
      <c r="K198" s="2" t="inlineStr">
        <is>
          <t>No</t>
        </is>
      </c>
      <c r="L198" s="9" t="n">
        <v>0</v>
      </c>
      <c r="M198" s="2" t="inlineStr">
        <is>
          <t>Received</t>
        </is>
      </c>
      <c r="N198" s="2" t="inlineStr">
        <is>
          <t>Approved</t>
        </is>
      </c>
      <c r="O198" s="2" t="n"/>
      <c r="P198" s="2" t="n"/>
      <c r="Q198" s="2" t="n"/>
      <c r="R198" s="2" t="n"/>
    </row>
    <row r="199">
      <c r="A199" s="2" t="inlineStr">
        <is>
          <t>INV00196</t>
        </is>
      </c>
      <c r="B199" s="7" t="n">
        <v>46313</v>
      </c>
      <c r="C199" s="2" t="inlineStr">
        <is>
          <t>Deloitte</t>
        </is>
      </c>
      <c r="D199" s="2" t="inlineStr">
        <is>
          <t>Sales</t>
        </is>
      </c>
      <c r="E199" s="2" t="inlineStr">
        <is>
          <t>Facilities</t>
        </is>
      </c>
      <c r="F199" s="8" t="n">
        <v>238500</v>
      </c>
      <c r="G199" s="2" t="n">
        <v>15</v>
      </c>
      <c r="H199" s="7" t="n">
        <v>46328</v>
      </c>
      <c r="I199" s="7" t="n">
        <v>46328</v>
      </c>
      <c r="J199" s="2" t="inlineStr">
        <is>
          <t>Paid</t>
        </is>
      </c>
      <c r="K199" s="2" t="inlineStr">
        <is>
          <t>No</t>
        </is>
      </c>
      <c r="L199" s="9" t="n">
        <v>0</v>
      </c>
      <c r="M199" s="2" t="inlineStr">
        <is>
          <t>Received</t>
        </is>
      </c>
      <c r="N199" s="2" t="inlineStr">
        <is>
          <t>Approved</t>
        </is>
      </c>
      <c r="O199" s="2" t="n"/>
      <c r="P199" s="2" t="n"/>
      <c r="Q199" s="2" t="n"/>
      <c r="R199" s="2" t="n"/>
    </row>
    <row r="200">
      <c r="A200" s="2" t="inlineStr">
        <is>
          <t>INV00197</t>
        </is>
      </c>
      <c r="B200" s="7" t="n">
        <v>46225</v>
      </c>
      <c r="C200" s="2" t="inlineStr">
        <is>
          <t>IBM</t>
        </is>
      </c>
      <c r="D200" s="2" t="inlineStr">
        <is>
          <t>Finance</t>
        </is>
      </c>
      <c r="E200" s="2" t="inlineStr">
        <is>
          <t>Travel</t>
        </is>
      </c>
      <c r="F200" s="8" t="n">
        <v>744000</v>
      </c>
      <c r="G200" s="2" t="n">
        <v>45</v>
      </c>
      <c r="H200" s="7" t="n">
        <v>46270</v>
      </c>
      <c r="I200" s="2" t="n"/>
      <c r="J200" s="2" t="inlineStr">
        <is>
          <t>Pending</t>
        </is>
      </c>
      <c r="K200" s="2" t="inlineStr">
        <is>
          <t>Yes</t>
        </is>
      </c>
      <c r="L200" s="9" t="n">
        <v>0.02</v>
      </c>
      <c r="M200" s="2" t="inlineStr">
        <is>
          <t>Pending</t>
        </is>
      </c>
      <c r="N200" s="2" t="inlineStr">
        <is>
          <t>Approved</t>
        </is>
      </c>
      <c r="O200" s="2" t="n"/>
      <c r="P200" s="2" t="n"/>
      <c r="Q200" s="2" t="n"/>
      <c r="R200" s="2" t="n"/>
    </row>
    <row r="201">
      <c r="A201" s="2" t="inlineStr">
        <is>
          <t>INV00198</t>
        </is>
      </c>
      <c r="B201" s="7" t="n">
        <v>46221</v>
      </c>
      <c r="C201" s="2" t="inlineStr">
        <is>
          <t>Google Cloud</t>
        </is>
      </c>
      <c r="D201" s="2" t="inlineStr">
        <is>
          <t>Sales</t>
        </is>
      </c>
      <c r="E201" s="2" t="inlineStr">
        <is>
          <t>Professional Services</t>
        </is>
      </c>
      <c r="F201" s="8" t="n">
        <v>198700</v>
      </c>
      <c r="G201" s="2" t="n">
        <v>15</v>
      </c>
      <c r="H201" s="7" t="n">
        <v>46236</v>
      </c>
      <c r="I201" s="7" t="n">
        <v>46236</v>
      </c>
      <c r="J201" s="2" t="inlineStr">
        <is>
          <t>Paid</t>
        </is>
      </c>
      <c r="K201" s="2" t="inlineStr">
        <is>
          <t>No</t>
        </is>
      </c>
      <c r="L201" s="9" t="n">
        <v>0</v>
      </c>
      <c r="M201" s="2" t="inlineStr">
        <is>
          <t>Received</t>
        </is>
      </c>
      <c r="N201" s="2" t="inlineStr">
        <is>
          <t>Approved</t>
        </is>
      </c>
      <c r="O201" s="2" t="n"/>
      <c r="P201" s="2" t="n"/>
      <c r="Q201" s="2" t="n"/>
      <c r="R201" s="2" t="n"/>
    </row>
    <row r="202">
      <c r="A202" s="2" t="inlineStr">
        <is>
          <t>INV00199</t>
        </is>
      </c>
      <c r="B202" s="7" t="n">
        <v>46316</v>
      </c>
      <c r="C202" s="2" t="inlineStr">
        <is>
          <t>SAP</t>
        </is>
      </c>
      <c r="D202" s="2" t="inlineStr">
        <is>
          <t>Sales</t>
        </is>
      </c>
      <c r="E202" s="2" t="inlineStr">
        <is>
          <t>Professional Services</t>
        </is>
      </c>
      <c r="F202" s="8" t="n">
        <v>241600</v>
      </c>
      <c r="G202" s="2" t="n">
        <v>45</v>
      </c>
      <c r="H202" s="7" t="n">
        <v>46361</v>
      </c>
      <c r="I202" s="7" t="n">
        <v>46361</v>
      </c>
      <c r="J202" s="2" t="inlineStr">
        <is>
          <t>Paid</t>
        </is>
      </c>
      <c r="K202" s="2" t="inlineStr">
        <is>
          <t>No</t>
        </is>
      </c>
      <c r="L202" s="9" t="n">
        <v>0</v>
      </c>
      <c r="M202" s="2" t="inlineStr">
        <is>
          <t>Received</t>
        </is>
      </c>
      <c r="N202" s="2" t="inlineStr">
        <is>
          <t>Approved</t>
        </is>
      </c>
      <c r="O202" s="2" t="n"/>
      <c r="P202" s="2" t="n"/>
      <c r="Q202" s="2" t="n"/>
      <c r="R202" s="2" t="n"/>
    </row>
    <row r="203">
      <c r="A203" s="2" t="inlineStr">
        <is>
          <t>INV00200</t>
        </is>
      </c>
      <c r="B203" s="7" t="n">
        <v>46127</v>
      </c>
      <c r="C203" s="2" t="inlineStr">
        <is>
          <t>Oracle</t>
        </is>
      </c>
      <c r="D203" s="2" t="inlineStr">
        <is>
          <t>Operations</t>
        </is>
      </c>
      <c r="E203" s="2" t="inlineStr">
        <is>
          <t>Professional Services</t>
        </is>
      </c>
      <c r="F203" s="8" t="n">
        <v>89500</v>
      </c>
      <c r="G203" s="2" t="n">
        <v>30</v>
      </c>
      <c r="H203" s="7" t="n">
        <v>46157</v>
      </c>
      <c r="I203" s="7" t="n">
        <v>46217</v>
      </c>
      <c r="J203" s="2" t="inlineStr">
        <is>
          <t>Paid</t>
        </is>
      </c>
      <c r="K203" s="2" t="inlineStr">
        <is>
          <t>Yes</t>
        </is>
      </c>
      <c r="L203" s="9" t="n">
        <v>0.02</v>
      </c>
      <c r="M203" s="2" t="inlineStr">
        <is>
          <t>Received</t>
        </is>
      </c>
      <c r="N203" s="2" t="inlineStr">
        <is>
          <t>Approved</t>
        </is>
      </c>
      <c r="O203" s="2" t="n"/>
      <c r="P203" s="2" t="n"/>
      <c r="Q203" s="2" t="n"/>
      <c r="R203" s="2" t="n"/>
    </row>
    <row r="204">
      <c r="A204" s="2" t="inlineStr">
        <is>
          <t>INV00201</t>
        </is>
      </c>
      <c r="B204" s="7" t="n">
        <v>46183</v>
      </c>
      <c r="C204" s="2" t="inlineStr">
        <is>
          <t>Oracle</t>
        </is>
      </c>
      <c r="D204" s="2" t="inlineStr">
        <is>
          <t>Operations</t>
        </is>
      </c>
      <c r="E204" s="2" t="inlineStr">
        <is>
          <t>Facilities</t>
        </is>
      </c>
      <c r="F204" s="8" t="n">
        <v>132700</v>
      </c>
      <c r="G204" s="2" t="n">
        <v>30</v>
      </c>
      <c r="H204" s="7" t="n">
        <v>46213</v>
      </c>
      <c r="I204" s="7" t="n">
        <v>46218</v>
      </c>
      <c r="J204" s="2" t="inlineStr">
        <is>
          <t>Paid</t>
        </is>
      </c>
      <c r="K204" s="2" t="inlineStr">
        <is>
          <t>Yes</t>
        </is>
      </c>
      <c r="L204" s="9" t="n">
        <v>0.02</v>
      </c>
      <c r="M204" s="2" t="inlineStr">
        <is>
          <t>Received</t>
        </is>
      </c>
      <c r="N204" s="2" t="inlineStr">
        <is>
          <t>Approved</t>
        </is>
      </c>
      <c r="O204" s="2" t="n"/>
      <c r="P204" s="2" t="n"/>
      <c r="Q204" s="2" t="n"/>
      <c r="R204" s="2" t="n"/>
    </row>
    <row r="205">
      <c r="A205" s="2" t="inlineStr">
        <is>
          <t>INV00202</t>
        </is>
      </c>
      <c r="B205" s="7" t="n">
        <v>46054</v>
      </c>
      <c r="C205" s="2" t="inlineStr">
        <is>
          <t>HCLTech</t>
        </is>
      </c>
      <c r="D205" s="2" t="inlineStr">
        <is>
          <t>HR</t>
        </is>
      </c>
      <c r="E205" s="2" t="inlineStr">
        <is>
          <t>Travel</t>
        </is>
      </c>
      <c r="F205" s="8" t="n">
        <v>170900</v>
      </c>
      <c r="G205" s="2" t="n">
        <v>15</v>
      </c>
      <c r="H205" s="7" t="n">
        <v>46069</v>
      </c>
      <c r="I205" s="7" t="n">
        <v>46074</v>
      </c>
      <c r="J205" s="2" t="inlineStr">
        <is>
          <t>Paid</t>
        </is>
      </c>
      <c r="K205" s="2" t="inlineStr">
        <is>
          <t>Yes</t>
        </is>
      </c>
      <c r="L205" s="9" t="n">
        <v>0.02</v>
      </c>
      <c r="M205" s="2" t="inlineStr">
        <is>
          <t>Received</t>
        </is>
      </c>
      <c r="N205" s="2" t="inlineStr">
        <is>
          <t>Approved</t>
        </is>
      </c>
      <c r="O205" s="2" t="n"/>
      <c r="P205" s="2" t="n"/>
      <c r="Q205" s="2" t="n"/>
      <c r="R205" s="2" t="n"/>
    </row>
    <row r="206">
      <c r="A206" s="2" t="inlineStr">
        <is>
          <t>INV00203</t>
        </is>
      </c>
      <c r="B206" s="7" t="n">
        <v>46224</v>
      </c>
      <c r="C206" s="2" t="inlineStr">
        <is>
          <t>Deloitte</t>
        </is>
      </c>
      <c r="D206" s="2" t="inlineStr">
        <is>
          <t>Finance</t>
        </is>
      </c>
      <c r="E206" s="2" t="inlineStr">
        <is>
          <t>Travel</t>
        </is>
      </c>
      <c r="F206" s="8" t="n">
        <v>101900</v>
      </c>
      <c r="G206" s="2" t="n">
        <v>60</v>
      </c>
      <c r="H206" s="7" t="n">
        <v>46284</v>
      </c>
      <c r="I206" s="7" t="n">
        <v>46284</v>
      </c>
      <c r="J206" s="2" t="inlineStr">
        <is>
          <t>Paid</t>
        </is>
      </c>
      <c r="K206" s="2" t="inlineStr">
        <is>
          <t>Yes</t>
        </is>
      </c>
      <c r="L206" s="9" t="n">
        <v>0.02</v>
      </c>
      <c r="M206" s="2" t="inlineStr">
        <is>
          <t>Received</t>
        </is>
      </c>
      <c r="N206" s="2" t="inlineStr">
        <is>
          <t>Approved</t>
        </is>
      </c>
      <c r="O206" s="2" t="n"/>
      <c r="P206" s="2" t="n"/>
      <c r="Q206" s="2" t="n"/>
      <c r="R206" s="2" t="n"/>
    </row>
    <row r="207">
      <c r="A207" s="2" t="inlineStr">
        <is>
          <t>INV00204</t>
        </is>
      </c>
      <c r="B207" s="7" t="n">
        <v>46382</v>
      </c>
      <c r="C207" s="2" t="inlineStr">
        <is>
          <t>Cognizant</t>
        </is>
      </c>
      <c r="D207" s="2" t="inlineStr">
        <is>
          <t>IT</t>
        </is>
      </c>
      <c r="E207" s="2" t="inlineStr">
        <is>
          <t>Office Supplies</t>
        </is>
      </c>
      <c r="F207" s="8" t="n">
        <v>652700</v>
      </c>
      <c r="G207" s="2" t="n">
        <v>15</v>
      </c>
      <c r="H207" s="7" t="n">
        <v>46397</v>
      </c>
      <c r="I207" s="7" t="n">
        <v>46397</v>
      </c>
      <c r="J207" s="2" t="inlineStr">
        <is>
          <t>Paid</t>
        </is>
      </c>
      <c r="K207" s="2" t="inlineStr">
        <is>
          <t>Yes</t>
        </is>
      </c>
      <c r="L207" s="9" t="n">
        <v>0.02</v>
      </c>
      <c r="M207" s="2" t="inlineStr">
        <is>
          <t>Received</t>
        </is>
      </c>
      <c r="N207" s="2" t="inlineStr">
        <is>
          <t>Approved</t>
        </is>
      </c>
      <c r="O207" s="2" t="n"/>
      <c r="P207" s="2" t="n"/>
      <c r="Q207" s="2" t="n"/>
      <c r="R207" s="2" t="n"/>
    </row>
    <row r="208">
      <c r="A208" s="2" t="inlineStr">
        <is>
          <t>INV00205</t>
        </is>
      </c>
      <c r="B208" s="7" t="n">
        <v>46337</v>
      </c>
      <c r="C208" s="2" t="inlineStr">
        <is>
          <t>Accenture</t>
        </is>
      </c>
      <c r="D208" s="2" t="inlineStr">
        <is>
          <t>Operations</t>
        </is>
      </c>
      <c r="E208" s="2" t="inlineStr">
        <is>
          <t>Office Supplies</t>
        </is>
      </c>
      <c r="F208" s="8" t="n">
        <v>510900</v>
      </c>
      <c r="G208" s="2" t="n">
        <v>60</v>
      </c>
      <c r="H208" s="7" t="n">
        <v>46397</v>
      </c>
      <c r="I208" s="7" t="n">
        <v>46427</v>
      </c>
      <c r="J208" s="2" t="inlineStr">
        <is>
          <t>Paid</t>
        </is>
      </c>
      <c r="K208" s="2" t="inlineStr">
        <is>
          <t>No</t>
        </is>
      </c>
      <c r="L208" s="9" t="n">
        <v>0</v>
      </c>
      <c r="M208" s="2" t="inlineStr">
        <is>
          <t>Received</t>
        </is>
      </c>
      <c r="N208" s="2" t="inlineStr">
        <is>
          <t>Approved</t>
        </is>
      </c>
      <c r="O208" s="2" t="n"/>
      <c r="P208" s="2" t="n"/>
      <c r="Q208" s="2" t="n"/>
      <c r="R208" s="2" t="n"/>
    </row>
    <row r="209">
      <c r="A209" s="2" t="inlineStr">
        <is>
          <t>INV00206</t>
        </is>
      </c>
      <c r="B209" s="7" t="n">
        <v>46075</v>
      </c>
      <c r="C209" s="2" t="inlineStr">
        <is>
          <t>Deloitte</t>
        </is>
      </c>
      <c r="D209" s="2" t="inlineStr">
        <is>
          <t>HR</t>
        </is>
      </c>
      <c r="E209" s="2" t="inlineStr">
        <is>
          <t>Software</t>
        </is>
      </c>
      <c r="F209" s="8" t="n">
        <v>79800</v>
      </c>
      <c r="G209" s="2" t="n">
        <v>30</v>
      </c>
      <c r="H209" s="7" t="n">
        <v>46105</v>
      </c>
      <c r="I209" s="7" t="n">
        <v>46105</v>
      </c>
      <c r="J209" s="2" t="inlineStr">
        <is>
          <t>Paid</t>
        </is>
      </c>
      <c r="K209" s="2" t="inlineStr">
        <is>
          <t>Yes</t>
        </is>
      </c>
      <c r="L209" s="9" t="n">
        <v>0.02</v>
      </c>
      <c r="M209" s="2" t="inlineStr">
        <is>
          <t>Received</t>
        </is>
      </c>
      <c r="N209" s="2" t="inlineStr">
        <is>
          <t>Approved</t>
        </is>
      </c>
      <c r="O209" s="2" t="n"/>
      <c r="P209" s="2" t="n"/>
      <c r="Q209" s="2" t="n"/>
      <c r="R209" s="2" t="n"/>
    </row>
    <row r="210">
      <c r="A210" s="2" t="inlineStr">
        <is>
          <t>INV00207</t>
        </is>
      </c>
      <c r="B210" s="7" t="n">
        <v>46344</v>
      </c>
      <c r="C210" s="2" t="inlineStr">
        <is>
          <t>Wipro</t>
        </is>
      </c>
      <c r="D210" s="2" t="inlineStr">
        <is>
          <t>Sales</t>
        </is>
      </c>
      <c r="E210" s="2" t="inlineStr">
        <is>
          <t>Cloud</t>
        </is>
      </c>
      <c r="F210" s="8" t="n">
        <v>355200</v>
      </c>
      <c r="G210" s="2" t="n">
        <v>30</v>
      </c>
      <c r="H210" s="7" t="n">
        <v>46374</v>
      </c>
      <c r="I210" s="2" t="n"/>
      <c r="J210" s="2" t="inlineStr">
        <is>
          <t>Pending</t>
        </is>
      </c>
      <c r="K210" s="2" t="inlineStr">
        <is>
          <t>No</t>
        </is>
      </c>
      <c r="L210" s="9" t="n">
        <v>0</v>
      </c>
      <c r="M210" s="2" t="inlineStr">
        <is>
          <t>Received</t>
        </is>
      </c>
      <c r="N210" s="2" t="inlineStr">
        <is>
          <t>Pending</t>
        </is>
      </c>
      <c r="O210" s="2" t="n"/>
      <c r="P210" s="2" t="n"/>
      <c r="Q210" s="2" t="n"/>
      <c r="R210" s="2" t="n"/>
    </row>
    <row r="211">
      <c r="A211" s="2" t="inlineStr">
        <is>
          <t>INV00208</t>
        </is>
      </c>
      <c r="B211" s="7" t="n">
        <v>46239</v>
      </c>
      <c r="C211" s="2" t="inlineStr">
        <is>
          <t>TCS</t>
        </is>
      </c>
      <c r="D211" s="2" t="inlineStr">
        <is>
          <t>Operations</t>
        </is>
      </c>
      <c r="E211" s="2" t="inlineStr">
        <is>
          <t>Office Supplies</t>
        </is>
      </c>
      <c r="F211" s="8" t="n">
        <v>618800</v>
      </c>
      <c r="G211" s="2" t="n">
        <v>60</v>
      </c>
      <c r="H211" s="7" t="n">
        <v>46299</v>
      </c>
      <c r="I211" s="7" t="n">
        <v>46299</v>
      </c>
      <c r="J211" s="2" t="inlineStr">
        <is>
          <t>Paid</t>
        </is>
      </c>
      <c r="K211" s="2" t="inlineStr">
        <is>
          <t>Yes</t>
        </is>
      </c>
      <c r="L211" s="9" t="n">
        <v>0.02</v>
      </c>
      <c r="M211" s="2" t="inlineStr">
        <is>
          <t>Received</t>
        </is>
      </c>
      <c r="N211" s="2" t="inlineStr">
        <is>
          <t>Approved</t>
        </is>
      </c>
      <c r="O211" s="2" t="n"/>
      <c r="P211" s="2" t="n"/>
      <c r="Q211" s="2" t="n"/>
      <c r="R211" s="2" t="n"/>
    </row>
    <row r="212">
      <c r="A212" s="2" t="inlineStr">
        <is>
          <t>INV00209</t>
        </is>
      </c>
      <c r="B212" s="7" t="n">
        <v>46150</v>
      </c>
      <c r="C212" s="2" t="inlineStr">
        <is>
          <t>Google Cloud</t>
        </is>
      </c>
      <c r="D212" s="2" t="inlineStr">
        <is>
          <t>HR</t>
        </is>
      </c>
      <c r="E212" s="2" t="inlineStr">
        <is>
          <t>Cloud</t>
        </is>
      </c>
      <c r="F212" s="8" t="n">
        <v>829400</v>
      </c>
      <c r="G212" s="2" t="n">
        <v>60</v>
      </c>
      <c r="H212" s="7" t="n">
        <v>46210</v>
      </c>
      <c r="I212" s="7" t="n">
        <v>46210</v>
      </c>
      <c r="J212" s="2" t="inlineStr">
        <is>
          <t>Paid</t>
        </is>
      </c>
      <c r="K212" s="2" t="inlineStr">
        <is>
          <t>Yes</t>
        </is>
      </c>
      <c r="L212" s="9" t="n">
        <v>0.02</v>
      </c>
      <c r="M212" s="2" t="inlineStr">
        <is>
          <t>Received</t>
        </is>
      </c>
      <c r="N212" s="2" t="inlineStr">
        <is>
          <t>Approved</t>
        </is>
      </c>
      <c r="O212" s="2" t="n"/>
      <c r="P212" s="2" t="n"/>
      <c r="Q212" s="2" t="n"/>
      <c r="R212" s="2" t="n"/>
    </row>
    <row r="213">
      <c r="A213" s="2" t="inlineStr">
        <is>
          <t>INV00210</t>
        </is>
      </c>
      <c r="B213" s="7" t="n">
        <v>46191</v>
      </c>
      <c r="C213" s="2" t="inlineStr">
        <is>
          <t>HCLTech</t>
        </is>
      </c>
      <c r="D213" s="2" t="inlineStr">
        <is>
          <t>IT</t>
        </is>
      </c>
      <c r="E213" s="2" t="inlineStr">
        <is>
          <t>Facilities</t>
        </is>
      </c>
      <c r="F213" s="8" t="n">
        <v>138900</v>
      </c>
      <c r="G213" s="2" t="n">
        <v>60</v>
      </c>
      <c r="H213" s="7" t="n">
        <v>46251</v>
      </c>
      <c r="I213" s="2" t="n"/>
      <c r="J213" s="2" t="inlineStr">
        <is>
          <t>Pending</t>
        </is>
      </c>
      <c r="K213" s="2" t="inlineStr">
        <is>
          <t>No</t>
        </is>
      </c>
      <c r="L213" s="9" t="n">
        <v>0</v>
      </c>
      <c r="M213" s="2" t="inlineStr">
        <is>
          <t>Received</t>
        </is>
      </c>
      <c r="N213" s="2" t="inlineStr">
        <is>
          <t>Approved</t>
        </is>
      </c>
      <c r="O213" s="2" t="n"/>
      <c r="P213" s="2" t="n"/>
      <c r="Q213" s="2" t="n"/>
      <c r="R213" s="2" t="n"/>
    </row>
    <row r="214">
      <c r="A214" s="2" t="inlineStr">
        <is>
          <t>INV00211</t>
        </is>
      </c>
      <c r="B214" s="7" t="n">
        <v>46037</v>
      </c>
      <c r="C214" s="2" t="inlineStr">
        <is>
          <t>Infosys</t>
        </is>
      </c>
      <c r="D214" s="2" t="inlineStr">
        <is>
          <t>HR</t>
        </is>
      </c>
      <c r="E214" s="2" t="inlineStr">
        <is>
          <t>Facilities</t>
        </is>
      </c>
      <c r="F214" s="8" t="n">
        <v>112600</v>
      </c>
      <c r="G214" s="2" t="n">
        <v>15</v>
      </c>
      <c r="H214" s="7" t="n">
        <v>46052</v>
      </c>
      <c r="I214" s="7" t="n">
        <v>46067</v>
      </c>
      <c r="J214" s="2" t="inlineStr">
        <is>
          <t>Paid</t>
        </is>
      </c>
      <c r="K214" s="2" t="inlineStr">
        <is>
          <t>No</t>
        </is>
      </c>
      <c r="L214" s="9" t="n">
        <v>0</v>
      </c>
      <c r="M214" s="2" t="inlineStr">
        <is>
          <t>Received</t>
        </is>
      </c>
      <c r="N214" s="2" t="inlineStr">
        <is>
          <t>Approved</t>
        </is>
      </c>
      <c r="O214" s="2" t="n"/>
      <c r="P214" s="2" t="n"/>
      <c r="Q214" s="2" t="n"/>
      <c r="R214" s="2" t="n"/>
    </row>
    <row r="215">
      <c r="A215" s="2" t="inlineStr">
        <is>
          <t>INV00212</t>
        </is>
      </c>
      <c r="B215" s="7" t="n">
        <v>46209</v>
      </c>
      <c r="C215" s="2" t="inlineStr">
        <is>
          <t>Accenture</t>
        </is>
      </c>
      <c r="D215" s="2" t="inlineStr">
        <is>
          <t>Finance</t>
        </is>
      </c>
      <c r="E215" s="2" t="inlineStr">
        <is>
          <t>Facilities</t>
        </is>
      </c>
      <c r="F215" s="8" t="n">
        <v>854100</v>
      </c>
      <c r="G215" s="2" t="n">
        <v>30</v>
      </c>
      <c r="H215" s="7" t="n">
        <v>46239</v>
      </c>
      <c r="I215" s="7" t="n">
        <v>46244</v>
      </c>
      <c r="J215" s="2" t="inlineStr">
        <is>
          <t>Paid</t>
        </is>
      </c>
      <c r="K215" s="2" t="inlineStr">
        <is>
          <t>Yes</t>
        </is>
      </c>
      <c r="L215" s="9" t="n">
        <v>0.02</v>
      </c>
      <c r="M215" s="2" t="inlineStr">
        <is>
          <t>Pending</t>
        </is>
      </c>
      <c r="N215" s="2" t="inlineStr">
        <is>
          <t>Approved</t>
        </is>
      </c>
      <c r="O215" s="2" t="n"/>
      <c r="P215" s="2" t="n"/>
      <c r="Q215" s="2" t="n"/>
      <c r="R215" s="2" t="n"/>
    </row>
    <row r="216">
      <c r="A216" s="2" t="inlineStr">
        <is>
          <t>INV00213</t>
        </is>
      </c>
      <c r="B216" s="7" t="n">
        <v>46304</v>
      </c>
      <c r="C216" s="2" t="inlineStr">
        <is>
          <t>HCLTech</t>
        </is>
      </c>
      <c r="D216" s="2" t="inlineStr">
        <is>
          <t>Marketing</t>
        </is>
      </c>
      <c r="E216" s="2" t="inlineStr">
        <is>
          <t>Travel</t>
        </is>
      </c>
      <c r="F216" s="8" t="n">
        <v>812600</v>
      </c>
      <c r="G216" s="2" t="n">
        <v>15</v>
      </c>
      <c r="H216" s="7" t="n">
        <v>46319</v>
      </c>
      <c r="I216" s="2" t="n"/>
      <c r="J216" s="2" t="inlineStr">
        <is>
          <t>Pending</t>
        </is>
      </c>
      <c r="K216" s="2" t="inlineStr">
        <is>
          <t>No</t>
        </is>
      </c>
      <c r="L216" s="9" t="n">
        <v>0</v>
      </c>
      <c r="M216" s="2" t="inlineStr">
        <is>
          <t>Received</t>
        </is>
      </c>
      <c r="N216" s="2" t="inlineStr">
        <is>
          <t>Approved</t>
        </is>
      </c>
      <c r="O216" s="2" t="n"/>
      <c r="P216" s="2" t="n"/>
      <c r="Q216" s="2" t="n"/>
      <c r="R216" s="2" t="n"/>
    </row>
    <row r="217">
      <c r="A217" s="2" t="inlineStr">
        <is>
          <t>INV00214</t>
        </is>
      </c>
      <c r="B217" s="7" t="n">
        <v>46089</v>
      </c>
      <c r="C217" s="2" t="inlineStr">
        <is>
          <t>Deloitte</t>
        </is>
      </c>
      <c r="D217" s="2" t="inlineStr">
        <is>
          <t>Sales</t>
        </is>
      </c>
      <c r="E217" s="2" t="inlineStr">
        <is>
          <t>Consulting</t>
        </is>
      </c>
      <c r="F217" s="8" t="n">
        <v>757200</v>
      </c>
      <c r="G217" s="2" t="n">
        <v>30</v>
      </c>
      <c r="H217" s="7" t="n">
        <v>46119</v>
      </c>
      <c r="I217" s="7" t="n">
        <v>46124</v>
      </c>
      <c r="J217" s="2" t="inlineStr">
        <is>
          <t>Paid</t>
        </is>
      </c>
      <c r="K217" s="2" t="inlineStr">
        <is>
          <t>No</t>
        </is>
      </c>
      <c r="L217" s="9" t="n">
        <v>0</v>
      </c>
      <c r="M217" s="2" t="inlineStr">
        <is>
          <t>Received</t>
        </is>
      </c>
      <c r="N217" s="2" t="inlineStr">
        <is>
          <t>Approved</t>
        </is>
      </c>
      <c r="O217" s="2" t="n"/>
      <c r="P217" s="2" t="n"/>
      <c r="Q217" s="2" t="n"/>
      <c r="R217" s="2" t="n"/>
    </row>
    <row r="218">
      <c r="A218" s="2" t="inlineStr">
        <is>
          <t>INV00215</t>
        </is>
      </c>
      <c r="B218" s="7" t="n">
        <v>46066</v>
      </c>
      <c r="C218" s="2" t="inlineStr">
        <is>
          <t>Google Cloud</t>
        </is>
      </c>
      <c r="D218" s="2" t="inlineStr">
        <is>
          <t>Sales</t>
        </is>
      </c>
      <c r="E218" s="2" t="inlineStr">
        <is>
          <t>Consulting</t>
        </is>
      </c>
      <c r="F218" s="8" t="n">
        <v>116400</v>
      </c>
      <c r="G218" s="2" t="n">
        <v>45</v>
      </c>
      <c r="H218" s="7" t="n">
        <v>46111</v>
      </c>
      <c r="I218" s="2" t="n"/>
      <c r="J218" s="2" t="inlineStr">
        <is>
          <t>Pending</t>
        </is>
      </c>
      <c r="K218" s="2" t="inlineStr">
        <is>
          <t>No</t>
        </is>
      </c>
      <c r="L218" s="9" t="n">
        <v>0</v>
      </c>
      <c r="M218" s="2" t="inlineStr">
        <is>
          <t>Received</t>
        </is>
      </c>
      <c r="N218" s="2" t="inlineStr">
        <is>
          <t>Pending</t>
        </is>
      </c>
      <c r="O218" s="2" t="n"/>
      <c r="P218" s="2" t="n"/>
      <c r="Q218" s="2" t="n"/>
      <c r="R218" s="2" t="n"/>
    </row>
    <row r="219">
      <c r="A219" s="2" t="inlineStr">
        <is>
          <t>INV00216</t>
        </is>
      </c>
      <c r="B219" s="7" t="n">
        <v>46348</v>
      </c>
      <c r="C219" s="2" t="inlineStr">
        <is>
          <t>Wipro</t>
        </is>
      </c>
      <c r="D219" s="2" t="inlineStr">
        <is>
          <t>HR</t>
        </is>
      </c>
      <c r="E219" s="2" t="inlineStr">
        <is>
          <t>Facilities</t>
        </is>
      </c>
      <c r="F219" s="8" t="n">
        <v>548300</v>
      </c>
      <c r="G219" s="2" t="n">
        <v>15</v>
      </c>
      <c r="H219" s="7" t="n">
        <v>46363</v>
      </c>
      <c r="I219" s="2" t="n"/>
      <c r="J219" s="2" t="inlineStr">
        <is>
          <t>Pending</t>
        </is>
      </c>
      <c r="K219" s="2" t="inlineStr">
        <is>
          <t>No</t>
        </is>
      </c>
      <c r="L219" s="9" t="n">
        <v>0</v>
      </c>
      <c r="M219" s="2" t="inlineStr">
        <is>
          <t>Received</t>
        </is>
      </c>
      <c r="N219" s="2" t="inlineStr">
        <is>
          <t>Approved</t>
        </is>
      </c>
      <c r="O219" s="2" t="n"/>
      <c r="P219" s="2" t="n"/>
      <c r="Q219" s="2" t="n"/>
      <c r="R219" s="2" t="n"/>
    </row>
    <row r="220">
      <c r="A220" s="2" t="inlineStr">
        <is>
          <t>INV00217</t>
        </is>
      </c>
      <c r="B220" s="7" t="n">
        <v>46284</v>
      </c>
      <c r="C220" s="2" t="inlineStr">
        <is>
          <t>Deloitte</t>
        </is>
      </c>
      <c r="D220" s="2" t="inlineStr">
        <is>
          <t>Marketing</t>
        </is>
      </c>
      <c r="E220" s="2" t="inlineStr">
        <is>
          <t>Facilities</t>
        </is>
      </c>
      <c r="F220" s="8" t="n">
        <v>198100</v>
      </c>
      <c r="G220" s="2" t="n">
        <v>60</v>
      </c>
      <c r="H220" s="7" t="n">
        <v>46344</v>
      </c>
      <c r="I220" s="7" t="n">
        <v>46349</v>
      </c>
      <c r="J220" s="2" t="inlineStr">
        <is>
          <t>Paid</t>
        </is>
      </c>
      <c r="K220" s="2" t="inlineStr">
        <is>
          <t>No</t>
        </is>
      </c>
      <c r="L220" s="9" t="n">
        <v>0</v>
      </c>
      <c r="M220" s="2" t="inlineStr">
        <is>
          <t>Received</t>
        </is>
      </c>
      <c r="N220" s="2" t="inlineStr">
        <is>
          <t>Pending</t>
        </is>
      </c>
      <c r="O220" s="2" t="n"/>
      <c r="P220" s="2" t="n"/>
      <c r="Q220" s="2" t="n"/>
      <c r="R220" s="2" t="n"/>
    </row>
    <row r="221">
      <c r="A221" s="2" t="inlineStr">
        <is>
          <t>INV00218</t>
        </is>
      </c>
      <c r="B221" s="7" t="n">
        <v>46096</v>
      </c>
      <c r="C221" s="2" t="inlineStr">
        <is>
          <t>IBM</t>
        </is>
      </c>
      <c r="D221" s="2" t="inlineStr">
        <is>
          <t>IT</t>
        </is>
      </c>
      <c r="E221" s="2" t="inlineStr">
        <is>
          <t>Professional Services</t>
        </is>
      </c>
      <c r="F221" s="8" t="n">
        <v>932100</v>
      </c>
      <c r="G221" s="2" t="n">
        <v>30</v>
      </c>
      <c r="H221" s="7" t="n">
        <v>46126</v>
      </c>
      <c r="I221" s="7" t="n">
        <v>46186</v>
      </c>
      <c r="J221" s="2" t="inlineStr">
        <is>
          <t>Paid</t>
        </is>
      </c>
      <c r="K221" s="2" t="inlineStr">
        <is>
          <t>Yes</t>
        </is>
      </c>
      <c r="L221" s="9" t="n">
        <v>0.02</v>
      </c>
      <c r="M221" s="2" t="inlineStr">
        <is>
          <t>Received</t>
        </is>
      </c>
      <c r="N221" s="2" t="inlineStr">
        <is>
          <t>Approved</t>
        </is>
      </c>
      <c r="O221" s="2" t="n"/>
      <c r="P221" s="2" t="n"/>
      <c r="Q221" s="2" t="n"/>
      <c r="R221" s="2" t="n"/>
    </row>
    <row r="222">
      <c r="A222" s="2" t="inlineStr">
        <is>
          <t>INV00219</t>
        </is>
      </c>
      <c r="B222" s="7" t="n">
        <v>46195</v>
      </c>
      <c r="C222" s="2" t="inlineStr">
        <is>
          <t>Zoho</t>
        </is>
      </c>
      <c r="D222" s="2" t="inlineStr">
        <is>
          <t>Sales</t>
        </is>
      </c>
      <c r="E222" s="2" t="inlineStr">
        <is>
          <t>Cloud</t>
        </is>
      </c>
      <c r="F222" s="8" t="n">
        <v>102100</v>
      </c>
      <c r="G222" s="2" t="n">
        <v>15</v>
      </c>
      <c r="H222" s="7" t="n">
        <v>46210</v>
      </c>
      <c r="I222" s="7" t="n">
        <v>46210</v>
      </c>
      <c r="J222" s="2" t="inlineStr">
        <is>
          <t>Paid</t>
        </is>
      </c>
      <c r="K222" s="2" t="inlineStr">
        <is>
          <t>Yes</t>
        </is>
      </c>
      <c r="L222" s="9" t="n">
        <v>0.02</v>
      </c>
      <c r="M222" s="2" t="inlineStr">
        <is>
          <t>Received</t>
        </is>
      </c>
      <c r="N222" s="2" t="inlineStr">
        <is>
          <t>Approved</t>
        </is>
      </c>
      <c r="O222" s="2" t="n"/>
      <c r="P222" s="2" t="n"/>
      <c r="Q222" s="2" t="n"/>
      <c r="R222" s="2" t="n"/>
    </row>
    <row r="223">
      <c r="A223" s="2" t="inlineStr">
        <is>
          <t>INV00220</t>
        </is>
      </c>
      <c r="B223" s="7" t="n">
        <v>46303</v>
      </c>
      <c r="C223" s="2" t="inlineStr">
        <is>
          <t>Google Cloud</t>
        </is>
      </c>
      <c r="D223" s="2" t="inlineStr">
        <is>
          <t>Sales</t>
        </is>
      </c>
      <c r="E223" s="2" t="inlineStr">
        <is>
          <t>Professional Services</t>
        </is>
      </c>
      <c r="F223" s="8" t="n">
        <v>7000</v>
      </c>
      <c r="G223" s="2" t="n">
        <v>15</v>
      </c>
      <c r="H223" s="7" t="n">
        <v>46318</v>
      </c>
      <c r="I223" s="2" t="n"/>
      <c r="J223" s="2" t="inlineStr">
        <is>
          <t>Pending</t>
        </is>
      </c>
      <c r="K223" s="2" t="inlineStr">
        <is>
          <t>No</t>
        </is>
      </c>
      <c r="L223" s="9" t="n">
        <v>0</v>
      </c>
      <c r="M223" s="2" t="inlineStr">
        <is>
          <t>Received</t>
        </is>
      </c>
      <c r="N223" s="2" t="inlineStr">
        <is>
          <t>Approved</t>
        </is>
      </c>
      <c r="O223" s="2" t="n"/>
      <c r="P223" s="2" t="n"/>
      <c r="Q223" s="2" t="n"/>
      <c r="R223" s="2" t="n"/>
    </row>
    <row r="224">
      <c r="A224" s="2" t="inlineStr">
        <is>
          <t>INV00221</t>
        </is>
      </c>
      <c r="B224" s="7" t="n">
        <v>46206</v>
      </c>
      <c r="C224" s="2" t="inlineStr">
        <is>
          <t>Wipro</t>
        </is>
      </c>
      <c r="D224" s="2" t="inlineStr">
        <is>
          <t>IT</t>
        </is>
      </c>
      <c r="E224" s="2" t="inlineStr">
        <is>
          <t>Software</t>
        </is>
      </c>
      <c r="F224" s="8" t="n">
        <v>474400</v>
      </c>
      <c r="G224" s="2" t="n">
        <v>45</v>
      </c>
      <c r="H224" s="7" t="n">
        <v>46251</v>
      </c>
      <c r="I224" s="2" t="n"/>
      <c r="J224" s="2" t="inlineStr">
        <is>
          <t>Pending</t>
        </is>
      </c>
      <c r="K224" s="2" t="inlineStr">
        <is>
          <t>No</t>
        </is>
      </c>
      <c r="L224" s="9" t="n">
        <v>0</v>
      </c>
      <c r="M224" s="2" t="inlineStr">
        <is>
          <t>Received</t>
        </is>
      </c>
      <c r="N224" s="2" t="inlineStr">
        <is>
          <t>Pending</t>
        </is>
      </c>
      <c r="O224" s="2" t="n"/>
      <c r="P224" s="2" t="n"/>
      <c r="Q224" s="2" t="n"/>
      <c r="R224" s="2" t="n"/>
    </row>
    <row r="225">
      <c r="A225" s="2" t="inlineStr">
        <is>
          <t>INV00222</t>
        </is>
      </c>
      <c r="B225" s="7" t="n">
        <v>46084</v>
      </c>
      <c r="C225" s="2" t="inlineStr">
        <is>
          <t>Google Cloud</t>
        </is>
      </c>
      <c r="D225" s="2" t="inlineStr">
        <is>
          <t>Marketing</t>
        </is>
      </c>
      <c r="E225" s="2" t="inlineStr">
        <is>
          <t>Software</t>
        </is>
      </c>
      <c r="F225" s="8" t="n">
        <v>112800</v>
      </c>
      <c r="G225" s="2" t="n">
        <v>30</v>
      </c>
      <c r="H225" s="7" t="n">
        <v>46114</v>
      </c>
      <c r="I225" s="2" t="n"/>
      <c r="J225" s="2" t="inlineStr">
        <is>
          <t>Pending</t>
        </is>
      </c>
      <c r="K225" s="2" t="inlineStr">
        <is>
          <t>No</t>
        </is>
      </c>
      <c r="L225" s="9" t="n">
        <v>0</v>
      </c>
      <c r="M225" s="2" t="inlineStr">
        <is>
          <t>Received</t>
        </is>
      </c>
      <c r="N225" s="2" t="inlineStr">
        <is>
          <t>Approved</t>
        </is>
      </c>
      <c r="O225" s="2" t="n"/>
      <c r="P225" s="2" t="n"/>
      <c r="Q225" s="2" t="n"/>
      <c r="R225" s="2" t="n"/>
    </row>
    <row r="226">
      <c r="A226" s="2" t="inlineStr">
        <is>
          <t>INV00223</t>
        </is>
      </c>
      <c r="B226" s="7" t="n">
        <v>46058</v>
      </c>
      <c r="C226" s="2" t="inlineStr">
        <is>
          <t>Cognizant</t>
        </is>
      </c>
      <c r="D226" s="2" t="inlineStr">
        <is>
          <t>IT</t>
        </is>
      </c>
      <c r="E226" s="2" t="inlineStr">
        <is>
          <t>Office Supplies</t>
        </is>
      </c>
      <c r="F226" s="8" t="n">
        <v>91100</v>
      </c>
      <c r="G226" s="2" t="n">
        <v>60</v>
      </c>
      <c r="H226" s="7" t="n">
        <v>46118</v>
      </c>
      <c r="I226" s="7" t="n">
        <v>46123</v>
      </c>
      <c r="J226" s="2" t="inlineStr">
        <is>
          <t>Paid</t>
        </is>
      </c>
      <c r="K226" s="2" t="inlineStr">
        <is>
          <t>Yes</t>
        </is>
      </c>
      <c r="L226" s="9" t="n">
        <v>0.02</v>
      </c>
      <c r="M226" s="2" t="inlineStr">
        <is>
          <t>Received</t>
        </is>
      </c>
      <c r="N226" s="2" t="inlineStr">
        <is>
          <t>Approved</t>
        </is>
      </c>
      <c r="O226" s="2" t="n"/>
      <c r="P226" s="2" t="n"/>
      <c r="Q226" s="2" t="n"/>
      <c r="R226" s="2" t="n"/>
    </row>
    <row r="227">
      <c r="A227" s="2" t="inlineStr">
        <is>
          <t>INV00224</t>
        </is>
      </c>
      <c r="B227" s="7" t="n">
        <v>46167</v>
      </c>
      <c r="C227" s="2" t="inlineStr">
        <is>
          <t>Wipro</t>
        </is>
      </c>
      <c r="D227" s="2" t="inlineStr">
        <is>
          <t>IT</t>
        </is>
      </c>
      <c r="E227" s="2" t="inlineStr">
        <is>
          <t>Facilities</t>
        </is>
      </c>
      <c r="F227" s="8" t="n">
        <v>55300</v>
      </c>
      <c r="G227" s="2" t="n">
        <v>45</v>
      </c>
      <c r="H227" s="7" t="n">
        <v>46212</v>
      </c>
      <c r="I227" s="2" t="n"/>
      <c r="J227" s="2" t="inlineStr">
        <is>
          <t>Pending</t>
        </is>
      </c>
      <c r="K227" s="2" t="inlineStr">
        <is>
          <t>Yes</t>
        </is>
      </c>
      <c r="L227" s="9" t="n">
        <v>0.02</v>
      </c>
      <c r="M227" s="2" t="inlineStr">
        <is>
          <t>Received</t>
        </is>
      </c>
      <c r="N227" s="2" t="inlineStr">
        <is>
          <t>Approved</t>
        </is>
      </c>
      <c r="O227" s="2" t="n"/>
      <c r="P227" s="2" t="n"/>
      <c r="Q227" s="2" t="n"/>
      <c r="R227" s="2" t="n"/>
    </row>
    <row r="228">
      <c r="A228" s="2" t="inlineStr">
        <is>
          <t>INV00225</t>
        </is>
      </c>
      <c r="B228" s="7" t="n">
        <v>46128</v>
      </c>
      <c r="C228" s="2" t="inlineStr">
        <is>
          <t>Adobe</t>
        </is>
      </c>
      <c r="D228" s="2" t="inlineStr">
        <is>
          <t>IT</t>
        </is>
      </c>
      <c r="E228" s="2" t="inlineStr">
        <is>
          <t>Cloud</t>
        </is>
      </c>
      <c r="F228" s="8" t="n">
        <v>161300</v>
      </c>
      <c r="G228" s="2" t="n">
        <v>60</v>
      </c>
      <c r="H228" s="7" t="n">
        <v>46188</v>
      </c>
      <c r="I228" s="2" t="n"/>
      <c r="J228" s="2" t="inlineStr">
        <is>
          <t>Pending</t>
        </is>
      </c>
      <c r="K228" s="2" t="inlineStr">
        <is>
          <t>No</t>
        </is>
      </c>
      <c r="L228" s="9" t="n">
        <v>0</v>
      </c>
      <c r="M228" s="2" t="inlineStr">
        <is>
          <t>Received</t>
        </is>
      </c>
      <c r="N228" s="2" t="inlineStr">
        <is>
          <t>Approved</t>
        </is>
      </c>
      <c r="O228" s="2" t="n"/>
      <c r="P228" s="2" t="n"/>
      <c r="Q228" s="2" t="n"/>
      <c r="R228" s="2" t="n"/>
    </row>
    <row r="229">
      <c r="A229" s="2" t="inlineStr">
        <is>
          <t>INV00226</t>
        </is>
      </c>
      <c r="B229" s="7" t="n">
        <v>46309</v>
      </c>
      <c r="C229" s="2" t="inlineStr">
        <is>
          <t>Oracle</t>
        </is>
      </c>
      <c r="D229" s="2" t="inlineStr">
        <is>
          <t>Marketing</t>
        </is>
      </c>
      <c r="E229" s="2" t="inlineStr">
        <is>
          <t>Travel</t>
        </is>
      </c>
      <c r="F229" s="8" t="n">
        <v>191900</v>
      </c>
      <c r="G229" s="2" t="n">
        <v>30</v>
      </c>
      <c r="H229" s="7" t="n">
        <v>46339</v>
      </c>
      <c r="I229" s="7" t="n">
        <v>46339</v>
      </c>
      <c r="J229" s="2" t="inlineStr">
        <is>
          <t>Paid</t>
        </is>
      </c>
      <c r="K229" s="2" t="inlineStr">
        <is>
          <t>Yes</t>
        </is>
      </c>
      <c r="L229" s="9" t="n">
        <v>0.02</v>
      </c>
      <c r="M229" s="2" t="inlineStr">
        <is>
          <t>Received</t>
        </is>
      </c>
      <c r="N229" s="2" t="inlineStr">
        <is>
          <t>Approved</t>
        </is>
      </c>
      <c r="O229" s="2" t="n"/>
      <c r="P229" s="2" t="n"/>
      <c r="Q229" s="2" t="n"/>
      <c r="R229" s="2" t="n"/>
    </row>
    <row r="230">
      <c r="A230" s="2" t="inlineStr">
        <is>
          <t>INV00227</t>
        </is>
      </c>
      <c r="B230" s="7" t="n">
        <v>46220</v>
      </c>
      <c r="C230" s="2" t="inlineStr">
        <is>
          <t>Infosys</t>
        </is>
      </c>
      <c r="D230" s="2" t="inlineStr">
        <is>
          <t>Sales</t>
        </is>
      </c>
      <c r="E230" s="2" t="inlineStr">
        <is>
          <t>Travel</t>
        </is>
      </c>
      <c r="F230" s="8" t="n">
        <v>108800</v>
      </c>
      <c r="G230" s="2" t="n">
        <v>60</v>
      </c>
      <c r="H230" s="7" t="n">
        <v>46280</v>
      </c>
      <c r="I230" s="7" t="n">
        <v>46280</v>
      </c>
      <c r="J230" s="2" t="inlineStr">
        <is>
          <t>Paid</t>
        </is>
      </c>
      <c r="K230" s="2" t="inlineStr">
        <is>
          <t>No</t>
        </is>
      </c>
      <c r="L230" s="9" t="n">
        <v>0</v>
      </c>
      <c r="M230" s="2" t="inlineStr">
        <is>
          <t>Received</t>
        </is>
      </c>
      <c r="N230" s="2" t="inlineStr">
        <is>
          <t>Approved</t>
        </is>
      </c>
      <c r="O230" s="2" t="n"/>
      <c r="P230" s="2" t="n"/>
      <c r="Q230" s="2" t="n"/>
      <c r="R230" s="2" t="n"/>
    </row>
    <row r="231">
      <c r="A231" s="2" t="inlineStr">
        <is>
          <t>INV00228</t>
        </is>
      </c>
      <c r="B231" s="7" t="n">
        <v>46276</v>
      </c>
      <c r="C231" s="2" t="inlineStr">
        <is>
          <t>Adobe</t>
        </is>
      </c>
      <c r="D231" s="2" t="inlineStr">
        <is>
          <t>Marketing</t>
        </is>
      </c>
      <c r="E231" s="2" t="inlineStr">
        <is>
          <t>Travel</t>
        </is>
      </c>
      <c r="F231" s="8" t="n">
        <v>81000</v>
      </c>
      <c r="G231" s="2" t="n">
        <v>15</v>
      </c>
      <c r="H231" s="7" t="n">
        <v>46291</v>
      </c>
      <c r="I231" s="7" t="n">
        <v>46291</v>
      </c>
      <c r="J231" s="2" t="inlineStr">
        <is>
          <t>Paid</t>
        </is>
      </c>
      <c r="K231" s="2" t="inlineStr">
        <is>
          <t>No</t>
        </is>
      </c>
      <c r="L231" s="9" t="n">
        <v>0</v>
      </c>
      <c r="M231" s="2" t="inlineStr">
        <is>
          <t>Received</t>
        </is>
      </c>
      <c r="N231" s="2" t="inlineStr">
        <is>
          <t>Approved</t>
        </is>
      </c>
      <c r="O231" s="2" t="n"/>
      <c r="P231" s="2" t="n"/>
      <c r="Q231" s="2" t="n"/>
      <c r="R231" s="2" t="n"/>
    </row>
    <row r="232">
      <c r="A232" s="2" t="inlineStr">
        <is>
          <t>INV00229</t>
        </is>
      </c>
      <c r="B232" s="7" t="n">
        <v>46164</v>
      </c>
      <c r="C232" s="2" t="inlineStr">
        <is>
          <t>Wipro</t>
        </is>
      </c>
      <c r="D232" s="2" t="inlineStr">
        <is>
          <t>Sales</t>
        </is>
      </c>
      <c r="E232" s="2" t="inlineStr">
        <is>
          <t>Travel</t>
        </is>
      </c>
      <c r="F232" s="8" t="n">
        <v>34300</v>
      </c>
      <c r="G232" s="2" t="n">
        <v>30</v>
      </c>
      <c r="H232" s="7" t="n">
        <v>46194</v>
      </c>
      <c r="I232" s="7" t="n">
        <v>46284</v>
      </c>
      <c r="J232" s="2" t="inlineStr">
        <is>
          <t>Paid</t>
        </is>
      </c>
      <c r="K232" s="2" t="inlineStr">
        <is>
          <t>No</t>
        </is>
      </c>
      <c r="L232" s="9" t="n">
        <v>0</v>
      </c>
      <c r="M232" s="2" t="inlineStr">
        <is>
          <t>Received</t>
        </is>
      </c>
      <c r="N232" s="2" t="inlineStr">
        <is>
          <t>Approved</t>
        </is>
      </c>
      <c r="O232" s="2" t="n"/>
      <c r="P232" s="2" t="n"/>
      <c r="Q232" s="2" t="n"/>
      <c r="R232" s="2" t="n"/>
    </row>
    <row r="233">
      <c r="A233" s="2" t="inlineStr">
        <is>
          <t>INV00230</t>
        </is>
      </c>
      <c r="B233" s="7" t="n">
        <v>46093</v>
      </c>
      <c r="C233" s="2" t="inlineStr">
        <is>
          <t>Deloitte</t>
        </is>
      </c>
      <c r="D233" s="2" t="inlineStr">
        <is>
          <t>Sales</t>
        </is>
      </c>
      <c r="E233" s="2" t="inlineStr">
        <is>
          <t>Facilities</t>
        </is>
      </c>
      <c r="F233" s="8" t="n">
        <v>184600</v>
      </c>
      <c r="G233" s="2" t="n">
        <v>45</v>
      </c>
      <c r="H233" s="7" t="n">
        <v>46138</v>
      </c>
      <c r="I233" s="7" t="n">
        <v>46138</v>
      </c>
      <c r="J233" s="2" t="inlineStr">
        <is>
          <t>Paid</t>
        </is>
      </c>
      <c r="K233" s="2" t="inlineStr">
        <is>
          <t>No</t>
        </is>
      </c>
      <c r="L233" s="9" t="n">
        <v>0</v>
      </c>
      <c r="M233" s="2" t="inlineStr">
        <is>
          <t>Received</t>
        </is>
      </c>
      <c r="N233" s="2" t="inlineStr">
        <is>
          <t>Pending</t>
        </is>
      </c>
      <c r="O233" s="2" t="n"/>
      <c r="P233" s="2" t="n"/>
      <c r="Q233" s="2" t="n"/>
      <c r="R233" s="2" t="n"/>
    </row>
    <row r="234">
      <c r="A234" s="2" t="inlineStr">
        <is>
          <t>INV00231</t>
        </is>
      </c>
      <c r="B234" s="7" t="n">
        <v>46329</v>
      </c>
      <c r="C234" s="2" t="inlineStr">
        <is>
          <t>IBM</t>
        </is>
      </c>
      <c r="D234" s="2" t="inlineStr">
        <is>
          <t>Operations</t>
        </is>
      </c>
      <c r="E234" s="2" t="inlineStr">
        <is>
          <t>Office Supplies</t>
        </is>
      </c>
      <c r="F234" s="8" t="n">
        <v>18600</v>
      </c>
      <c r="G234" s="2" t="n">
        <v>45</v>
      </c>
      <c r="H234" s="7" t="n">
        <v>46374</v>
      </c>
      <c r="I234" s="7" t="n">
        <v>46374</v>
      </c>
      <c r="J234" s="2" t="inlineStr">
        <is>
          <t>Paid</t>
        </is>
      </c>
      <c r="K234" s="2" t="inlineStr">
        <is>
          <t>Yes</t>
        </is>
      </c>
      <c r="L234" s="9" t="n">
        <v>0.02</v>
      </c>
      <c r="M234" s="2" t="inlineStr">
        <is>
          <t>Received</t>
        </is>
      </c>
      <c r="N234" s="2" t="inlineStr">
        <is>
          <t>Approved</t>
        </is>
      </c>
      <c r="O234" s="2" t="n"/>
      <c r="P234" s="2" t="n"/>
      <c r="Q234" s="2" t="n"/>
      <c r="R234" s="2" t="n"/>
    </row>
    <row r="235">
      <c r="A235" s="2" t="inlineStr">
        <is>
          <t>INV00232</t>
        </is>
      </c>
      <c r="B235" s="7" t="n">
        <v>46136</v>
      </c>
      <c r="C235" s="2" t="inlineStr">
        <is>
          <t>Google Cloud</t>
        </is>
      </c>
      <c r="D235" s="2" t="inlineStr">
        <is>
          <t>IT</t>
        </is>
      </c>
      <c r="E235" s="2" t="inlineStr">
        <is>
          <t>Software</t>
        </is>
      </c>
      <c r="F235" s="8" t="n">
        <v>603800</v>
      </c>
      <c r="G235" s="2" t="n">
        <v>15</v>
      </c>
      <c r="H235" s="7" t="n">
        <v>46151</v>
      </c>
      <c r="I235" s="2" t="n"/>
      <c r="J235" s="2" t="inlineStr">
        <is>
          <t>Pending</t>
        </is>
      </c>
      <c r="K235" s="2" t="inlineStr">
        <is>
          <t>Yes</t>
        </is>
      </c>
      <c r="L235" s="9" t="n">
        <v>0.02</v>
      </c>
      <c r="M235" s="2" t="inlineStr">
        <is>
          <t>Pending</t>
        </is>
      </c>
      <c r="N235" s="2" t="inlineStr">
        <is>
          <t>Approved</t>
        </is>
      </c>
      <c r="O235" s="2" t="n"/>
      <c r="P235" s="2" t="n"/>
      <c r="Q235" s="2" t="n"/>
      <c r="R235" s="2" t="n"/>
    </row>
    <row r="236">
      <c r="A236" s="2" t="inlineStr">
        <is>
          <t>INV00233</t>
        </is>
      </c>
      <c r="B236" s="7" t="n">
        <v>46380</v>
      </c>
      <c r="C236" s="2" t="inlineStr">
        <is>
          <t>SAP</t>
        </is>
      </c>
      <c r="D236" s="2" t="inlineStr">
        <is>
          <t>Operations</t>
        </is>
      </c>
      <c r="E236" s="2" t="inlineStr">
        <is>
          <t>Cloud</t>
        </is>
      </c>
      <c r="F236" s="8" t="n">
        <v>936900</v>
      </c>
      <c r="G236" s="2" t="n">
        <v>45</v>
      </c>
      <c r="H236" s="7" t="n">
        <v>46425</v>
      </c>
      <c r="I236" s="7" t="n">
        <v>46425</v>
      </c>
      <c r="J236" s="2" t="inlineStr">
        <is>
          <t>Paid</t>
        </is>
      </c>
      <c r="K236" s="2" t="inlineStr">
        <is>
          <t>No</t>
        </is>
      </c>
      <c r="L236" s="9" t="n">
        <v>0</v>
      </c>
      <c r="M236" s="2" t="inlineStr">
        <is>
          <t>Received</t>
        </is>
      </c>
      <c r="N236" s="2" t="inlineStr">
        <is>
          <t>Pending</t>
        </is>
      </c>
      <c r="O236" s="2" t="n"/>
      <c r="P236" s="2" t="n"/>
      <c r="Q236" s="2" t="n"/>
      <c r="R236" s="2" t="n"/>
    </row>
    <row r="237">
      <c r="A237" s="2" t="inlineStr">
        <is>
          <t>INV00234</t>
        </is>
      </c>
      <c r="B237" s="7" t="n">
        <v>46089</v>
      </c>
      <c r="C237" s="2" t="inlineStr">
        <is>
          <t>Cognizant</t>
        </is>
      </c>
      <c r="D237" s="2" t="inlineStr">
        <is>
          <t>Marketing</t>
        </is>
      </c>
      <c r="E237" s="2" t="inlineStr">
        <is>
          <t>Software</t>
        </is>
      </c>
      <c r="F237" s="8" t="n">
        <v>598800</v>
      </c>
      <c r="G237" s="2" t="n">
        <v>60</v>
      </c>
      <c r="H237" s="7" t="n">
        <v>46149</v>
      </c>
      <c r="I237" s="2" t="n"/>
      <c r="J237" s="2" t="inlineStr">
        <is>
          <t>Pending</t>
        </is>
      </c>
      <c r="K237" s="2" t="inlineStr">
        <is>
          <t>Yes</t>
        </is>
      </c>
      <c r="L237" s="9" t="n">
        <v>0.02</v>
      </c>
      <c r="M237" s="2" t="inlineStr">
        <is>
          <t>Received</t>
        </is>
      </c>
      <c r="N237" s="2" t="inlineStr">
        <is>
          <t>Approved</t>
        </is>
      </c>
      <c r="O237" s="2" t="n"/>
      <c r="P237" s="2" t="n"/>
      <c r="Q237" s="2" t="n"/>
      <c r="R237" s="2" t="n"/>
    </row>
    <row r="238">
      <c r="A238" s="2" t="inlineStr">
        <is>
          <t>INV00235</t>
        </is>
      </c>
      <c r="B238" s="7" t="n">
        <v>46180</v>
      </c>
      <c r="C238" s="2" t="inlineStr">
        <is>
          <t>Infosys</t>
        </is>
      </c>
      <c r="D238" s="2" t="inlineStr">
        <is>
          <t>Marketing</t>
        </is>
      </c>
      <c r="E238" s="2" t="inlineStr">
        <is>
          <t>Facilities</t>
        </is>
      </c>
      <c r="F238" s="8" t="n">
        <v>431900</v>
      </c>
      <c r="G238" s="2" t="n">
        <v>45</v>
      </c>
      <c r="H238" s="7" t="n">
        <v>46225</v>
      </c>
      <c r="I238" s="7" t="n">
        <v>46225</v>
      </c>
      <c r="J238" s="2" t="inlineStr">
        <is>
          <t>Paid</t>
        </is>
      </c>
      <c r="K238" s="2" t="inlineStr">
        <is>
          <t>No</t>
        </is>
      </c>
      <c r="L238" s="9" t="n">
        <v>0</v>
      </c>
      <c r="M238" s="2" t="inlineStr">
        <is>
          <t>Received</t>
        </is>
      </c>
      <c r="N238" s="2" t="inlineStr">
        <is>
          <t>Pending</t>
        </is>
      </c>
      <c r="O238" s="2" t="n"/>
      <c r="P238" s="2" t="n"/>
      <c r="Q238" s="2" t="n"/>
      <c r="R238" s="2" t="n"/>
    </row>
    <row r="239">
      <c r="A239" s="2" t="inlineStr">
        <is>
          <t>INV00236</t>
        </is>
      </c>
      <c r="B239" s="7" t="n">
        <v>46117</v>
      </c>
      <c r="C239" s="2" t="inlineStr">
        <is>
          <t>Microsoft</t>
        </is>
      </c>
      <c r="D239" s="2" t="inlineStr">
        <is>
          <t>Operations</t>
        </is>
      </c>
      <c r="E239" s="2" t="inlineStr">
        <is>
          <t>Software</t>
        </is>
      </c>
      <c r="F239" s="8" t="n">
        <v>137700</v>
      </c>
      <c r="G239" s="2" t="n">
        <v>30</v>
      </c>
      <c r="H239" s="7" t="n">
        <v>46147</v>
      </c>
      <c r="I239" s="2" t="n"/>
      <c r="J239" s="2" t="inlineStr">
        <is>
          <t>Pending</t>
        </is>
      </c>
      <c r="K239" s="2" t="inlineStr">
        <is>
          <t>Yes</t>
        </is>
      </c>
      <c r="L239" s="9" t="n">
        <v>0.02</v>
      </c>
      <c r="M239" s="2" t="inlineStr">
        <is>
          <t>Received</t>
        </is>
      </c>
      <c r="N239" s="2" t="inlineStr">
        <is>
          <t>Approved</t>
        </is>
      </c>
      <c r="O239" s="2" t="n"/>
      <c r="P239" s="2" t="n"/>
      <c r="Q239" s="2" t="n"/>
      <c r="R239" s="2" t="n"/>
    </row>
    <row r="240">
      <c r="A240" s="2" t="inlineStr">
        <is>
          <t>INV00237</t>
        </is>
      </c>
      <c r="B240" s="7" t="n">
        <v>46366</v>
      </c>
      <c r="C240" s="2" t="inlineStr">
        <is>
          <t>Amazon Web Services</t>
        </is>
      </c>
      <c r="D240" s="2" t="inlineStr">
        <is>
          <t>Finance</t>
        </is>
      </c>
      <c r="E240" s="2" t="inlineStr">
        <is>
          <t>Office Supplies</t>
        </is>
      </c>
      <c r="F240" s="8" t="n">
        <v>107900</v>
      </c>
      <c r="G240" s="2" t="n">
        <v>30</v>
      </c>
      <c r="H240" s="7" t="n">
        <v>46396</v>
      </c>
      <c r="I240" s="7" t="n">
        <v>46396</v>
      </c>
      <c r="J240" s="2" t="inlineStr">
        <is>
          <t>Paid</t>
        </is>
      </c>
      <c r="K240" s="2" t="inlineStr">
        <is>
          <t>No</t>
        </is>
      </c>
      <c r="L240" s="9" t="n">
        <v>0</v>
      </c>
      <c r="M240" s="2" t="inlineStr">
        <is>
          <t>Pending</t>
        </is>
      </c>
      <c r="N240" s="2" t="inlineStr">
        <is>
          <t>Approved</t>
        </is>
      </c>
      <c r="O240" s="2" t="n"/>
      <c r="P240" s="2" t="n"/>
      <c r="Q240" s="2" t="n"/>
      <c r="R240" s="2" t="n"/>
    </row>
    <row r="241">
      <c r="A241" s="2" t="inlineStr">
        <is>
          <t>INV00238</t>
        </is>
      </c>
      <c r="B241" s="7" t="n">
        <v>46368</v>
      </c>
      <c r="C241" s="2" t="inlineStr">
        <is>
          <t>IBM</t>
        </is>
      </c>
      <c r="D241" s="2" t="inlineStr">
        <is>
          <t>Sales</t>
        </is>
      </c>
      <c r="E241" s="2" t="inlineStr">
        <is>
          <t>Software</t>
        </is>
      </c>
      <c r="F241" s="8" t="n">
        <v>727900</v>
      </c>
      <c r="G241" s="2" t="n">
        <v>15</v>
      </c>
      <c r="H241" s="7" t="n">
        <v>46383</v>
      </c>
      <c r="I241" s="7" t="n">
        <v>46388</v>
      </c>
      <c r="J241" s="2" t="inlineStr">
        <is>
          <t>Paid</t>
        </is>
      </c>
      <c r="K241" s="2" t="inlineStr">
        <is>
          <t>No</t>
        </is>
      </c>
      <c r="L241" s="9" t="n">
        <v>0</v>
      </c>
      <c r="M241" s="2" t="inlineStr">
        <is>
          <t>Pending</t>
        </is>
      </c>
      <c r="N241" s="2" t="inlineStr">
        <is>
          <t>Approved</t>
        </is>
      </c>
      <c r="O241" s="2" t="n"/>
      <c r="P241" s="2" t="n"/>
      <c r="Q241" s="2" t="n"/>
      <c r="R241" s="2" t="n"/>
    </row>
    <row r="242">
      <c r="A242" s="2" t="inlineStr">
        <is>
          <t>INV00239</t>
        </is>
      </c>
      <c r="B242" s="7" t="n">
        <v>46170</v>
      </c>
      <c r="C242" s="2" t="inlineStr">
        <is>
          <t>Oracle</t>
        </is>
      </c>
      <c r="D242" s="2" t="inlineStr">
        <is>
          <t>Operations</t>
        </is>
      </c>
      <c r="E242" s="2" t="inlineStr">
        <is>
          <t>Travel</t>
        </is>
      </c>
      <c r="F242" s="8" t="n">
        <v>82900</v>
      </c>
      <c r="G242" s="2" t="n">
        <v>45</v>
      </c>
      <c r="H242" s="7" t="n">
        <v>46215</v>
      </c>
      <c r="I242" s="2" t="n"/>
      <c r="J242" s="2" t="inlineStr">
        <is>
          <t>Pending</t>
        </is>
      </c>
      <c r="K242" s="2" t="inlineStr">
        <is>
          <t>Yes</t>
        </is>
      </c>
      <c r="L242" s="9" t="n">
        <v>0.02</v>
      </c>
      <c r="M242" s="2" t="inlineStr">
        <is>
          <t>Received</t>
        </is>
      </c>
      <c r="N242" s="2" t="inlineStr">
        <is>
          <t>Approved</t>
        </is>
      </c>
      <c r="O242" s="2" t="n"/>
      <c r="P242" s="2" t="n"/>
      <c r="Q242" s="2" t="n"/>
      <c r="R242" s="2" t="n"/>
    </row>
    <row r="243">
      <c r="A243" s="2" t="inlineStr">
        <is>
          <t>INV00240</t>
        </is>
      </c>
      <c r="B243" s="7" t="n">
        <v>46059</v>
      </c>
      <c r="C243" s="2" t="inlineStr">
        <is>
          <t>IBM</t>
        </is>
      </c>
      <c r="D243" s="2" t="inlineStr">
        <is>
          <t>Operations</t>
        </is>
      </c>
      <c r="E243" s="2" t="inlineStr">
        <is>
          <t>Consulting</t>
        </is>
      </c>
      <c r="F243" s="8" t="n">
        <v>34600</v>
      </c>
      <c r="G243" s="2" t="n">
        <v>60</v>
      </c>
      <c r="H243" s="7" t="n">
        <v>46119</v>
      </c>
      <c r="I243" s="7" t="n">
        <v>46119</v>
      </c>
      <c r="J243" s="2" t="inlineStr">
        <is>
          <t>Paid</t>
        </is>
      </c>
      <c r="K243" s="2" t="inlineStr">
        <is>
          <t>No</t>
        </is>
      </c>
      <c r="L243" s="9" t="n">
        <v>0</v>
      </c>
      <c r="M243" s="2" t="inlineStr">
        <is>
          <t>Received</t>
        </is>
      </c>
      <c r="N243" s="2" t="inlineStr">
        <is>
          <t>Approved</t>
        </is>
      </c>
      <c r="O243" s="2" t="n"/>
      <c r="P243" s="2" t="n"/>
      <c r="Q243" s="2" t="n"/>
      <c r="R243" s="2" t="n"/>
    </row>
    <row r="244">
      <c r="A244" s="2" t="inlineStr">
        <is>
          <t>INV00241</t>
        </is>
      </c>
      <c r="B244" s="7" t="n">
        <v>46169</v>
      </c>
      <c r="C244" s="2" t="inlineStr">
        <is>
          <t>Wipro</t>
        </is>
      </c>
      <c r="D244" s="2" t="inlineStr">
        <is>
          <t>Sales</t>
        </is>
      </c>
      <c r="E244" s="2" t="inlineStr">
        <is>
          <t>Office Supplies</t>
        </is>
      </c>
      <c r="F244" s="8" t="n">
        <v>57700</v>
      </c>
      <c r="G244" s="2" t="n">
        <v>15</v>
      </c>
      <c r="H244" s="7" t="n">
        <v>46184</v>
      </c>
      <c r="I244" s="7" t="n">
        <v>46184</v>
      </c>
      <c r="J244" s="2" t="inlineStr">
        <is>
          <t>Paid</t>
        </is>
      </c>
      <c r="K244" s="2" t="inlineStr">
        <is>
          <t>No</t>
        </is>
      </c>
      <c r="L244" s="9" t="n">
        <v>0</v>
      </c>
      <c r="M244" s="2" t="inlineStr">
        <is>
          <t>Received</t>
        </is>
      </c>
      <c r="N244" s="2" t="inlineStr">
        <is>
          <t>Approved</t>
        </is>
      </c>
      <c r="O244" s="2" t="n"/>
      <c r="P244" s="2" t="n"/>
      <c r="Q244" s="2" t="n"/>
      <c r="R244" s="2" t="n"/>
    </row>
    <row r="245">
      <c r="A245" s="2" t="inlineStr">
        <is>
          <t>INV00242</t>
        </is>
      </c>
      <c r="B245" s="7" t="n">
        <v>46169</v>
      </c>
      <c r="C245" s="2" t="inlineStr">
        <is>
          <t>Deloitte</t>
        </is>
      </c>
      <c r="D245" s="2" t="inlineStr">
        <is>
          <t>IT</t>
        </is>
      </c>
      <c r="E245" s="2" t="inlineStr">
        <is>
          <t>Professional Services</t>
        </is>
      </c>
      <c r="F245" s="8" t="n">
        <v>141200</v>
      </c>
      <c r="G245" s="2" t="n">
        <v>60</v>
      </c>
      <c r="H245" s="7" t="n">
        <v>46229</v>
      </c>
      <c r="I245" s="7" t="n">
        <v>46259</v>
      </c>
      <c r="J245" s="2" t="inlineStr">
        <is>
          <t>Paid</t>
        </is>
      </c>
      <c r="K245" s="2" t="inlineStr">
        <is>
          <t>Yes</t>
        </is>
      </c>
      <c r="L245" s="9" t="n">
        <v>0.02</v>
      </c>
      <c r="M245" s="2" t="inlineStr">
        <is>
          <t>Received</t>
        </is>
      </c>
      <c r="N245" s="2" t="inlineStr">
        <is>
          <t>Approved</t>
        </is>
      </c>
      <c r="O245" s="2" t="n"/>
      <c r="P245" s="2" t="n"/>
      <c r="Q245" s="2" t="n"/>
      <c r="R245" s="2" t="n"/>
    </row>
    <row r="246">
      <c r="A246" s="2" t="inlineStr">
        <is>
          <t>INV00243</t>
        </is>
      </c>
      <c r="B246" s="7" t="n">
        <v>46117</v>
      </c>
      <c r="C246" s="2" t="inlineStr">
        <is>
          <t>TCS</t>
        </is>
      </c>
      <c r="D246" s="2" t="inlineStr">
        <is>
          <t>Operations</t>
        </is>
      </c>
      <c r="E246" s="2" t="inlineStr">
        <is>
          <t>Consulting</t>
        </is>
      </c>
      <c r="F246" s="8" t="n">
        <v>147700</v>
      </c>
      <c r="G246" s="2" t="n">
        <v>15</v>
      </c>
      <c r="H246" s="7" t="n">
        <v>46132</v>
      </c>
      <c r="I246" s="7" t="n">
        <v>46132</v>
      </c>
      <c r="J246" s="2" t="inlineStr">
        <is>
          <t>Paid</t>
        </is>
      </c>
      <c r="K246" s="2" t="inlineStr">
        <is>
          <t>No</t>
        </is>
      </c>
      <c r="L246" s="9" t="n">
        <v>0</v>
      </c>
      <c r="M246" s="2" t="inlineStr">
        <is>
          <t>Received</t>
        </is>
      </c>
      <c r="N246" s="2" t="inlineStr">
        <is>
          <t>Approved</t>
        </is>
      </c>
      <c r="O246" s="2" t="n"/>
      <c r="P246" s="2" t="n"/>
      <c r="Q246" s="2" t="n"/>
      <c r="R246" s="2" t="n"/>
    </row>
    <row r="247">
      <c r="A247" s="2" t="inlineStr">
        <is>
          <t>INV00244</t>
        </is>
      </c>
      <c r="B247" s="7" t="n">
        <v>46177</v>
      </c>
      <c r="C247" s="2" t="inlineStr">
        <is>
          <t>Microsoft</t>
        </is>
      </c>
      <c r="D247" s="2" t="inlineStr">
        <is>
          <t>Operations</t>
        </is>
      </c>
      <c r="E247" s="2" t="inlineStr">
        <is>
          <t>Software</t>
        </is>
      </c>
      <c r="F247" s="8" t="n">
        <v>574900</v>
      </c>
      <c r="G247" s="2" t="n">
        <v>30</v>
      </c>
      <c r="H247" s="7" t="n">
        <v>46207</v>
      </c>
      <c r="I247" s="7" t="n">
        <v>46207</v>
      </c>
      <c r="J247" s="2" t="inlineStr">
        <is>
          <t>Paid</t>
        </is>
      </c>
      <c r="K247" s="2" t="inlineStr">
        <is>
          <t>No</t>
        </is>
      </c>
      <c r="L247" s="9" t="n">
        <v>0</v>
      </c>
      <c r="M247" s="2" t="inlineStr">
        <is>
          <t>Received</t>
        </is>
      </c>
      <c r="N247" s="2" t="inlineStr">
        <is>
          <t>Pending</t>
        </is>
      </c>
      <c r="O247" s="2" t="n"/>
      <c r="P247" s="2" t="n"/>
      <c r="Q247" s="2" t="n"/>
      <c r="R247" s="2" t="n"/>
    </row>
    <row r="248">
      <c r="A248" s="2" t="inlineStr">
        <is>
          <t>INV00245</t>
        </is>
      </c>
      <c r="B248" s="7" t="n">
        <v>46151</v>
      </c>
      <c r="C248" s="2" t="inlineStr">
        <is>
          <t>IBM</t>
        </is>
      </c>
      <c r="D248" s="2" t="inlineStr">
        <is>
          <t>Finance</t>
        </is>
      </c>
      <c r="E248" s="2" t="inlineStr">
        <is>
          <t>Software</t>
        </is>
      </c>
      <c r="F248" s="8" t="n">
        <v>624200</v>
      </c>
      <c r="G248" s="2" t="n">
        <v>30</v>
      </c>
      <c r="H248" s="7" t="n">
        <v>46181</v>
      </c>
      <c r="I248" s="7" t="n">
        <v>46181</v>
      </c>
      <c r="J248" s="2" t="inlineStr">
        <is>
          <t>Paid</t>
        </is>
      </c>
      <c r="K248" s="2" t="inlineStr">
        <is>
          <t>Yes</t>
        </is>
      </c>
      <c r="L248" s="9" t="n">
        <v>0.02</v>
      </c>
      <c r="M248" s="2" t="inlineStr">
        <is>
          <t>Received</t>
        </is>
      </c>
      <c r="N248" s="2" t="inlineStr">
        <is>
          <t>Approved</t>
        </is>
      </c>
      <c r="O248" s="2" t="n"/>
      <c r="P248" s="2" t="n"/>
      <c r="Q248" s="2" t="n"/>
      <c r="R248" s="2" t="n"/>
    </row>
    <row r="249">
      <c r="A249" s="2" t="inlineStr">
        <is>
          <t>INV00246</t>
        </is>
      </c>
      <c r="B249" s="7" t="n">
        <v>46273</v>
      </c>
      <c r="C249" s="2" t="inlineStr">
        <is>
          <t>SAP</t>
        </is>
      </c>
      <c r="D249" s="2" t="inlineStr">
        <is>
          <t>Marketing</t>
        </is>
      </c>
      <c r="E249" s="2" t="inlineStr">
        <is>
          <t>Facilities</t>
        </is>
      </c>
      <c r="F249" s="8" t="n">
        <v>836400</v>
      </c>
      <c r="G249" s="2" t="n">
        <v>15</v>
      </c>
      <c r="H249" s="7" t="n">
        <v>46288</v>
      </c>
      <c r="I249" s="7" t="n">
        <v>46303</v>
      </c>
      <c r="J249" s="2" t="inlineStr">
        <is>
          <t>Paid</t>
        </is>
      </c>
      <c r="K249" s="2" t="inlineStr">
        <is>
          <t>Yes</t>
        </is>
      </c>
      <c r="L249" s="9" t="n">
        <v>0.02</v>
      </c>
      <c r="M249" s="2" t="inlineStr">
        <is>
          <t>Received</t>
        </is>
      </c>
      <c r="N249" s="2" t="inlineStr">
        <is>
          <t>Approved</t>
        </is>
      </c>
      <c r="O249" s="2" t="n"/>
      <c r="P249" s="2" t="n"/>
      <c r="Q249" s="2" t="n"/>
      <c r="R249" s="2" t="n"/>
    </row>
    <row r="250">
      <c r="A250" s="2" t="inlineStr">
        <is>
          <t>INV00247</t>
        </is>
      </c>
      <c r="B250" s="7" t="n">
        <v>46148</v>
      </c>
      <c r="C250" s="2" t="inlineStr">
        <is>
          <t>Microsoft</t>
        </is>
      </c>
      <c r="D250" s="2" t="inlineStr">
        <is>
          <t>HR</t>
        </is>
      </c>
      <c r="E250" s="2" t="inlineStr">
        <is>
          <t>Office Supplies</t>
        </is>
      </c>
      <c r="F250" s="8" t="n">
        <v>858000</v>
      </c>
      <c r="G250" s="2" t="n">
        <v>30</v>
      </c>
      <c r="H250" s="7" t="n">
        <v>46178</v>
      </c>
      <c r="I250" s="7" t="n">
        <v>46268</v>
      </c>
      <c r="J250" s="2" t="inlineStr">
        <is>
          <t>Paid</t>
        </is>
      </c>
      <c r="K250" s="2" t="inlineStr">
        <is>
          <t>No</t>
        </is>
      </c>
      <c r="L250" s="9" t="n">
        <v>0</v>
      </c>
      <c r="M250" s="2" t="inlineStr">
        <is>
          <t>Received</t>
        </is>
      </c>
      <c r="N250" s="2" t="inlineStr">
        <is>
          <t>Pending</t>
        </is>
      </c>
      <c r="O250" s="2" t="n"/>
      <c r="P250" s="2" t="n"/>
      <c r="Q250" s="2" t="n"/>
      <c r="R250" s="2" t="n"/>
    </row>
    <row r="251">
      <c r="A251" s="2" t="inlineStr">
        <is>
          <t>INV00248</t>
        </is>
      </c>
      <c r="B251" s="7" t="n">
        <v>46085</v>
      </c>
      <c r="C251" s="2" t="inlineStr">
        <is>
          <t>TCS</t>
        </is>
      </c>
      <c r="D251" s="2" t="inlineStr">
        <is>
          <t>Sales</t>
        </is>
      </c>
      <c r="E251" s="2" t="inlineStr">
        <is>
          <t>Cloud</t>
        </is>
      </c>
      <c r="F251" s="8" t="n">
        <v>135800</v>
      </c>
      <c r="G251" s="2" t="n">
        <v>45</v>
      </c>
      <c r="H251" s="7" t="n">
        <v>46130</v>
      </c>
      <c r="I251" s="2" t="n"/>
      <c r="J251" s="2" t="inlineStr">
        <is>
          <t>Pending</t>
        </is>
      </c>
      <c r="K251" s="2" t="inlineStr">
        <is>
          <t>No</t>
        </is>
      </c>
      <c r="L251" s="9" t="n">
        <v>0</v>
      </c>
      <c r="M251" s="2" t="inlineStr">
        <is>
          <t>Received</t>
        </is>
      </c>
      <c r="N251" s="2" t="inlineStr">
        <is>
          <t>Pending</t>
        </is>
      </c>
      <c r="O251" s="2" t="n"/>
      <c r="P251" s="2" t="n"/>
      <c r="Q251" s="2" t="n"/>
      <c r="R251" s="2" t="n"/>
    </row>
    <row r="252">
      <c r="A252" s="2" t="inlineStr">
        <is>
          <t>INV00249</t>
        </is>
      </c>
      <c r="B252" s="7" t="n">
        <v>46215</v>
      </c>
      <c r="C252" s="2" t="inlineStr">
        <is>
          <t>Zoho</t>
        </is>
      </c>
      <c r="D252" s="2" t="inlineStr">
        <is>
          <t>Finance</t>
        </is>
      </c>
      <c r="E252" s="2" t="inlineStr">
        <is>
          <t>Cloud</t>
        </is>
      </c>
      <c r="F252" s="8" t="n">
        <v>854700</v>
      </c>
      <c r="G252" s="2" t="n">
        <v>30</v>
      </c>
      <c r="H252" s="7" t="n">
        <v>46245</v>
      </c>
      <c r="I252" s="2" t="n"/>
      <c r="J252" s="2" t="inlineStr">
        <is>
          <t>Pending</t>
        </is>
      </c>
      <c r="K252" s="2" t="inlineStr">
        <is>
          <t>Yes</t>
        </is>
      </c>
      <c r="L252" s="9" t="n">
        <v>0.02</v>
      </c>
      <c r="M252" s="2" t="inlineStr">
        <is>
          <t>Received</t>
        </is>
      </c>
      <c r="N252" s="2" t="inlineStr">
        <is>
          <t>Pending</t>
        </is>
      </c>
      <c r="O252" s="2" t="n"/>
      <c r="P252" s="2" t="n"/>
      <c r="Q252" s="2" t="n"/>
      <c r="R252" s="2" t="n"/>
    </row>
    <row r="253">
      <c r="A253" s="2" t="inlineStr">
        <is>
          <t>INV00250</t>
        </is>
      </c>
      <c r="B253" s="7" t="n">
        <v>46300</v>
      </c>
      <c r="C253" s="2" t="inlineStr">
        <is>
          <t>Accenture</t>
        </is>
      </c>
      <c r="D253" s="2" t="inlineStr">
        <is>
          <t>Finance</t>
        </is>
      </c>
      <c r="E253" s="2" t="inlineStr">
        <is>
          <t>Facilities</t>
        </is>
      </c>
      <c r="F253" s="8" t="n">
        <v>137800</v>
      </c>
      <c r="G253" s="2" t="n">
        <v>60</v>
      </c>
      <c r="H253" s="7" t="n">
        <v>46360</v>
      </c>
      <c r="I253" s="7" t="n">
        <v>46360</v>
      </c>
      <c r="J253" s="2" t="inlineStr">
        <is>
          <t>Paid</t>
        </is>
      </c>
      <c r="K253" s="2" t="inlineStr">
        <is>
          <t>Yes</t>
        </is>
      </c>
      <c r="L253" s="9" t="n">
        <v>0.02</v>
      </c>
      <c r="M253" s="2" t="inlineStr">
        <is>
          <t>Received</t>
        </is>
      </c>
      <c r="N253" s="2" t="inlineStr">
        <is>
          <t>Approved</t>
        </is>
      </c>
      <c r="O253" s="2" t="n"/>
      <c r="P253" s="2" t="n"/>
      <c r="Q253" s="2" t="n"/>
      <c r="R253" s="2" t="n"/>
    </row>
    <row r="254">
      <c r="A254" s="2" t="inlineStr">
        <is>
          <t>INV00251</t>
        </is>
      </c>
      <c r="B254" s="7" t="n">
        <v>46302</v>
      </c>
      <c r="C254" s="2" t="inlineStr">
        <is>
          <t>Cognizant</t>
        </is>
      </c>
      <c r="D254" s="2" t="inlineStr">
        <is>
          <t>Finance</t>
        </is>
      </c>
      <c r="E254" s="2" t="inlineStr">
        <is>
          <t>Consulting</t>
        </is>
      </c>
      <c r="F254" s="8" t="n">
        <v>883200</v>
      </c>
      <c r="G254" s="2" t="n">
        <v>30</v>
      </c>
      <c r="H254" s="7" t="n">
        <v>46332</v>
      </c>
      <c r="I254" s="7" t="n">
        <v>46332</v>
      </c>
      <c r="J254" s="2" t="inlineStr">
        <is>
          <t>Paid</t>
        </is>
      </c>
      <c r="K254" s="2" t="inlineStr">
        <is>
          <t>No</t>
        </is>
      </c>
      <c r="L254" s="9" t="n">
        <v>0</v>
      </c>
      <c r="M254" s="2" t="inlineStr">
        <is>
          <t>Received</t>
        </is>
      </c>
      <c r="N254" s="2" t="inlineStr">
        <is>
          <t>Approved</t>
        </is>
      </c>
      <c r="O254" s="2" t="n"/>
      <c r="P254" s="2" t="n"/>
      <c r="Q254" s="2" t="n"/>
      <c r="R254" s="2" t="n"/>
    </row>
    <row r="255">
      <c r="A255" s="2" t="inlineStr">
        <is>
          <t>INV00252</t>
        </is>
      </c>
      <c r="B255" s="7" t="n">
        <v>46293</v>
      </c>
      <c r="C255" s="2" t="inlineStr">
        <is>
          <t>Oracle</t>
        </is>
      </c>
      <c r="D255" s="2" t="inlineStr">
        <is>
          <t>IT</t>
        </is>
      </c>
      <c r="E255" s="2" t="inlineStr">
        <is>
          <t>Consulting</t>
        </is>
      </c>
      <c r="F255" s="8" t="n">
        <v>502400</v>
      </c>
      <c r="G255" s="2" t="n">
        <v>60</v>
      </c>
      <c r="H255" s="7" t="n">
        <v>46353</v>
      </c>
      <c r="I255" s="7" t="n">
        <v>46353</v>
      </c>
      <c r="J255" s="2" t="inlineStr">
        <is>
          <t>Paid</t>
        </is>
      </c>
      <c r="K255" s="2" t="inlineStr">
        <is>
          <t>No</t>
        </is>
      </c>
      <c r="L255" s="9" t="n">
        <v>0</v>
      </c>
      <c r="M255" s="2" t="inlineStr">
        <is>
          <t>Received</t>
        </is>
      </c>
      <c r="N255" s="2" t="inlineStr">
        <is>
          <t>Pending</t>
        </is>
      </c>
      <c r="O255" s="2" t="n"/>
      <c r="P255" s="2" t="n"/>
      <c r="Q255" s="2" t="n"/>
      <c r="R255" s="2" t="n"/>
    </row>
    <row r="256">
      <c r="A256" s="2" t="inlineStr">
        <is>
          <t>INV00253</t>
        </is>
      </c>
      <c r="B256" s="7" t="n">
        <v>46337</v>
      </c>
      <c r="C256" s="2" t="inlineStr">
        <is>
          <t>Deloitte</t>
        </is>
      </c>
      <c r="D256" s="2" t="inlineStr">
        <is>
          <t>Sales</t>
        </is>
      </c>
      <c r="E256" s="2" t="inlineStr">
        <is>
          <t>Office Supplies</t>
        </is>
      </c>
      <c r="F256" s="8" t="n">
        <v>59700</v>
      </c>
      <c r="G256" s="2" t="n">
        <v>45</v>
      </c>
      <c r="H256" s="7" t="n">
        <v>46382</v>
      </c>
      <c r="I256" s="7" t="n">
        <v>46397</v>
      </c>
      <c r="J256" s="2" t="inlineStr">
        <is>
          <t>Paid</t>
        </is>
      </c>
      <c r="K256" s="2" t="inlineStr">
        <is>
          <t>Yes</t>
        </is>
      </c>
      <c r="L256" s="9" t="n">
        <v>0.02</v>
      </c>
      <c r="M256" s="2" t="inlineStr">
        <is>
          <t>Received</t>
        </is>
      </c>
      <c r="N256" s="2" t="inlineStr">
        <is>
          <t>Approved</t>
        </is>
      </c>
      <c r="O256" s="2" t="n"/>
      <c r="P256" s="2" t="n"/>
      <c r="Q256" s="2" t="n"/>
      <c r="R256" s="2" t="n"/>
    </row>
    <row r="257">
      <c r="A257" s="2" t="inlineStr">
        <is>
          <t>INV00254</t>
        </is>
      </c>
      <c r="B257" s="7" t="n">
        <v>46375</v>
      </c>
      <c r="C257" s="2" t="inlineStr">
        <is>
          <t>Adobe</t>
        </is>
      </c>
      <c r="D257" s="2" t="inlineStr">
        <is>
          <t>Marketing</t>
        </is>
      </c>
      <c r="E257" s="2" t="inlineStr">
        <is>
          <t>Software</t>
        </is>
      </c>
      <c r="F257" s="8" t="n">
        <v>152600</v>
      </c>
      <c r="G257" s="2" t="n">
        <v>30</v>
      </c>
      <c r="H257" s="7" t="n">
        <v>46405</v>
      </c>
      <c r="I257" s="7" t="n">
        <v>46405</v>
      </c>
      <c r="J257" s="2" t="inlineStr">
        <is>
          <t>Paid</t>
        </is>
      </c>
      <c r="K257" s="2" t="inlineStr">
        <is>
          <t>No</t>
        </is>
      </c>
      <c r="L257" s="9" t="n">
        <v>0</v>
      </c>
      <c r="M257" s="2" t="inlineStr">
        <is>
          <t>Received</t>
        </is>
      </c>
      <c r="N257" s="2" t="inlineStr">
        <is>
          <t>Approved</t>
        </is>
      </c>
      <c r="O257" s="2" t="n"/>
      <c r="P257" s="2" t="n"/>
      <c r="Q257" s="2" t="n"/>
      <c r="R257" s="2" t="n"/>
    </row>
    <row r="258">
      <c r="A258" s="2" t="inlineStr">
        <is>
          <t>INV00255</t>
        </is>
      </c>
      <c r="B258" s="7" t="n">
        <v>46184</v>
      </c>
      <c r="C258" s="2" t="inlineStr">
        <is>
          <t>Deloitte</t>
        </is>
      </c>
      <c r="D258" s="2" t="inlineStr">
        <is>
          <t>Sales</t>
        </is>
      </c>
      <c r="E258" s="2" t="inlineStr">
        <is>
          <t>Software</t>
        </is>
      </c>
      <c r="F258" s="8" t="n">
        <v>114400</v>
      </c>
      <c r="G258" s="2" t="n">
        <v>45</v>
      </c>
      <c r="H258" s="7" t="n">
        <v>46229</v>
      </c>
      <c r="I258" s="7" t="n">
        <v>46229</v>
      </c>
      <c r="J258" s="2" t="inlineStr">
        <is>
          <t>Paid</t>
        </is>
      </c>
      <c r="K258" s="2" t="inlineStr">
        <is>
          <t>No</t>
        </is>
      </c>
      <c r="L258" s="9" t="n">
        <v>0</v>
      </c>
      <c r="M258" s="2" t="inlineStr">
        <is>
          <t>Received</t>
        </is>
      </c>
      <c r="N258" s="2" t="inlineStr">
        <is>
          <t>Approved</t>
        </is>
      </c>
      <c r="O258" s="2" t="n"/>
      <c r="P258" s="2" t="n"/>
      <c r="Q258" s="2" t="n"/>
      <c r="R258" s="2" t="n"/>
    </row>
    <row r="259">
      <c r="A259" s="2" t="inlineStr">
        <is>
          <t>INV00256</t>
        </is>
      </c>
      <c r="B259" s="7" t="n">
        <v>46258</v>
      </c>
      <c r="C259" s="2" t="inlineStr">
        <is>
          <t>Adobe</t>
        </is>
      </c>
      <c r="D259" s="2" t="inlineStr">
        <is>
          <t>Finance</t>
        </is>
      </c>
      <c r="E259" s="2" t="inlineStr">
        <is>
          <t>Professional Services</t>
        </is>
      </c>
      <c r="F259" s="8" t="n">
        <v>513400</v>
      </c>
      <c r="G259" s="2" t="n">
        <v>60</v>
      </c>
      <c r="H259" s="7" t="n">
        <v>46318</v>
      </c>
      <c r="I259" s="7" t="n">
        <v>46318</v>
      </c>
      <c r="J259" s="2" t="inlineStr">
        <is>
          <t>Paid</t>
        </is>
      </c>
      <c r="K259" s="2" t="inlineStr">
        <is>
          <t>No</t>
        </is>
      </c>
      <c r="L259" s="9" t="n">
        <v>0</v>
      </c>
      <c r="M259" s="2" t="inlineStr">
        <is>
          <t>Received</t>
        </is>
      </c>
      <c r="N259" s="2" t="inlineStr">
        <is>
          <t>Approved</t>
        </is>
      </c>
      <c r="O259" s="2" t="n"/>
      <c r="P259" s="2" t="n"/>
      <c r="Q259" s="2" t="n"/>
      <c r="R259" s="2" t="n"/>
    </row>
    <row r="260">
      <c r="A260" s="2" t="inlineStr">
        <is>
          <t>INV00257</t>
        </is>
      </c>
      <c r="B260" s="7" t="n">
        <v>46096</v>
      </c>
      <c r="C260" s="2" t="inlineStr">
        <is>
          <t>Amazon Web Services</t>
        </is>
      </c>
      <c r="D260" s="2" t="inlineStr">
        <is>
          <t>IT</t>
        </is>
      </c>
      <c r="E260" s="2" t="inlineStr">
        <is>
          <t>Consulting</t>
        </is>
      </c>
      <c r="F260" s="8" t="n">
        <v>83100</v>
      </c>
      <c r="G260" s="2" t="n">
        <v>15</v>
      </c>
      <c r="H260" s="7" t="n">
        <v>46111</v>
      </c>
      <c r="I260" s="7" t="n">
        <v>46171</v>
      </c>
      <c r="J260" s="2" t="inlineStr">
        <is>
          <t>Paid</t>
        </is>
      </c>
      <c r="K260" s="2" t="inlineStr">
        <is>
          <t>Yes</t>
        </is>
      </c>
      <c r="L260" s="9" t="n">
        <v>0.02</v>
      </c>
      <c r="M260" s="2" t="inlineStr">
        <is>
          <t>Received</t>
        </is>
      </c>
      <c r="N260" s="2" t="inlineStr">
        <is>
          <t>Pending</t>
        </is>
      </c>
      <c r="O260" s="2" t="n"/>
      <c r="P260" s="2" t="n"/>
      <c r="Q260" s="2" t="n"/>
      <c r="R260" s="2" t="n"/>
    </row>
    <row r="261">
      <c r="A261" s="2" t="inlineStr">
        <is>
          <t>INV00258</t>
        </is>
      </c>
      <c r="B261" s="7" t="n">
        <v>46064</v>
      </c>
      <c r="C261" s="2" t="inlineStr">
        <is>
          <t>Accenture</t>
        </is>
      </c>
      <c r="D261" s="2" t="inlineStr">
        <is>
          <t>Marketing</t>
        </is>
      </c>
      <c r="E261" s="2" t="inlineStr">
        <is>
          <t>Professional Services</t>
        </is>
      </c>
      <c r="F261" s="8" t="n">
        <v>740200</v>
      </c>
      <c r="G261" s="2" t="n">
        <v>15</v>
      </c>
      <c r="H261" s="7" t="n">
        <v>46079</v>
      </c>
      <c r="I261" s="7" t="n">
        <v>46079</v>
      </c>
      <c r="J261" s="2" t="inlineStr">
        <is>
          <t>Paid</t>
        </is>
      </c>
      <c r="K261" s="2" t="inlineStr">
        <is>
          <t>Yes</t>
        </is>
      </c>
      <c r="L261" s="9" t="n">
        <v>0.02</v>
      </c>
      <c r="M261" s="2" t="inlineStr">
        <is>
          <t>Received</t>
        </is>
      </c>
      <c r="N261" s="2" t="inlineStr">
        <is>
          <t>Approved</t>
        </is>
      </c>
      <c r="O261" s="2" t="n"/>
      <c r="P261" s="2" t="n"/>
      <c r="Q261" s="2" t="n"/>
      <c r="R261" s="2" t="n"/>
    </row>
    <row r="262">
      <c r="A262" s="2" t="inlineStr">
        <is>
          <t>INV00259</t>
        </is>
      </c>
      <c r="B262" s="7" t="n">
        <v>46380</v>
      </c>
      <c r="C262" s="2" t="inlineStr">
        <is>
          <t>Google Cloud</t>
        </is>
      </c>
      <c r="D262" s="2" t="inlineStr">
        <is>
          <t>HR</t>
        </is>
      </c>
      <c r="E262" s="2" t="inlineStr">
        <is>
          <t>Travel</t>
        </is>
      </c>
      <c r="F262" s="8" t="n">
        <v>321900</v>
      </c>
      <c r="G262" s="2" t="n">
        <v>45</v>
      </c>
      <c r="H262" s="7" t="n">
        <v>46425</v>
      </c>
      <c r="I262" s="7" t="n">
        <v>46455</v>
      </c>
      <c r="J262" s="2" t="inlineStr">
        <is>
          <t>Paid</t>
        </is>
      </c>
      <c r="K262" s="2" t="inlineStr">
        <is>
          <t>Yes</t>
        </is>
      </c>
      <c r="L262" s="9" t="n">
        <v>0.02</v>
      </c>
      <c r="M262" s="2" t="inlineStr">
        <is>
          <t>Received</t>
        </is>
      </c>
      <c r="N262" s="2" t="inlineStr">
        <is>
          <t>Approved</t>
        </is>
      </c>
      <c r="O262" s="2" t="n"/>
      <c r="P262" s="2" t="n"/>
      <c r="Q262" s="2" t="n"/>
      <c r="R262" s="2" t="n"/>
    </row>
    <row r="263">
      <c r="A263" s="2" t="inlineStr">
        <is>
          <t>INV00260</t>
        </is>
      </c>
      <c r="B263" s="7" t="n">
        <v>46169</v>
      </c>
      <c r="C263" s="2" t="inlineStr">
        <is>
          <t>SAP</t>
        </is>
      </c>
      <c r="D263" s="2" t="inlineStr">
        <is>
          <t>Sales</t>
        </is>
      </c>
      <c r="E263" s="2" t="inlineStr">
        <is>
          <t>Office Supplies</t>
        </is>
      </c>
      <c r="F263" s="8" t="n">
        <v>53900</v>
      </c>
      <c r="G263" s="2" t="n">
        <v>60</v>
      </c>
      <c r="H263" s="7" t="n">
        <v>46229</v>
      </c>
      <c r="I263" s="7" t="n">
        <v>46319</v>
      </c>
      <c r="J263" s="2" t="inlineStr">
        <is>
          <t>Paid</t>
        </is>
      </c>
      <c r="K263" s="2" t="inlineStr">
        <is>
          <t>No</t>
        </is>
      </c>
      <c r="L263" s="9" t="n">
        <v>0</v>
      </c>
      <c r="M263" s="2" t="inlineStr">
        <is>
          <t>Received</t>
        </is>
      </c>
      <c r="N263" s="2" t="inlineStr">
        <is>
          <t>Approved</t>
        </is>
      </c>
      <c r="O263" s="2" t="n"/>
      <c r="P263" s="2" t="n"/>
      <c r="Q263" s="2" t="n"/>
      <c r="R263" s="2" t="n"/>
    </row>
    <row r="264">
      <c r="A264" s="2" t="inlineStr">
        <is>
          <t>INV00261</t>
        </is>
      </c>
      <c r="B264" s="7" t="n">
        <v>46250</v>
      </c>
      <c r="C264" s="2" t="inlineStr">
        <is>
          <t>Zoho</t>
        </is>
      </c>
      <c r="D264" s="2" t="inlineStr">
        <is>
          <t>Sales</t>
        </is>
      </c>
      <c r="E264" s="2" t="inlineStr">
        <is>
          <t>Consulting</t>
        </is>
      </c>
      <c r="F264" s="8" t="n">
        <v>540600</v>
      </c>
      <c r="G264" s="2" t="n">
        <v>15</v>
      </c>
      <c r="H264" s="7" t="n">
        <v>46265</v>
      </c>
      <c r="I264" s="2" t="n"/>
      <c r="J264" s="2" t="inlineStr">
        <is>
          <t>Pending</t>
        </is>
      </c>
      <c r="K264" s="2" t="inlineStr">
        <is>
          <t>No</t>
        </is>
      </c>
      <c r="L264" s="9" t="n">
        <v>0</v>
      </c>
      <c r="M264" s="2" t="inlineStr">
        <is>
          <t>Received</t>
        </is>
      </c>
      <c r="N264" s="2" t="inlineStr">
        <is>
          <t>Approved</t>
        </is>
      </c>
      <c r="O264" s="2" t="n"/>
      <c r="P264" s="2" t="n"/>
      <c r="Q264" s="2" t="n"/>
      <c r="R264" s="2" t="n"/>
    </row>
    <row r="265">
      <c r="A265" s="2" t="inlineStr">
        <is>
          <t>INV00262</t>
        </is>
      </c>
      <c r="B265" s="7" t="n">
        <v>46243</v>
      </c>
      <c r="C265" s="2" t="inlineStr">
        <is>
          <t>TCS</t>
        </is>
      </c>
      <c r="D265" s="2" t="inlineStr">
        <is>
          <t>HR</t>
        </is>
      </c>
      <c r="E265" s="2" t="inlineStr">
        <is>
          <t>Office Supplies</t>
        </is>
      </c>
      <c r="F265" s="8" t="n">
        <v>42000</v>
      </c>
      <c r="G265" s="2" t="n">
        <v>15</v>
      </c>
      <c r="H265" s="7" t="n">
        <v>46258</v>
      </c>
      <c r="I265" s="7" t="n">
        <v>46258</v>
      </c>
      <c r="J265" s="2" t="inlineStr">
        <is>
          <t>Paid</t>
        </is>
      </c>
      <c r="K265" s="2" t="inlineStr">
        <is>
          <t>No</t>
        </is>
      </c>
      <c r="L265" s="9" t="n">
        <v>0</v>
      </c>
      <c r="M265" s="2" t="inlineStr">
        <is>
          <t>Pending</t>
        </is>
      </c>
      <c r="N265" s="2" t="inlineStr">
        <is>
          <t>Approved</t>
        </is>
      </c>
      <c r="O265" s="2" t="n"/>
      <c r="P265" s="2" t="n"/>
      <c r="Q265" s="2" t="n"/>
      <c r="R265" s="2" t="n"/>
    </row>
    <row r="266">
      <c r="A266" s="2" t="inlineStr">
        <is>
          <t>INV00263</t>
        </is>
      </c>
      <c r="B266" s="7" t="n">
        <v>46267</v>
      </c>
      <c r="C266" s="2" t="inlineStr">
        <is>
          <t>HCLTech</t>
        </is>
      </c>
      <c r="D266" s="2" t="inlineStr">
        <is>
          <t>Operations</t>
        </is>
      </c>
      <c r="E266" s="2" t="inlineStr">
        <is>
          <t>Facilities</t>
        </is>
      </c>
      <c r="F266" s="8" t="n">
        <v>765300</v>
      </c>
      <c r="G266" s="2" t="n">
        <v>60</v>
      </c>
      <c r="H266" s="7" t="n">
        <v>46327</v>
      </c>
      <c r="I266" s="7" t="n">
        <v>46327</v>
      </c>
      <c r="J266" s="2" t="inlineStr">
        <is>
          <t>Paid</t>
        </is>
      </c>
      <c r="K266" s="2" t="inlineStr">
        <is>
          <t>Yes</t>
        </is>
      </c>
      <c r="L266" s="9" t="n">
        <v>0.02</v>
      </c>
      <c r="M266" s="2" t="inlineStr">
        <is>
          <t>Received</t>
        </is>
      </c>
      <c r="N266" s="2" t="inlineStr">
        <is>
          <t>Approved</t>
        </is>
      </c>
      <c r="O266" s="2" t="n"/>
      <c r="P266" s="2" t="n"/>
      <c r="Q266" s="2" t="n"/>
      <c r="R266" s="2" t="n"/>
    </row>
    <row r="267">
      <c r="A267" s="2" t="inlineStr">
        <is>
          <t>INV00264</t>
        </is>
      </c>
      <c r="B267" s="7" t="n">
        <v>46039</v>
      </c>
      <c r="C267" s="2" t="inlineStr">
        <is>
          <t>Accenture</t>
        </is>
      </c>
      <c r="D267" s="2" t="inlineStr">
        <is>
          <t>Marketing</t>
        </is>
      </c>
      <c r="E267" s="2" t="inlineStr">
        <is>
          <t>Facilities</t>
        </is>
      </c>
      <c r="F267" s="8" t="n">
        <v>34500</v>
      </c>
      <c r="G267" s="2" t="n">
        <v>30</v>
      </c>
      <c r="H267" s="7" t="n">
        <v>46069</v>
      </c>
      <c r="I267" s="2" t="n"/>
      <c r="J267" s="2" t="inlineStr">
        <is>
          <t>Pending</t>
        </is>
      </c>
      <c r="K267" s="2" t="inlineStr">
        <is>
          <t>Yes</t>
        </is>
      </c>
      <c r="L267" s="9" t="n">
        <v>0.02</v>
      </c>
      <c r="M267" s="2" t="inlineStr">
        <is>
          <t>Received</t>
        </is>
      </c>
      <c r="N267" s="2" t="inlineStr">
        <is>
          <t>Approved</t>
        </is>
      </c>
      <c r="O267" s="2" t="n"/>
      <c r="P267" s="2" t="n"/>
      <c r="Q267" s="2" t="n"/>
      <c r="R267" s="2" t="n"/>
    </row>
    <row r="268">
      <c r="A268" s="2" t="inlineStr">
        <is>
          <t>INV00265</t>
        </is>
      </c>
      <c r="B268" s="7" t="n">
        <v>46036</v>
      </c>
      <c r="C268" s="2" t="inlineStr">
        <is>
          <t>Amazon Web Services</t>
        </is>
      </c>
      <c r="D268" s="2" t="inlineStr">
        <is>
          <t>Sales</t>
        </is>
      </c>
      <c r="E268" s="2" t="inlineStr">
        <is>
          <t>Professional Services</t>
        </is>
      </c>
      <c r="F268" s="8" t="n">
        <v>720400</v>
      </c>
      <c r="G268" s="2" t="n">
        <v>30</v>
      </c>
      <c r="H268" s="7" t="n">
        <v>46066</v>
      </c>
      <c r="I268" s="7" t="n">
        <v>46081</v>
      </c>
      <c r="J268" s="2" t="inlineStr">
        <is>
          <t>Paid</t>
        </is>
      </c>
      <c r="K268" s="2" t="inlineStr">
        <is>
          <t>No</t>
        </is>
      </c>
      <c r="L268" s="9" t="n">
        <v>0</v>
      </c>
      <c r="M268" s="2" t="inlineStr">
        <is>
          <t>Received</t>
        </is>
      </c>
      <c r="N268" s="2" t="inlineStr">
        <is>
          <t>Approved</t>
        </is>
      </c>
      <c r="O268" s="2" t="n"/>
      <c r="P268" s="2" t="n"/>
      <c r="Q268" s="2" t="n"/>
      <c r="R268" s="2" t="n"/>
    </row>
    <row r="269">
      <c r="A269" s="2" t="inlineStr">
        <is>
          <t>INV00266</t>
        </is>
      </c>
      <c r="B269" s="7" t="n">
        <v>46276</v>
      </c>
      <c r="C269" s="2" t="inlineStr">
        <is>
          <t>HCLTech</t>
        </is>
      </c>
      <c r="D269" s="2" t="inlineStr">
        <is>
          <t>HR</t>
        </is>
      </c>
      <c r="E269" s="2" t="inlineStr">
        <is>
          <t>Office Supplies</t>
        </is>
      </c>
      <c r="F269" s="8" t="n">
        <v>259300</v>
      </c>
      <c r="G269" s="2" t="n">
        <v>60</v>
      </c>
      <c r="H269" s="7" t="n">
        <v>46336</v>
      </c>
      <c r="I269" s="7" t="n">
        <v>46336</v>
      </c>
      <c r="J269" s="2" t="inlineStr">
        <is>
          <t>Paid</t>
        </is>
      </c>
      <c r="K269" s="2" t="inlineStr">
        <is>
          <t>No</t>
        </is>
      </c>
      <c r="L269" s="9" t="n">
        <v>0</v>
      </c>
      <c r="M269" s="2" t="inlineStr">
        <is>
          <t>Received</t>
        </is>
      </c>
      <c r="N269" s="2" t="inlineStr">
        <is>
          <t>Pending</t>
        </is>
      </c>
      <c r="O269" s="2" t="n"/>
      <c r="P269" s="2" t="n"/>
      <c r="Q269" s="2" t="n"/>
      <c r="R269" s="2" t="n"/>
    </row>
    <row r="270">
      <c r="A270" s="2" t="inlineStr">
        <is>
          <t>INV00267</t>
        </is>
      </c>
      <c r="B270" s="7" t="n">
        <v>46057</v>
      </c>
      <c r="C270" s="2" t="inlineStr">
        <is>
          <t>Accenture</t>
        </is>
      </c>
      <c r="D270" s="2" t="inlineStr">
        <is>
          <t>IT</t>
        </is>
      </c>
      <c r="E270" s="2" t="inlineStr">
        <is>
          <t>Facilities</t>
        </is>
      </c>
      <c r="F270" s="8" t="n">
        <v>910100</v>
      </c>
      <c r="G270" s="2" t="n">
        <v>45</v>
      </c>
      <c r="H270" s="7" t="n">
        <v>46102</v>
      </c>
      <c r="I270" s="7" t="n">
        <v>46107</v>
      </c>
      <c r="J270" s="2" t="inlineStr">
        <is>
          <t>Paid</t>
        </is>
      </c>
      <c r="K270" s="2" t="inlineStr">
        <is>
          <t>No</t>
        </is>
      </c>
      <c r="L270" s="9" t="n">
        <v>0</v>
      </c>
      <c r="M270" s="2" t="inlineStr">
        <is>
          <t>Received</t>
        </is>
      </c>
      <c r="N270" s="2" t="inlineStr">
        <is>
          <t>Approved</t>
        </is>
      </c>
      <c r="O270" s="2" t="n"/>
      <c r="P270" s="2" t="n"/>
      <c r="Q270" s="2" t="n"/>
      <c r="R270" s="2" t="n"/>
    </row>
    <row r="271">
      <c r="A271" s="2" t="inlineStr">
        <is>
          <t>INV00268</t>
        </is>
      </c>
      <c r="B271" s="7" t="n">
        <v>46208</v>
      </c>
      <c r="C271" s="2" t="inlineStr">
        <is>
          <t>Accenture</t>
        </is>
      </c>
      <c r="D271" s="2" t="inlineStr">
        <is>
          <t>Marketing</t>
        </is>
      </c>
      <c r="E271" s="2" t="inlineStr">
        <is>
          <t>Travel</t>
        </is>
      </c>
      <c r="F271" s="8" t="n">
        <v>917200</v>
      </c>
      <c r="G271" s="2" t="n">
        <v>60</v>
      </c>
      <c r="H271" s="7" t="n">
        <v>46268</v>
      </c>
      <c r="I271" s="7" t="n">
        <v>46268</v>
      </c>
      <c r="J271" s="2" t="inlineStr">
        <is>
          <t>Paid</t>
        </is>
      </c>
      <c r="K271" s="2" t="inlineStr">
        <is>
          <t>No</t>
        </is>
      </c>
      <c r="L271" s="9" t="n">
        <v>0</v>
      </c>
      <c r="M271" s="2" t="inlineStr">
        <is>
          <t>Received</t>
        </is>
      </c>
      <c r="N271" s="2" t="inlineStr">
        <is>
          <t>Approved</t>
        </is>
      </c>
      <c r="O271" s="2" t="n"/>
      <c r="P271" s="2" t="n"/>
      <c r="Q271" s="2" t="n"/>
      <c r="R271" s="2" t="n"/>
    </row>
    <row r="272">
      <c r="A272" s="2" t="inlineStr">
        <is>
          <t>INV00269</t>
        </is>
      </c>
      <c r="B272" s="7" t="n">
        <v>46200</v>
      </c>
      <c r="C272" s="2" t="inlineStr">
        <is>
          <t>Cognizant</t>
        </is>
      </c>
      <c r="D272" s="2" t="inlineStr">
        <is>
          <t>HR</t>
        </is>
      </c>
      <c r="E272" s="2" t="inlineStr">
        <is>
          <t>Consulting</t>
        </is>
      </c>
      <c r="F272" s="8" t="n">
        <v>211500</v>
      </c>
      <c r="G272" s="2" t="n">
        <v>45</v>
      </c>
      <c r="H272" s="7" t="n">
        <v>46245</v>
      </c>
      <c r="I272" s="2" t="n"/>
      <c r="J272" s="2" t="inlineStr">
        <is>
          <t>Pending</t>
        </is>
      </c>
      <c r="K272" s="2" t="inlineStr">
        <is>
          <t>Yes</t>
        </is>
      </c>
      <c r="L272" s="9" t="n">
        <v>0.02</v>
      </c>
      <c r="M272" s="2" t="inlineStr">
        <is>
          <t>Received</t>
        </is>
      </c>
      <c r="N272" s="2" t="inlineStr">
        <is>
          <t>Approved</t>
        </is>
      </c>
      <c r="O272" s="2" t="n"/>
      <c r="P272" s="2" t="n"/>
      <c r="Q272" s="2" t="n"/>
      <c r="R272" s="2" t="n"/>
    </row>
    <row r="273">
      <c r="A273" s="2" t="inlineStr">
        <is>
          <t>INV00270</t>
        </is>
      </c>
      <c r="B273" s="7" t="n">
        <v>46182</v>
      </c>
      <c r="C273" s="2" t="inlineStr">
        <is>
          <t>Wipro</t>
        </is>
      </c>
      <c r="D273" s="2" t="inlineStr">
        <is>
          <t>Operations</t>
        </is>
      </c>
      <c r="E273" s="2" t="inlineStr">
        <is>
          <t>Office Supplies</t>
        </is>
      </c>
      <c r="F273" s="8" t="n">
        <v>408500</v>
      </c>
      <c r="G273" s="2" t="n">
        <v>15</v>
      </c>
      <c r="H273" s="7" t="n">
        <v>46197</v>
      </c>
      <c r="I273" s="2" t="n"/>
      <c r="J273" s="2" t="inlineStr">
        <is>
          <t>Pending</t>
        </is>
      </c>
      <c r="K273" s="2" t="inlineStr">
        <is>
          <t>No</t>
        </is>
      </c>
      <c r="L273" s="9" t="n">
        <v>0</v>
      </c>
      <c r="M273" s="2" t="inlineStr">
        <is>
          <t>Received</t>
        </is>
      </c>
      <c r="N273" s="2" t="inlineStr">
        <is>
          <t>Approved</t>
        </is>
      </c>
      <c r="O273" s="2" t="n"/>
      <c r="P273" s="2" t="n"/>
      <c r="Q273" s="2" t="n"/>
      <c r="R273" s="2" t="n"/>
    </row>
    <row r="274">
      <c r="A274" s="2" t="inlineStr">
        <is>
          <t>INV00271</t>
        </is>
      </c>
      <c r="B274" s="7" t="n">
        <v>46291</v>
      </c>
      <c r="C274" s="2" t="inlineStr">
        <is>
          <t>Deloitte</t>
        </is>
      </c>
      <c r="D274" s="2" t="inlineStr">
        <is>
          <t>IT</t>
        </is>
      </c>
      <c r="E274" s="2" t="inlineStr">
        <is>
          <t>Consulting</t>
        </is>
      </c>
      <c r="F274" s="8" t="n">
        <v>38200</v>
      </c>
      <c r="G274" s="2" t="n">
        <v>60</v>
      </c>
      <c r="H274" s="7" t="n">
        <v>46351</v>
      </c>
      <c r="I274" s="7" t="n">
        <v>46381</v>
      </c>
      <c r="J274" s="2" t="inlineStr">
        <is>
          <t>Paid</t>
        </is>
      </c>
      <c r="K274" s="2" t="inlineStr">
        <is>
          <t>Yes</t>
        </is>
      </c>
      <c r="L274" s="9" t="n">
        <v>0.02</v>
      </c>
      <c r="M274" s="2" t="inlineStr">
        <is>
          <t>Received</t>
        </is>
      </c>
      <c r="N274" s="2" t="inlineStr">
        <is>
          <t>Approved</t>
        </is>
      </c>
      <c r="O274" s="2" t="n"/>
      <c r="P274" s="2" t="n"/>
      <c r="Q274" s="2" t="n"/>
      <c r="R274" s="2" t="n"/>
    </row>
    <row r="275">
      <c r="A275" s="2" t="inlineStr">
        <is>
          <t>INV00272</t>
        </is>
      </c>
      <c r="B275" s="7" t="n">
        <v>46034</v>
      </c>
      <c r="C275" s="2" t="inlineStr">
        <is>
          <t>Wipro</t>
        </is>
      </c>
      <c r="D275" s="2" t="inlineStr">
        <is>
          <t>Finance</t>
        </is>
      </c>
      <c r="E275" s="2" t="inlineStr">
        <is>
          <t>Consulting</t>
        </is>
      </c>
      <c r="F275" s="8" t="n">
        <v>206800</v>
      </c>
      <c r="G275" s="2" t="n">
        <v>45</v>
      </c>
      <c r="H275" s="7" t="n">
        <v>46079</v>
      </c>
      <c r="I275" s="7" t="n">
        <v>46079</v>
      </c>
      <c r="J275" s="2" t="inlineStr">
        <is>
          <t>Paid</t>
        </is>
      </c>
      <c r="K275" s="2" t="inlineStr">
        <is>
          <t>No</t>
        </is>
      </c>
      <c r="L275" s="9" t="n">
        <v>0</v>
      </c>
      <c r="M275" s="2" t="inlineStr">
        <is>
          <t>Received</t>
        </is>
      </c>
      <c r="N275" s="2" t="inlineStr">
        <is>
          <t>Pending</t>
        </is>
      </c>
      <c r="O275" s="2" t="n"/>
      <c r="P275" s="2" t="n"/>
      <c r="Q275" s="2" t="n"/>
      <c r="R275" s="2" t="n"/>
    </row>
    <row r="276">
      <c r="A276" s="2" t="inlineStr">
        <is>
          <t>INV00273</t>
        </is>
      </c>
      <c r="B276" s="7" t="n">
        <v>46253</v>
      </c>
      <c r="C276" s="2" t="inlineStr">
        <is>
          <t>Google Cloud</t>
        </is>
      </c>
      <c r="D276" s="2" t="inlineStr">
        <is>
          <t>HR</t>
        </is>
      </c>
      <c r="E276" s="2" t="inlineStr">
        <is>
          <t>Consulting</t>
        </is>
      </c>
      <c r="F276" s="8" t="n">
        <v>210200</v>
      </c>
      <c r="G276" s="2" t="n">
        <v>30</v>
      </c>
      <c r="H276" s="7" t="n">
        <v>46283</v>
      </c>
      <c r="I276" s="7" t="n">
        <v>46283</v>
      </c>
      <c r="J276" s="2" t="inlineStr">
        <is>
          <t>Paid</t>
        </is>
      </c>
      <c r="K276" s="2" t="inlineStr">
        <is>
          <t>Yes</t>
        </is>
      </c>
      <c r="L276" s="9" t="n">
        <v>0.02</v>
      </c>
      <c r="M276" s="2" t="inlineStr">
        <is>
          <t>Received</t>
        </is>
      </c>
      <c r="N276" s="2" t="inlineStr">
        <is>
          <t>Pending</t>
        </is>
      </c>
      <c r="O276" s="2" t="n"/>
      <c r="P276" s="2" t="n"/>
      <c r="Q276" s="2" t="n"/>
      <c r="R276" s="2" t="n"/>
    </row>
    <row r="277">
      <c r="A277" s="2" t="inlineStr">
        <is>
          <t>INV00274</t>
        </is>
      </c>
      <c r="B277" s="7" t="n">
        <v>46133</v>
      </c>
      <c r="C277" s="2" t="inlineStr">
        <is>
          <t>TCS</t>
        </is>
      </c>
      <c r="D277" s="2" t="inlineStr">
        <is>
          <t>Sales</t>
        </is>
      </c>
      <c r="E277" s="2" t="inlineStr">
        <is>
          <t>Cloud</t>
        </is>
      </c>
      <c r="F277" s="8" t="n">
        <v>164600</v>
      </c>
      <c r="G277" s="2" t="n">
        <v>45</v>
      </c>
      <c r="H277" s="7" t="n">
        <v>46178</v>
      </c>
      <c r="I277" s="7" t="n">
        <v>46178</v>
      </c>
      <c r="J277" s="2" t="inlineStr">
        <is>
          <t>Paid</t>
        </is>
      </c>
      <c r="K277" s="2" t="inlineStr">
        <is>
          <t>Yes</t>
        </is>
      </c>
      <c r="L277" s="9" t="n">
        <v>0.02</v>
      </c>
      <c r="M277" s="2" t="inlineStr">
        <is>
          <t>Received</t>
        </is>
      </c>
      <c r="N277" s="2" t="inlineStr">
        <is>
          <t>Approved</t>
        </is>
      </c>
      <c r="O277" s="2" t="n"/>
      <c r="P277" s="2" t="n"/>
      <c r="Q277" s="2" t="n"/>
      <c r="R277" s="2" t="n"/>
    </row>
    <row r="278">
      <c r="A278" s="2" t="inlineStr">
        <is>
          <t>INV00275</t>
        </is>
      </c>
      <c r="B278" s="7" t="n">
        <v>46321</v>
      </c>
      <c r="C278" s="2" t="inlineStr">
        <is>
          <t>Infosys</t>
        </is>
      </c>
      <c r="D278" s="2" t="inlineStr">
        <is>
          <t>Sales</t>
        </is>
      </c>
      <c r="E278" s="2" t="inlineStr">
        <is>
          <t>Travel</t>
        </is>
      </c>
      <c r="F278" s="8" t="n">
        <v>532400</v>
      </c>
      <c r="G278" s="2" t="n">
        <v>45</v>
      </c>
      <c r="H278" s="7" t="n">
        <v>46366</v>
      </c>
      <c r="I278" s="7" t="n">
        <v>46366</v>
      </c>
      <c r="J278" s="2" t="inlineStr">
        <is>
          <t>Paid</t>
        </is>
      </c>
      <c r="K278" s="2" t="inlineStr">
        <is>
          <t>Yes</t>
        </is>
      </c>
      <c r="L278" s="9" t="n">
        <v>0.02</v>
      </c>
      <c r="M278" s="2" t="inlineStr">
        <is>
          <t>Received</t>
        </is>
      </c>
      <c r="N278" s="2" t="inlineStr">
        <is>
          <t>Approved</t>
        </is>
      </c>
      <c r="O278" s="2" t="n"/>
      <c r="P278" s="2" t="n"/>
      <c r="Q278" s="2" t="n"/>
      <c r="R278" s="2" t="n"/>
    </row>
    <row r="279">
      <c r="A279" s="2" t="inlineStr">
        <is>
          <t>INV00276</t>
        </is>
      </c>
      <c r="B279" s="7" t="n">
        <v>46299</v>
      </c>
      <c r="C279" s="2" t="inlineStr">
        <is>
          <t>Microsoft</t>
        </is>
      </c>
      <c r="D279" s="2" t="inlineStr">
        <is>
          <t>Marketing</t>
        </is>
      </c>
      <c r="E279" s="2" t="inlineStr">
        <is>
          <t>Travel</t>
        </is>
      </c>
      <c r="F279" s="8" t="n">
        <v>695300</v>
      </c>
      <c r="G279" s="2" t="n">
        <v>45</v>
      </c>
      <c r="H279" s="7" t="n">
        <v>46344</v>
      </c>
      <c r="I279" s="7" t="n">
        <v>46344</v>
      </c>
      <c r="J279" s="2" t="inlineStr">
        <is>
          <t>Paid</t>
        </is>
      </c>
      <c r="K279" s="2" t="inlineStr">
        <is>
          <t>Yes</t>
        </is>
      </c>
      <c r="L279" s="9" t="n">
        <v>0.02</v>
      </c>
      <c r="M279" s="2" t="inlineStr">
        <is>
          <t>Pending</t>
        </is>
      </c>
      <c r="N279" s="2" t="inlineStr">
        <is>
          <t>Approved</t>
        </is>
      </c>
      <c r="O279" s="2" t="n"/>
      <c r="P279" s="2" t="n"/>
      <c r="Q279" s="2" t="n"/>
      <c r="R279" s="2" t="n"/>
    </row>
    <row r="280">
      <c r="A280" s="2" t="inlineStr">
        <is>
          <t>INV00277</t>
        </is>
      </c>
      <c r="B280" s="7" t="n">
        <v>46151</v>
      </c>
      <c r="C280" s="2" t="inlineStr">
        <is>
          <t>SAP</t>
        </is>
      </c>
      <c r="D280" s="2" t="inlineStr">
        <is>
          <t>Sales</t>
        </is>
      </c>
      <c r="E280" s="2" t="inlineStr">
        <is>
          <t>Travel</t>
        </is>
      </c>
      <c r="F280" s="8" t="n">
        <v>51100</v>
      </c>
      <c r="G280" s="2" t="n">
        <v>45</v>
      </c>
      <c r="H280" s="7" t="n">
        <v>46196</v>
      </c>
      <c r="I280" s="2" t="n"/>
      <c r="J280" s="2" t="inlineStr">
        <is>
          <t>Pending</t>
        </is>
      </c>
      <c r="K280" s="2" t="inlineStr">
        <is>
          <t>No</t>
        </is>
      </c>
      <c r="L280" s="9" t="n">
        <v>0</v>
      </c>
      <c r="M280" s="2" t="inlineStr">
        <is>
          <t>Received</t>
        </is>
      </c>
      <c r="N280" s="2" t="inlineStr">
        <is>
          <t>Approved</t>
        </is>
      </c>
      <c r="O280" s="2" t="n"/>
      <c r="P280" s="2" t="n"/>
      <c r="Q280" s="2" t="n"/>
      <c r="R280" s="2" t="n"/>
    </row>
    <row r="281">
      <c r="A281" s="2" t="inlineStr">
        <is>
          <t>INV00278</t>
        </is>
      </c>
      <c r="B281" s="7" t="n">
        <v>46337</v>
      </c>
      <c r="C281" s="2" t="inlineStr">
        <is>
          <t>SAP</t>
        </is>
      </c>
      <c r="D281" s="2" t="inlineStr">
        <is>
          <t>Finance</t>
        </is>
      </c>
      <c r="E281" s="2" t="inlineStr">
        <is>
          <t>Travel</t>
        </is>
      </c>
      <c r="F281" s="8" t="n">
        <v>998100</v>
      </c>
      <c r="G281" s="2" t="n">
        <v>15</v>
      </c>
      <c r="H281" s="7" t="n">
        <v>46352</v>
      </c>
      <c r="I281" s="2" t="n"/>
      <c r="J281" s="2" t="inlineStr">
        <is>
          <t>Pending</t>
        </is>
      </c>
      <c r="K281" s="2" t="inlineStr">
        <is>
          <t>No</t>
        </is>
      </c>
      <c r="L281" s="9" t="n">
        <v>0</v>
      </c>
      <c r="M281" s="2" t="inlineStr">
        <is>
          <t>Received</t>
        </is>
      </c>
      <c r="N281" s="2" t="inlineStr">
        <is>
          <t>Approved</t>
        </is>
      </c>
      <c r="O281" s="2" t="n"/>
      <c r="P281" s="2" t="n"/>
      <c r="Q281" s="2" t="n"/>
      <c r="R281" s="2" t="n"/>
    </row>
    <row r="282">
      <c r="A282" s="2" t="inlineStr">
        <is>
          <t>INV00279</t>
        </is>
      </c>
      <c r="B282" s="7" t="n">
        <v>46322</v>
      </c>
      <c r="C282" s="2" t="inlineStr">
        <is>
          <t>TCS</t>
        </is>
      </c>
      <c r="D282" s="2" t="inlineStr">
        <is>
          <t>HR</t>
        </is>
      </c>
      <c r="E282" s="2" t="inlineStr">
        <is>
          <t>Travel</t>
        </is>
      </c>
      <c r="F282" s="8" t="n">
        <v>728700</v>
      </c>
      <c r="G282" s="2" t="n">
        <v>30</v>
      </c>
      <c r="H282" s="7" t="n">
        <v>46352</v>
      </c>
      <c r="I282" s="2" t="n"/>
      <c r="J282" s="2" t="inlineStr">
        <is>
          <t>Pending</t>
        </is>
      </c>
      <c r="K282" s="2" t="inlineStr">
        <is>
          <t>No</t>
        </is>
      </c>
      <c r="L282" s="9" t="n">
        <v>0</v>
      </c>
      <c r="M282" s="2" t="inlineStr">
        <is>
          <t>Received</t>
        </is>
      </c>
      <c r="N282" s="2" t="inlineStr">
        <is>
          <t>Approved</t>
        </is>
      </c>
      <c r="O282" s="2" t="n"/>
      <c r="P282" s="2" t="n"/>
      <c r="Q282" s="2" t="n"/>
      <c r="R282" s="2" t="n"/>
    </row>
    <row r="283">
      <c r="A283" s="2" t="inlineStr">
        <is>
          <t>INV00280</t>
        </is>
      </c>
      <c r="B283" s="7" t="n">
        <v>46344</v>
      </c>
      <c r="C283" s="2" t="inlineStr">
        <is>
          <t>Deloitte</t>
        </is>
      </c>
      <c r="D283" s="2" t="inlineStr">
        <is>
          <t>HR</t>
        </is>
      </c>
      <c r="E283" s="2" t="inlineStr">
        <is>
          <t>Software</t>
        </is>
      </c>
      <c r="F283" s="8" t="n">
        <v>36300</v>
      </c>
      <c r="G283" s="2" t="n">
        <v>60</v>
      </c>
      <c r="H283" s="7" t="n">
        <v>46404</v>
      </c>
      <c r="I283" s="2" t="n"/>
      <c r="J283" s="2" t="inlineStr">
        <is>
          <t>Pending</t>
        </is>
      </c>
      <c r="K283" s="2" t="inlineStr">
        <is>
          <t>No</t>
        </is>
      </c>
      <c r="L283" s="9" t="n">
        <v>0</v>
      </c>
      <c r="M283" s="2" t="inlineStr">
        <is>
          <t>Received</t>
        </is>
      </c>
      <c r="N283" s="2" t="inlineStr">
        <is>
          <t>Approved</t>
        </is>
      </c>
      <c r="O283" s="2" t="n"/>
      <c r="P283" s="2" t="n"/>
      <c r="Q283" s="2" t="n"/>
      <c r="R283" s="2" t="n"/>
    </row>
    <row r="284">
      <c r="A284" s="2" t="inlineStr">
        <is>
          <t>INV00281</t>
        </is>
      </c>
      <c r="B284" s="7" t="n">
        <v>46136</v>
      </c>
      <c r="C284" s="2" t="inlineStr">
        <is>
          <t>HCLTech</t>
        </is>
      </c>
      <c r="D284" s="2" t="inlineStr">
        <is>
          <t>HR</t>
        </is>
      </c>
      <c r="E284" s="2" t="inlineStr">
        <is>
          <t>Professional Services</t>
        </is>
      </c>
      <c r="F284" s="8" t="n">
        <v>689200</v>
      </c>
      <c r="G284" s="2" t="n">
        <v>45</v>
      </c>
      <c r="H284" s="7" t="n">
        <v>46181</v>
      </c>
      <c r="I284" s="2" t="n"/>
      <c r="J284" s="2" t="inlineStr">
        <is>
          <t>Pending</t>
        </is>
      </c>
      <c r="K284" s="2" t="inlineStr">
        <is>
          <t>No</t>
        </is>
      </c>
      <c r="L284" s="9" t="n">
        <v>0</v>
      </c>
      <c r="M284" s="2" t="inlineStr">
        <is>
          <t>Received</t>
        </is>
      </c>
      <c r="N284" s="2" t="inlineStr">
        <is>
          <t>Approved</t>
        </is>
      </c>
      <c r="O284" s="2" t="n"/>
      <c r="P284" s="2" t="n"/>
      <c r="Q284" s="2" t="n"/>
      <c r="R284" s="2" t="n"/>
    </row>
    <row r="285">
      <c r="A285" s="2" t="inlineStr">
        <is>
          <t>INV00282</t>
        </is>
      </c>
      <c r="B285" s="7" t="n">
        <v>46298</v>
      </c>
      <c r="C285" s="2" t="inlineStr">
        <is>
          <t>IBM</t>
        </is>
      </c>
      <c r="D285" s="2" t="inlineStr">
        <is>
          <t>Finance</t>
        </is>
      </c>
      <c r="E285" s="2" t="inlineStr">
        <is>
          <t>Office Supplies</t>
        </is>
      </c>
      <c r="F285" s="8" t="n">
        <v>536300</v>
      </c>
      <c r="G285" s="2" t="n">
        <v>15</v>
      </c>
      <c r="H285" s="7" t="n">
        <v>46313</v>
      </c>
      <c r="I285" s="7" t="n">
        <v>46343</v>
      </c>
      <c r="J285" s="2" t="inlineStr">
        <is>
          <t>Paid</t>
        </is>
      </c>
      <c r="K285" s="2" t="inlineStr">
        <is>
          <t>Yes</t>
        </is>
      </c>
      <c r="L285" s="9" t="n">
        <v>0.02</v>
      </c>
      <c r="M285" s="2" t="inlineStr">
        <is>
          <t>Pending</t>
        </is>
      </c>
      <c r="N285" s="2" t="inlineStr">
        <is>
          <t>Approved</t>
        </is>
      </c>
      <c r="O285" s="2" t="n"/>
      <c r="P285" s="2" t="n"/>
      <c r="Q285" s="2" t="n"/>
      <c r="R285" s="2" t="n"/>
    </row>
    <row r="286">
      <c r="A286" s="2" t="inlineStr">
        <is>
          <t>INV00283</t>
        </is>
      </c>
      <c r="B286" s="7" t="n">
        <v>46310</v>
      </c>
      <c r="C286" s="2" t="inlineStr">
        <is>
          <t>Deloitte</t>
        </is>
      </c>
      <c r="D286" s="2" t="inlineStr">
        <is>
          <t>HR</t>
        </is>
      </c>
      <c r="E286" s="2" t="inlineStr">
        <is>
          <t>Facilities</t>
        </is>
      </c>
      <c r="F286" s="8" t="n">
        <v>195800</v>
      </c>
      <c r="G286" s="2" t="n">
        <v>30</v>
      </c>
      <c r="H286" s="7" t="n">
        <v>46340</v>
      </c>
      <c r="I286" s="7" t="n">
        <v>46340</v>
      </c>
      <c r="J286" s="2" t="inlineStr">
        <is>
          <t>Paid</t>
        </is>
      </c>
      <c r="K286" s="2" t="inlineStr">
        <is>
          <t>No</t>
        </is>
      </c>
      <c r="L286" s="9" t="n">
        <v>0</v>
      </c>
      <c r="M286" s="2" t="inlineStr">
        <is>
          <t>Received</t>
        </is>
      </c>
      <c r="N286" s="2" t="inlineStr">
        <is>
          <t>Approved</t>
        </is>
      </c>
      <c r="O286" s="2" t="n"/>
      <c r="P286" s="2" t="n"/>
      <c r="Q286" s="2" t="n"/>
      <c r="R286" s="2" t="n"/>
    </row>
    <row r="287">
      <c r="A287" s="2" t="inlineStr">
        <is>
          <t>INV00284</t>
        </is>
      </c>
      <c r="B287" s="7" t="n">
        <v>46320</v>
      </c>
      <c r="C287" s="2" t="inlineStr">
        <is>
          <t>Deloitte</t>
        </is>
      </c>
      <c r="D287" s="2" t="inlineStr">
        <is>
          <t>Operations</t>
        </is>
      </c>
      <c r="E287" s="2" t="inlineStr">
        <is>
          <t>Facilities</t>
        </is>
      </c>
      <c r="F287" s="8" t="n">
        <v>575300</v>
      </c>
      <c r="G287" s="2" t="n">
        <v>15</v>
      </c>
      <c r="H287" s="7" t="n">
        <v>46335</v>
      </c>
      <c r="I287" s="7" t="n">
        <v>46425</v>
      </c>
      <c r="J287" s="2" t="inlineStr">
        <is>
          <t>Paid</t>
        </is>
      </c>
      <c r="K287" s="2" t="inlineStr">
        <is>
          <t>No</t>
        </is>
      </c>
      <c r="L287" s="9" t="n">
        <v>0</v>
      </c>
      <c r="M287" s="2" t="inlineStr">
        <is>
          <t>Received</t>
        </is>
      </c>
      <c r="N287" s="2" t="inlineStr">
        <is>
          <t>Approved</t>
        </is>
      </c>
      <c r="O287" s="2" t="n"/>
      <c r="P287" s="2" t="n"/>
      <c r="Q287" s="2" t="n"/>
      <c r="R287" s="2" t="n"/>
    </row>
    <row r="288">
      <c r="A288" s="2" t="inlineStr">
        <is>
          <t>INV00285</t>
        </is>
      </c>
      <c r="B288" s="7" t="n">
        <v>46174</v>
      </c>
      <c r="C288" s="2" t="inlineStr">
        <is>
          <t>Zoho</t>
        </is>
      </c>
      <c r="D288" s="2" t="inlineStr">
        <is>
          <t>HR</t>
        </is>
      </c>
      <c r="E288" s="2" t="inlineStr">
        <is>
          <t>Facilities</t>
        </is>
      </c>
      <c r="F288" s="8" t="n">
        <v>9400</v>
      </c>
      <c r="G288" s="2" t="n">
        <v>30</v>
      </c>
      <c r="H288" s="7" t="n">
        <v>46204</v>
      </c>
      <c r="I288" s="7" t="n">
        <v>46234</v>
      </c>
      <c r="J288" s="2" t="inlineStr">
        <is>
          <t>Paid</t>
        </is>
      </c>
      <c r="K288" s="2" t="inlineStr">
        <is>
          <t>Yes</t>
        </is>
      </c>
      <c r="L288" s="9" t="n">
        <v>0.02</v>
      </c>
      <c r="M288" s="2" t="inlineStr">
        <is>
          <t>Received</t>
        </is>
      </c>
      <c r="N288" s="2" t="inlineStr">
        <is>
          <t>Approved</t>
        </is>
      </c>
      <c r="O288" s="2" t="n"/>
      <c r="P288" s="2" t="n"/>
      <c r="Q288" s="2" t="n"/>
      <c r="R288" s="2" t="n"/>
    </row>
    <row r="289">
      <c r="A289" s="2" t="inlineStr">
        <is>
          <t>INV00286</t>
        </is>
      </c>
      <c r="B289" s="7" t="n">
        <v>46148</v>
      </c>
      <c r="C289" s="2" t="inlineStr">
        <is>
          <t>Amazon Web Services</t>
        </is>
      </c>
      <c r="D289" s="2" t="inlineStr">
        <is>
          <t>IT</t>
        </is>
      </c>
      <c r="E289" s="2" t="inlineStr">
        <is>
          <t>Consulting</t>
        </is>
      </c>
      <c r="F289" s="8" t="n">
        <v>640200</v>
      </c>
      <c r="G289" s="2" t="n">
        <v>45</v>
      </c>
      <c r="H289" s="7" t="n">
        <v>46193</v>
      </c>
      <c r="I289" s="7" t="n">
        <v>46198</v>
      </c>
      <c r="J289" s="2" t="inlineStr">
        <is>
          <t>Paid</t>
        </is>
      </c>
      <c r="K289" s="2" t="inlineStr">
        <is>
          <t>Yes</t>
        </is>
      </c>
      <c r="L289" s="9" t="n">
        <v>0.02</v>
      </c>
      <c r="M289" s="2" t="inlineStr">
        <is>
          <t>Pending</t>
        </is>
      </c>
      <c r="N289" s="2" t="inlineStr">
        <is>
          <t>Approved</t>
        </is>
      </c>
      <c r="O289" s="2" t="n"/>
      <c r="P289" s="2" t="n"/>
      <c r="Q289" s="2" t="n"/>
      <c r="R289" s="2" t="n"/>
    </row>
    <row r="290">
      <c r="A290" s="2" t="inlineStr">
        <is>
          <t>INV00287</t>
        </is>
      </c>
      <c r="B290" s="7" t="n">
        <v>46118</v>
      </c>
      <c r="C290" s="2" t="inlineStr">
        <is>
          <t>Zoho</t>
        </is>
      </c>
      <c r="D290" s="2" t="inlineStr">
        <is>
          <t>Operations</t>
        </is>
      </c>
      <c r="E290" s="2" t="inlineStr">
        <is>
          <t>Software</t>
        </is>
      </c>
      <c r="F290" s="8" t="n">
        <v>60000</v>
      </c>
      <c r="G290" s="2" t="n">
        <v>30</v>
      </c>
      <c r="H290" s="7" t="n">
        <v>46148</v>
      </c>
      <c r="I290" s="2" t="n"/>
      <c r="J290" s="2" t="inlineStr">
        <is>
          <t>Pending</t>
        </is>
      </c>
      <c r="K290" s="2" t="inlineStr">
        <is>
          <t>No</t>
        </is>
      </c>
      <c r="L290" s="9" t="n">
        <v>0</v>
      </c>
      <c r="M290" s="2" t="inlineStr">
        <is>
          <t>Received</t>
        </is>
      </c>
      <c r="N290" s="2" t="inlineStr">
        <is>
          <t>Approved</t>
        </is>
      </c>
      <c r="O290" s="2" t="n"/>
      <c r="P290" s="2" t="n"/>
      <c r="Q290" s="2" t="n"/>
      <c r="R290" s="2" t="n"/>
    </row>
    <row r="291">
      <c r="A291" s="2" t="inlineStr">
        <is>
          <t>INV00288</t>
        </is>
      </c>
      <c r="B291" s="7" t="n">
        <v>46352</v>
      </c>
      <c r="C291" s="2" t="inlineStr">
        <is>
          <t>Microsoft</t>
        </is>
      </c>
      <c r="D291" s="2" t="inlineStr">
        <is>
          <t>Operations</t>
        </is>
      </c>
      <c r="E291" s="2" t="inlineStr">
        <is>
          <t>Travel</t>
        </is>
      </c>
      <c r="F291" s="8" t="n">
        <v>194000</v>
      </c>
      <c r="G291" s="2" t="n">
        <v>45</v>
      </c>
      <c r="H291" s="7" t="n">
        <v>46397</v>
      </c>
      <c r="I291" s="7" t="n">
        <v>46402</v>
      </c>
      <c r="J291" s="2" t="inlineStr">
        <is>
          <t>Paid</t>
        </is>
      </c>
      <c r="K291" s="2" t="inlineStr">
        <is>
          <t>Yes</t>
        </is>
      </c>
      <c r="L291" s="9" t="n">
        <v>0.02</v>
      </c>
      <c r="M291" s="2" t="inlineStr">
        <is>
          <t>Received</t>
        </is>
      </c>
      <c r="N291" s="2" t="inlineStr">
        <is>
          <t>Approved</t>
        </is>
      </c>
      <c r="O291" s="2" t="n"/>
      <c r="P291" s="2" t="n"/>
      <c r="Q291" s="2" t="n"/>
      <c r="R291" s="2" t="n"/>
    </row>
    <row r="292">
      <c r="A292" s="2" t="inlineStr">
        <is>
          <t>INV00289</t>
        </is>
      </c>
      <c r="B292" s="7" t="n">
        <v>46207</v>
      </c>
      <c r="C292" s="2" t="inlineStr">
        <is>
          <t>Google Cloud</t>
        </is>
      </c>
      <c r="D292" s="2" t="inlineStr">
        <is>
          <t>HR</t>
        </is>
      </c>
      <c r="E292" s="2" t="inlineStr">
        <is>
          <t>Professional Services</t>
        </is>
      </c>
      <c r="F292" s="8" t="n">
        <v>55300</v>
      </c>
      <c r="G292" s="2" t="n">
        <v>30</v>
      </c>
      <c r="H292" s="7" t="n">
        <v>46237</v>
      </c>
      <c r="I292" s="7" t="n">
        <v>46242</v>
      </c>
      <c r="J292" s="2" t="inlineStr">
        <is>
          <t>Paid</t>
        </is>
      </c>
      <c r="K292" s="2" t="inlineStr">
        <is>
          <t>No</t>
        </is>
      </c>
      <c r="L292" s="9" t="n">
        <v>0</v>
      </c>
      <c r="M292" s="2" t="inlineStr">
        <is>
          <t>Received</t>
        </is>
      </c>
      <c r="N292" s="2" t="inlineStr">
        <is>
          <t>Approved</t>
        </is>
      </c>
      <c r="O292" s="2" t="n"/>
      <c r="P292" s="2" t="n"/>
      <c r="Q292" s="2" t="n"/>
      <c r="R292" s="2" t="n"/>
    </row>
    <row r="293">
      <c r="A293" s="2" t="inlineStr">
        <is>
          <t>INV00290</t>
        </is>
      </c>
      <c r="B293" s="7" t="n">
        <v>46095</v>
      </c>
      <c r="C293" s="2" t="inlineStr">
        <is>
          <t>HCLTech</t>
        </is>
      </c>
      <c r="D293" s="2" t="inlineStr">
        <is>
          <t>IT</t>
        </is>
      </c>
      <c r="E293" s="2" t="inlineStr">
        <is>
          <t>Office Supplies</t>
        </is>
      </c>
      <c r="F293" s="8" t="n">
        <v>838600</v>
      </c>
      <c r="G293" s="2" t="n">
        <v>15</v>
      </c>
      <c r="H293" s="7" t="n">
        <v>46110</v>
      </c>
      <c r="I293" s="7" t="n">
        <v>46110</v>
      </c>
      <c r="J293" s="2" t="inlineStr">
        <is>
          <t>Paid</t>
        </is>
      </c>
      <c r="K293" s="2" t="inlineStr">
        <is>
          <t>Yes</t>
        </is>
      </c>
      <c r="L293" s="9" t="n">
        <v>0.02</v>
      </c>
      <c r="M293" s="2" t="inlineStr">
        <is>
          <t>Received</t>
        </is>
      </c>
      <c r="N293" s="2" t="inlineStr">
        <is>
          <t>Approved</t>
        </is>
      </c>
      <c r="O293" s="2" t="n"/>
      <c r="P293" s="2" t="n"/>
      <c r="Q293" s="2" t="n"/>
      <c r="R293" s="2" t="n"/>
    </row>
    <row r="294">
      <c r="A294" s="2" t="inlineStr">
        <is>
          <t>INV00291</t>
        </is>
      </c>
      <c r="B294" s="7" t="n">
        <v>46370</v>
      </c>
      <c r="C294" s="2" t="inlineStr">
        <is>
          <t>Infosys</t>
        </is>
      </c>
      <c r="D294" s="2" t="inlineStr">
        <is>
          <t>Finance</t>
        </is>
      </c>
      <c r="E294" s="2" t="inlineStr">
        <is>
          <t>Software</t>
        </is>
      </c>
      <c r="F294" s="8" t="n">
        <v>766200</v>
      </c>
      <c r="G294" s="2" t="n">
        <v>60</v>
      </c>
      <c r="H294" s="7" t="n">
        <v>46430</v>
      </c>
      <c r="I294" s="7" t="n">
        <v>46430</v>
      </c>
      <c r="J294" s="2" t="inlineStr">
        <is>
          <t>Paid</t>
        </is>
      </c>
      <c r="K294" s="2" t="inlineStr">
        <is>
          <t>No</t>
        </is>
      </c>
      <c r="L294" s="9" t="n">
        <v>0</v>
      </c>
      <c r="M294" s="2" t="inlineStr">
        <is>
          <t>Pending</t>
        </is>
      </c>
      <c r="N294" s="2" t="inlineStr">
        <is>
          <t>Approved</t>
        </is>
      </c>
      <c r="O294" s="2" t="n"/>
      <c r="P294" s="2" t="n"/>
      <c r="Q294" s="2" t="n"/>
      <c r="R294" s="2" t="n"/>
    </row>
    <row r="295">
      <c r="A295" s="2" t="inlineStr">
        <is>
          <t>INV00292</t>
        </is>
      </c>
      <c r="B295" s="7" t="n">
        <v>46342</v>
      </c>
      <c r="C295" s="2" t="inlineStr">
        <is>
          <t>Deloitte</t>
        </is>
      </c>
      <c r="D295" s="2" t="inlineStr">
        <is>
          <t>IT</t>
        </is>
      </c>
      <c r="E295" s="2" t="inlineStr">
        <is>
          <t>Facilities</t>
        </is>
      </c>
      <c r="F295" s="8" t="n">
        <v>326000</v>
      </c>
      <c r="G295" s="2" t="n">
        <v>15</v>
      </c>
      <c r="H295" s="7" t="n">
        <v>46357</v>
      </c>
      <c r="I295" s="7" t="n">
        <v>46357</v>
      </c>
      <c r="J295" s="2" t="inlineStr">
        <is>
          <t>Paid</t>
        </is>
      </c>
      <c r="K295" s="2" t="inlineStr">
        <is>
          <t>No</t>
        </is>
      </c>
      <c r="L295" s="9" t="n">
        <v>0</v>
      </c>
      <c r="M295" s="2" t="inlineStr">
        <is>
          <t>Received</t>
        </is>
      </c>
      <c r="N295" s="2" t="inlineStr">
        <is>
          <t>Approved</t>
        </is>
      </c>
      <c r="O295" s="2" t="n"/>
      <c r="P295" s="2" t="n"/>
      <c r="Q295" s="2" t="n"/>
      <c r="R295" s="2" t="n"/>
    </row>
    <row r="296">
      <c r="A296" s="2" t="inlineStr">
        <is>
          <t>INV00293</t>
        </is>
      </c>
      <c r="B296" s="7" t="n">
        <v>46109</v>
      </c>
      <c r="C296" s="2" t="inlineStr">
        <is>
          <t>Microsoft</t>
        </is>
      </c>
      <c r="D296" s="2" t="inlineStr">
        <is>
          <t>HR</t>
        </is>
      </c>
      <c r="E296" s="2" t="inlineStr">
        <is>
          <t>Consulting</t>
        </is>
      </c>
      <c r="F296" s="8" t="n">
        <v>109400</v>
      </c>
      <c r="G296" s="2" t="n">
        <v>45</v>
      </c>
      <c r="H296" s="7" t="n">
        <v>46154</v>
      </c>
      <c r="I296" s="7" t="n">
        <v>46154</v>
      </c>
      <c r="J296" s="2" t="inlineStr">
        <is>
          <t>Paid</t>
        </is>
      </c>
      <c r="K296" s="2" t="inlineStr">
        <is>
          <t>No</t>
        </is>
      </c>
      <c r="L296" s="9" t="n">
        <v>0</v>
      </c>
      <c r="M296" s="2" t="inlineStr">
        <is>
          <t>Received</t>
        </is>
      </c>
      <c r="N296" s="2" t="inlineStr">
        <is>
          <t>Approved</t>
        </is>
      </c>
      <c r="O296" s="2" t="n"/>
      <c r="P296" s="2" t="n"/>
      <c r="Q296" s="2" t="n"/>
      <c r="R296" s="2" t="n"/>
    </row>
    <row r="297">
      <c r="A297" s="2" t="inlineStr">
        <is>
          <t>INV00294</t>
        </is>
      </c>
      <c r="B297" s="7" t="n">
        <v>46304</v>
      </c>
      <c r="C297" s="2" t="inlineStr">
        <is>
          <t>Zoho</t>
        </is>
      </c>
      <c r="D297" s="2" t="inlineStr">
        <is>
          <t>Sales</t>
        </is>
      </c>
      <c r="E297" s="2" t="inlineStr">
        <is>
          <t>Software</t>
        </is>
      </c>
      <c r="F297" s="8" t="n">
        <v>387200</v>
      </c>
      <c r="G297" s="2" t="n">
        <v>45</v>
      </c>
      <c r="H297" s="7" t="n">
        <v>46349</v>
      </c>
      <c r="I297" s="7" t="n">
        <v>46349</v>
      </c>
      <c r="J297" s="2" t="inlineStr">
        <is>
          <t>Paid</t>
        </is>
      </c>
      <c r="K297" s="2" t="inlineStr">
        <is>
          <t>No</t>
        </is>
      </c>
      <c r="L297" s="9" t="n">
        <v>0</v>
      </c>
      <c r="M297" s="2" t="inlineStr">
        <is>
          <t>Received</t>
        </is>
      </c>
      <c r="N297" s="2" t="inlineStr">
        <is>
          <t>Approved</t>
        </is>
      </c>
      <c r="O297" s="2" t="n"/>
      <c r="P297" s="2" t="n"/>
      <c r="Q297" s="2" t="n"/>
      <c r="R297" s="2" t="n"/>
    </row>
    <row r="298">
      <c r="A298" s="2" t="inlineStr">
        <is>
          <t>INV00295</t>
        </is>
      </c>
      <c r="B298" s="7" t="n">
        <v>46224</v>
      </c>
      <c r="C298" s="2" t="inlineStr">
        <is>
          <t>Zoho</t>
        </is>
      </c>
      <c r="D298" s="2" t="inlineStr">
        <is>
          <t>Finance</t>
        </is>
      </c>
      <c r="E298" s="2" t="inlineStr">
        <is>
          <t>Software</t>
        </is>
      </c>
      <c r="F298" s="8" t="n">
        <v>175600</v>
      </c>
      <c r="G298" s="2" t="n">
        <v>30</v>
      </c>
      <c r="H298" s="7" t="n">
        <v>46254</v>
      </c>
      <c r="I298" s="7" t="n">
        <v>46314</v>
      </c>
      <c r="J298" s="2" t="inlineStr">
        <is>
          <t>Paid</t>
        </is>
      </c>
      <c r="K298" s="2" t="inlineStr">
        <is>
          <t>No</t>
        </is>
      </c>
      <c r="L298" s="9" t="n">
        <v>0</v>
      </c>
      <c r="M298" s="2" t="inlineStr">
        <is>
          <t>Received</t>
        </is>
      </c>
      <c r="N298" s="2" t="inlineStr">
        <is>
          <t>Approved</t>
        </is>
      </c>
      <c r="O298" s="2" t="n"/>
      <c r="P298" s="2" t="n"/>
      <c r="Q298" s="2" t="n"/>
      <c r="R298" s="2" t="n"/>
    </row>
    <row r="299">
      <c r="A299" s="2" t="inlineStr">
        <is>
          <t>INV00296</t>
        </is>
      </c>
      <c r="B299" s="7" t="n">
        <v>46308</v>
      </c>
      <c r="C299" s="2" t="inlineStr">
        <is>
          <t>Cognizant</t>
        </is>
      </c>
      <c r="D299" s="2" t="inlineStr">
        <is>
          <t>HR</t>
        </is>
      </c>
      <c r="E299" s="2" t="inlineStr">
        <is>
          <t>Office Supplies</t>
        </is>
      </c>
      <c r="F299" s="8" t="n">
        <v>216300</v>
      </c>
      <c r="G299" s="2" t="n">
        <v>15</v>
      </c>
      <c r="H299" s="7" t="n">
        <v>46323</v>
      </c>
      <c r="I299" s="7" t="n">
        <v>46323</v>
      </c>
      <c r="J299" s="2" t="inlineStr">
        <is>
          <t>Paid</t>
        </is>
      </c>
      <c r="K299" s="2" t="inlineStr">
        <is>
          <t>No</t>
        </is>
      </c>
      <c r="L299" s="9" t="n">
        <v>0</v>
      </c>
      <c r="M299" s="2" t="inlineStr">
        <is>
          <t>Received</t>
        </is>
      </c>
      <c r="N299" s="2" t="inlineStr">
        <is>
          <t>Approved</t>
        </is>
      </c>
      <c r="O299" s="2" t="n"/>
      <c r="P299" s="2" t="n"/>
      <c r="Q299" s="2" t="n"/>
      <c r="R299" s="2" t="n"/>
    </row>
    <row r="300">
      <c r="A300" s="2" t="inlineStr">
        <is>
          <t>INV00297</t>
        </is>
      </c>
      <c r="B300" s="7" t="n">
        <v>46337</v>
      </c>
      <c r="C300" s="2" t="inlineStr">
        <is>
          <t>Microsoft</t>
        </is>
      </c>
      <c r="D300" s="2" t="inlineStr">
        <is>
          <t>Sales</t>
        </is>
      </c>
      <c r="E300" s="2" t="inlineStr">
        <is>
          <t>Facilities</t>
        </is>
      </c>
      <c r="F300" s="8" t="n">
        <v>752400</v>
      </c>
      <c r="G300" s="2" t="n">
        <v>30</v>
      </c>
      <c r="H300" s="7" t="n">
        <v>46367</v>
      </c>
      <c r="I300" s="7" t="n">
        <v>46372</v>
      </c>
      <c r="J300" s="2" t="inlineStr">
        <is>
          <t>Paid</t>
        </is>
      </c>
      <c r="K300" s="2" t="inlineStr">
        <is>
          <t>No</t>
        </is>
      </c>
      <c r="L300" s="9" t="n">
        <v>0</v>
      </c>
      <c r="M300" s="2" t="inlineStr">
        <is>
          <t>Received</t>
        </is>
      </c>
      <c r="N300" s="2" t="inlineStr">
        <is>
          <t>Approved</t>
        </is>
      </c>
      <c r="O300" s="2" t="n"/>
      <c r="P300" s="2" t="n"/>
      <c r="Q300" s="2" t="n"/>
      <c r="R300" s="2" t="n"/>
    </row>
    <row r="301">
      <c r="A301" s="2" t="inlineStr">
        <is>
          <t>INV00298</t>
        </is>
      </c>
      <c r="B301" s="7" t="n">
        <v>46246</v>
      </c>
      <c r="C301" s="2" t="inlineStr">
        <is>
          <t>SAP</t>
        </is>
      </c>
      <c r="D301" s="2" t="inlineStr">
        <is>
          <t>Sales</t>
        </is>
      </c>
      <c r="E301" s="2" t="inlineStr">
        <is>
          <t>Travel</t>
        </is>
      </c>
      <c r="F301" s="8" t="n">
        <v>41400</v>
      </c>
      <c r="G301" s="2" t="n">
        <v>60</v>
      </c>
      <c r="H301" s="7" t="n">
        <v>46306</v>
      </c>
      <c r="I301" s="7" t="n">
        <v>46366</v>
      </c>
      <c r="J301" s="2" t="inlineStr">
        <is>
          <t>Paid</t>
        </is>
      </c>
      <c r="K301" s="2" t="inlineStr">
        <is>
          <t>No</t>
        </is>
      </c>
      <c r="L301" s="9" t="n">
        <v>0</v>
      </c>
      <c r="M301" s="2" t="inlineStr">
        <is>
          <t>Received</t>
        </is>
      </c>
      <c r="N301" s="2" t="inlineStr">
        <is>
          <t>Approved</t>
        </is>
      </c>
      <c r="O301" s="2" t="n"/>
      <c r="P301" s="2" t="n"/>
      <c r="Q301" s="2" t="n"/>
      <c r="R301" s="2" t="n"/>
    </row>
    <row r="302">
      <c r="A302" s="2" t="inlineStr">
        <is>
          <t>INV00299</t>
        </is>
      </c>
      <c r="B302" s="7" t="n">
        <v>46084</v>
      </c>
      <c r="C302" s="2" t="inlineStr">
        <is>
          <t>Cognizant</t>
        </is>
      </c>
      <c r="D302" s="2" t="inlineStr">
        <is>
          <t>Operations</t>
        </is>
      </c>
      <c r="E302" s="2" t="inlineStr">
        <is>
          <t>Consulting</t>
        </is>
      </c>
      <c r="F302" s="8" t="n">
        <v>86100</v>
      </c>
      <c r="G302" s="2" t="n">
        <v>30</v>
      </c>
      <c r="H302" s="7" t="n">
        <v>46114</v>
      </c>
      <c r="I302" s="7" t="n">
        <v>46114</v>
      </c>
      <c r="J302" s="2" t="inlineStr">
        <is>
          <t>Paid</t>
        </is>
      </c>
      <c r="K302" s="2" t="inlineStr">
        <is>
          <t>No</t>
        </is>
      </c>
      <c r="L302" s="9" t="n">
        <v>0</v>
      </c>
      <c r="M302" s="2" t="inlineStr">
        <is>
          <t>Received</t>
        </is>
      </c>
      <c r="N302" s="2" t="inlineStr">
        <is>
          <t>Approved</t>
        </is>
      </c>
      <c r="O302" s="2" t="n"/>
      <c r="P302" s="2" t="n"/>
      <c r="Q302" s="2" t="n"/>
      <c r="R302" s="2" t="n"/>
    </row>
    <row r="303">
      <c r="A303" s="2" t="inlineStr">
        <is>
          <t>INV00300</t>
        </is>
      </c>
      <c r="B303" s="7" t="n">
        <v>46310</v>
      </c>
      <c r="C303" s="2" t="inlineStr">
        <is>
          <t>Amazon Web Services</t>
        </is>
      </c>
      <c r="D303" s="2" t="inlineStr">
        <is>
          <t>Operations</t>
        </is>
      </c>
      <c r="E303" s="2" t="inlineStr">
        <is>
          <t>Professional Services</t>
        </is>
      </c>
      <c r="F303" s="8" t="n">
        <v>34100</v>
      </c>
      <c r="G303" s="2" t="n">
        <v>45</v>
      </c>
      <c r="H303" s="7" t="n">
        <v>46355</v>
      </c>
      <c r="I303" s="7" t="n">
        <v>46355</v>
      </c>
      <c r="J303" s="2" t="inlineStr">
        <is>
          <t>Paid</t>
        </is>
      </c>
      <c r="K303" s="2" t="inlineStr">
        <is>
          <t>No</t>
        </is>
      </c>
      <c r="L303" s="9" t="n">
        <v>0</v>
      </c>
      <c r="M303" s="2" t="inlineStr">
        <is>
          <t>Received</t>
        </is>
      </c>
      <c r="N303" s="2" t="inlineStr">
        <is>
          <t>Approved</t>
        </is>
      </c>
      <c r="O303" s="2" t="n"/>
      <c r="P303" s="2" t="n"/>
      <c r="Q303" s="2" t="n"/>
      <c r="R303" s="2" t="n"/>
    </row>
    <row r="304">
      <c r="A304" s="2" t="inlineStr">
        <is>
          <t>INV00301</t>
        </is>
      </c>
      <c r="B304" s="7" t="n">
        <v>46315</v>
      </c>
      <c r="C304" s="2" t="inlineStr">
        <is>
          <t>SAP</t>
        </is>
      </c>
      <c r="D304" s="2" t="inlineStr">
        <is>
          <t>HR</t>
        </is>
      </c>
      <c r="E304" s="2" t="inlineStr">
        <is>
          <t>Office Supplies</t>
        </is>
      </c>
      <c r="F304" s="8" t="n">
        <v>592200</v>
      </c>
      <c r="G304" s="2" t="n">
        <v>30</v>
      </c>
      <c r="H304" s="7" t="n">
        <v>46345</v>
      </c>
      <c r="I304" s="7" t="n">
        <v>46345</v>
      </c>
      <c r="J304" s="2" t="inlineStr">
        <is>
          <t>Paid</t>
        </is>
      </c>
      <c r="K304" s="2" t="inlineStr">
        <is>
          <t>Yes</t>
        </is>
      </c>
      <c r="L304" s="9" t="n">
        <v>0.02</v>
      </c>
      <c r="M304" s="2" t="inlineStr">
        <is>
          <t>Received</t>
        </is>
      </c>
      <c r="N304" s="2" t="inlineStr">
        <is>
          <t>Approved</t>
        </is>
      </c>
      <c r="O304" s="2" t="n"/>
      <c r="P304" s="2" t="n"/>
      <c r="Q304" s="2" t="n"/>
      <c r="R304" s="2" t="n"/>
    </row>
    <row r="305">
      <c r="A305" s="2" t="inlineStr">
        <is>
          <t>INV00302</t>
        </is>
      </c>
      <c r="B305" s="7" t="n">
        <v>46315</v>
      </c>
      <c r="C305" s="2" t="inlineStr">
        <is>
          <t>IBM</t>
        </is>
      </c>
      <c r="D305" s="2" t="inlineStr">
        <is>
          <t>Sales</t>
        </is>
      </c>
      <c r="E305" s="2" t="inlineStr">
        <is>
          <t>Travel</t>
        </is>
      </c>
      <c r="F305" s="8" t="n">
        <v>180400</v>
      </c>
      <c r="G305" s="2" t="n">
        <v>45</v>
      </c>
      <c r="H305" s="7" t="n">
        <v>46360</v>
      </c>
      <c r="I305" s="7" t="n">
        <v>46360</v>
      </c>
      <c r="J305" s="2" t="inlineStr">
        <is>
          <t>Paid</t>
        </is>
      </c>
      <c r="K305" s="2" t="inlineStr">
        <is>
          <t>No</t>
        </is>
      </c>
      <c r="L305" s="9" t="n">
        <v>0</v>
      </c>
      <c r="M305" s="2" t="inlineStr">
        <is>
          <t>Received</t>
        </is>
      </c>
      <c r="N305" s="2" t="inlineStr">
        <is>
          <t>Approved</t>
        </is>
      </c>
      <c r="O305" s="2" t="n"/>
      <c r="P305" s="2" t="n"/>
      <c r="Q305" s="2" t="n"/>
      <c r="R305" s="2" t="n"/>
    </row>
    <row r="306">
      <c r="A306" s="2" t="inlineStr">
        <is>
          <t>INV00303</t>
        </is>
      </c>
      <c r="B306" s="7" t="n">
        <v>46196</v>
      </c>
      <c r="C306" s="2" t="inlineStr">
        <is>
          <t>Amazon Web Services</t>
        </is>
      </c>
      <c r="D306" s="2" t="inlineStr">
        <is>
          <t>IT</t>
        </is>
      </c>
      <c r="E306" s="2" t="inlineStr">
        <is>
          <t>Cloud</t>
        </is>
      </c>
      <c r="F306" s="8" t="n">
        <v>787600</v>
      </c>
      <c r="G306" s="2" t="n">
        <v>60</v>
      </c>
      <c r="H306" s="7" t="n">
        <v>46256</v>
      </c>
      <c r="I306" s="7" t="n">
        <v>46261</v>
      </c>
      <c r="J306" s="2" t="inlineStr">
        <is>
          <t>Paid</t>
        </is>
      </c>
      <c r="K306" s="2" t="inlineStr">
        <is>
          <t>Yes</t>
        </is>
      </c>
      <c r="L306" s="9" t="n">
        <v>0.02</v>
      </c>
      <c r="M306" s="2" t="inlineStr">
        <is>
          <t>Pending</t>
        </is>
      </c>
      <c r="N306" s="2" t="inlineStr">
        <is>
          <t>Approved</t>
        </is>
      </c>
      <c r="O306" s="2" t="n"/>
      <c r="P306" s="2" t="n"/>
      <c r="Q306" s="2" t="n"/>
      <c r="R306" s="2" t="n"/>
    </row>
    <row r="307">
      <c r="A307" s="2" t="inlineStr">
        <is>
          <t>INV00304</t>
        </is>
      </c>
      <c r="B307" s="7" t="n">
        <v>46261</v>
      </c>
      <c r="C307" s="2" t="inlineStr">
        <is>
          <t>Cognizant</t>
        </is>
      </c>
      <c r="D307" s="2" t="inlineStr">
        <is>
          <t>Finance</t>
        </is>
      </c>
      <c r="E307" s="2" t="inlineStr">
        <is>
          <t>Travel</t>
        </is>
      </c>
      <c r="F307" s="8" t="n">
        <v>31400</v>
      </c>
      <c r="G307" s="2" t="n">
        <v>45</v>
      </c>
      <c r="H307" s="7" t="n">
        <v>46306</v>
      </c>
      <c r="I307" s="2" t="n"/>
      <c r="J307" s="2" t="inlineStr">
        <is>
          <t>Pending</t>
        </is>
      </c>
      <c r="K307" s="2" t="inlineStr">
        <is>
          <t>No</t>
        </is>
      </c>
      <c r="L307" s="9" t="n">
        <v>0</v>
      </c>
      <c r="M307" s="2" t="inlineStr">
        <is>
          <t>Received</t>
        </is>
      </c>
      <c r="N307" s="2" t="inlineStr">
        <is>
          <t>Pending</t>
        </is>
      </c>
      <c r="O307" s="2" t="n"/>
      <c r="P307" s="2" t="n"/>
      <c r="Q307" s="2" t="n"/>
      <c r="R307" s="2" t="n"/>
    </row>
    <row r="308">
      <c r="A308" s="2" t="inlineStr">
        <is>
          <t>INV00305</t>
        </is>
      </c>
      <c r="B308" s="7" t="n">
        <v>46097</v>
      </c>
      <c r="C308" s="2" t="inlineStr">
        <is>
          <t>Microsoft</t>
        </is>
      </c>
      <c r="D308" s="2" t="inlineStr">
        <is>
          <t>Marketing</t>
        </is>
      </c>
      <c r="E308" s="2" t="inlineStr">
        <is>
          <t>Travel</t>
        </is>
      </c>
      <c r="F308" s="8" t="n">
        <v>574600</v>
      </c>
      <c r="G308" s="2" t="n">
        <v>15</v>
      </c>
      <c r="H308" s="7" t="n">
        <v>46112</v>
      </c>
      <c r="I308" s="2" t="n"/>
      <c r="J308" s="2" t="inlineStr">
        <is>
          <t>Pending</t>
        </is>
      </c>
      <c r="K308" s="2" t="inlineStr">
        <is>
          <t>No</t>
        </is>
      </c>
      <c r="L308" s="9" t="n">
        <v>0</v>
      </c>
      <c r="M308" s="2" t="inlineStr">
        <is>
          <t>Pending</t>
        </is>
      </c>
      <c r="N308" s="2" t="inlineStr">
        <is>
          <t>Approved</t>
        </is>
      </c>
      <c r="O308" s="2" t="n"/>
      <c r="P308" s="2" t="n"/>
      <c r="Q308" s="2" t="n"/>
      <c r="R308" s="2" t="n"/>
    </row>
    <row r="309">
      <c r="A309" s="2" t="inlineStr">
        <is>
          <t>INV00306</t>
        </is>
      </c>
      <c r="B309" s="7" t="n">
        <v>46105</v>
      </c>
      <c r="C309" s="2" t="inlineStr">
        <is>
          <t>HCLTech</t>
        </is>
      </c>
      <c r="D309" s="2" t="inlineStr">
        <is>
          <t>Finance</t>
        </is>
      </c>
      <c r="E309" s="2" t="inlineStr">
        <is>
          <t>Software</t>
        </is>
      </c>
      <c r="F309" s="8" t="n">
        <v>704600</v>
      </c>
      <c r="G309" s="2" t="n">
        <v>60</v>
      </c>
      <c r="H309" s="7" t="n">
        <v>46165</v>
      </c>
      <c r="I309" s="7" t="n">
        <v>46165</v>
      </c>
      <c r="J309" s="2" t="inlineStr">
        <is>
          <t>Paid</t>
        </is>
      </c>
      <c r="K309" s="2" t="inlineStr">
        <is>
          <t>No</t>
        </is>
      </c>
      <c r="L309" s="9" t="n">
        <v>0</v>
      </c>
      <c r="M309" s="2" t="inlineStr">
        <is>
          <t>Pending</t>
        </is>
      </c>
      <c r="N309" s="2" t="inlineStr">
        <is>
          <t>Approved</t>
        </is>
      </c>
      <c r="O309" s="2" t="n"/>
      <c r="P309" s="2" t="n"/>
      <c r="Q309" s="2" t="n"/>
      <c r="R309" s="2" t="n"/>
    </row>
    <row r="310">
      <c r="A310" s="2" t="inlineStr">
        <is>
          <t>INV00307</t>
        </is>
      </c>
      <c r="B310" s="7" t="n">
        <v>46155</v>
      </c>
      <c r="C310" s="2" t="inlineStr">
        <is>
          <t>Oracle</t>
        </is>
      </c>
      <c r="D310" s="2" t="inlineStr">
        <is>
          <t>HR</t>
        </is>
      </c>
      <c r="E310" s="2" t="inlineStr">
        <is>
          <t>Professional Services</t>
        </is>
      </c>
      <c r="F310" s="8" t="n">
        <v>701900</v>
      </c>
      <c r="G310" s="2" t="n">
        <v>30</v>
      </c>
      <c r="H310" s="7" t="n">
        <v>46185</v>
      </c>
      <c r="I310" s="2" t="n"/>
      <c r="J310" s="2" t="inlineStr">
        <is>
          <t>Pending</t>
        </is>
      </c>
      <c r="K310" s="2" t="inlineStr">
        <is>
          <t>No</t>
        </is>
      </c>
      <c r="L310" s="9" t="n">
        <v>0</v>
      </c>
      <c r="M310" s="2" t="inlineStr">
        <is>
          <t>Received</t>
        </is>
      </c>
      <c r="N310" s="2" t="inlineStr">
        <is>
          <t>Approved</t>
        </is>
      </c>
      <c r="O310" s="2" t="n"/>
      <c r="P310" s="2" t="n"/>
      <c r="Q310" s="2" t="n"/>
      <c r="R310" s="2" t="n"/>
    </row>
    <row r="311">
      <c r="A311" s="2" t="inlineStr">
        <is>
          <t>INV00308</t>
        </is>
      </c>
      <c r="B311" s="7" t="n">
        <v>46286</v>
      </c>
      <c r="C311" s="2" t="inlineStr">
        <is>
          <t>TCS</t>
        </is>
      </c>
      <c r="D311" s="2" t="inlineStr">
        <is>
          <t>Finance</t>
        </is>
      </c>
      <c r="E311" s="2" t="inlineStr">
        <is>
          <t>Cloud</t>
        </is>
      </c>
      <c r="F311" s="8" t="n">
        <v>173200</v>
      </c>
      <c r="G311" s="2" t="n">
        <v>45</v>
      </c>
      <c r="H311" s="7" t="n">
        <v>46331</v>
      </c>
      <c r="I311" s="2" t="n"/>
      <c r="J311" s="2" t="inlineStr">
        <is>
          <t>Pending</t>
        </is>
      </c>
      <c r="K311" s="2" t="inlineStr">
        <is>
          <t>No</t>
        </is>
      </c>
      <c r="L311" s="9" t="n">
        <v>0</v>
      </c>
      <c r="M311" s="2" t="inlineStr">
        <is>
          <t>Pending</t>
        </is>
      </c>
      <c r="N311" s="2" t="inlineStr">
        <is>
          <t>Approved</t>
        </is>
      </c>
      <c r="O311" s="2" t="n"/>
      <c r="P311" s="2" t="n"/>
      <c r="Q311" s="2" t="n"/>
      <c r="R311" s="2" t="n"/>
    </row>
    <row r="312">
      <c r="A312" s="2" t="inlineStr">
        <is>
          <t>INV00309</t>
        </is>
      </c>
      <c r="B312" s="7" t="n">
        <v>46377</v>
      </c>
      <c r="C312" s="2" t="inlineStr">
        <is>
          <t>Oracle</t>
        </is>
      </c>
      <c r="D312" s="2" t="inlineStr">
        <is>
          <t>Sales</t>
        </is>
      </c>
      <c r="E312" s="2" t="inlineStr">
        <is>
          <t>Software</t>
        </is>
      </c>
      <c r="F312" s="8" t="n">
        <v>687100</v>
      </c>
      <c r="G312" s="2" t="n">
        <v>45</v>
      </c>
      <c r="H312" s="7" t="n">
        <v>46422</v>
      </c>
      <c r="I312" s="7" t="n">
        <v>46482</v>
      </c>
      <c r="J312" s="2" t="inlineStr">
        <is>
          <t>Paid</t>
        </is>
      </c>
      <c r="K312" s="2" t="inlineStr">
        <is>
          <t>No</t>
        </is>
      </c>
      <c r="L312" s="9" t="n">
        <v>0</v>
      </c>
      <c r="M312" s="2" t="inlineStr">
        <is>
          <t>Received</t>
        </is>
      </c>
      <c r="N312" s="2" t="inlineStr">
        <is>
          <t>Approved</t>
        </is>
      </c>
      <c r="O312" s="2" t="n"/>
      <c r="P312" s="2" t="n"/>
      <c r="Q312" s="2" t="n"/>
      <c r="R312" s="2" t="n"/>
    </row>
    <row r="313">
      <c r="A313" s="2" t="inlineStr">
        <is>
          <t>INV00310</t>
        </is>
      </c>
      <c r="B313" s="7" t="n">
        <v>46039</v>
      </c>
      <c r="C313" s="2" t="inlineStr">
        <is>
          <t>Amazon Web Services</t>
        </is>
      </c>
      <c r="D313" s="2" t="inlineStr">
        <is>
          <t>IT</t>
        </is>
      </c>
      <c r="E313" s="2" t="inlineStr">
        <is>
          <t>Professional Services</t>
        </is>
      </c>
      <c r="F313" s="8" t="n">
        <v>292500</v>
      </c>
      <c r="G313" s="2" t="n">
        <v>30</v>
      </c>
      <c r="H313" s="7" t="n">
        <v>46069</v>
      </c>
      <c r="I313" s="2" t="n"/>
      <c r="J313" s="2" t="inlineStr">
        <is>
          <t>Pending</t>
        </is>
      </c>
      <c r="K313" s="2" t="inlineStr">
        <is>
          <t>Yes</t>
        </is>
      </c>
      <c r="L313" s="9" t="n">
        <v>0.02</v>
      </c>
      <c r="M313" s="2" t="inlineStr">
        <is>
          <t>Received</t>
        </is>
      </c>
      <c r="N313" s="2" t="inlineStr">
        <is>
          <t>Approved</t>
        </is>
      </c>
      <c r="O313" s="2" t="n"/>
      <c r="P313" s="2" t="n"/>
      <c r="Q313" s="2" t="n"/>
      <c r="R313" s="2" t="n"/>
    </row>
    <row r="314">
      <c r="A314" s="2" t="inlineStr">
        <is>
          <t>INV00311</t>
        </is>
      </c>
      <c r="B314" s="7" t="n">
        <v>46045</v>
      </c>
      <c r="C314" s="2" t="inlineStr">
        <is>
          <t>Cognizant</t>
        </is>
      </c>
      <c r="D314" s="2" t="inlineStr">
        <is>
          <t>HR</t>
        </is>
      </c>
      <c r="E314" s="2" t="inlineStr">
        <is>
          <t>Cloud</t>
        </is>
      </c>
      <c r="F314" s="8" t="n">
        <v>92900</v>
      </c>
      <c r="G314" s="2" t="n">
        <v>15</v>
      </c>
      <c r="H314" s="7" t="n">
        <v>46060</v>
      </c>
      <c r="I314" s="2" t="n"/>
      <c r="J314" s="2" t="inlineStr">
        <is>
          <t>Pending</t>
        </is>
      </c>
      <c r="K314" s="2" t="inlineStr">
        <is>
          <t>No</t>
        </is>
      </c>
      <c r="L314" s="9" t="n">
        <v>0</v>
      </c>
      <c r="M314" s="2" t="inlineStr">
        <is>
          <t>Received</t>
        </is>
      </c>
      <c r="N314" s="2" t="inlineStr">
        <is>
          <t>Approved</t>
        </is>
      </c>
      <c r="O314" s="2" t="n"/>
      <c r="P314" s="2" t="n"/>
      <c r="Q314" s="2" t="n"/>
      <c r="R314" s="2" t="n"/>
    </row>
    <row r="315">
      <c r="A315" s="2" t="inlineStr">
        <is>
          <t>INV00312</t>
        </is>
      </c>
      <c r="B315" s="7" t="n">
        <v>46366</v>
      </c>
      <c r="C315" s="2" t="inlineStr">
        <is>
          <t>Wipro</t>
        </is>
      </c>
      <c r="D315" s="2" t="inlineStr">
        <is>
          <t>Sales</t>
        </is>
      </c>
      <c r="E315" s="2" t="inlineStr">
        <is>
          <t>Software</t>
        </is>
      </c>
      <c r="F315" s="8" t="n">
        <v>967500</v>
      </c>
      <c r="G315" s="2" t="n">
        <v>60</v>
      </c>
      <c r="H315" s="7" t="n">
        <v>46426</v>
      </c>
      <c r="I315" s="2" t="n"/>
      <c r="J315" s="2" t="inlineStr">
        <is>
          <t>Pending</t>
        </is>
      </c>
      <c r="K315" s="2" t="inlineStr">
        <is>
          <t>Yes</t>
        </is>
      </c>
      <c r="L315" s="9" t="n">
        <v>0.02</v>
      </c>
      <c r="M315" s="2" t="inlineStr">
        <is>
          <t>Received</t>
        </is>
      </c>
      <c r="N315" s="2" t="inlineStr">
        <is>
          <t>Approved</t>
        </is>
      </c>
      <c r="O315" s="2" t="n"/>
      <c r="P315" s="2" t="n"/>
      <c r="Q315" s="2" t="n"/>
      <c r="R315" s="2" t="n"/>
    </row>
    <row r="316">
      <c r="A316" s="2" t="inlineStr">
        <is>
          <t>INV00313</t>
        </is>
      </c>
      <c r="B316" s="7" t="n">
        <v>46261</v>
      </c>
      <c r="C316" s="2" t="inlineStr">
        <is>
          <t>TCS</t>
        </is>
      </c>
      <c r="D316" s="2" t="inlineStr">
        <is>
          <t>Sales</t>
        </is>
      </c>
      <c r="E316" s="2" t="inlineStr">
        <is>
          <t>Travel</t>
        </is>
      </c>
      <c r="F316" s="8" t="n">
        <v>190000</v>
      </c>
      <c r="G316" s="2" t="n">
        <v>45</v>
      </c>
      <c r="H316" s="7" t="n">
        <v>46306</v>
      </c>
      <c r="I316" s="2" t="n"/>
      <c r="J316" s="2" t="inlineStr">
        <is>
          <t>Pending</t>
        </is>
      </c>
      <c r="K316" s="2" t="inlineStr">
        <is>
          <t>No</t>
        </is>
      </c>
      <c r="L316" s="9" t="n">
        <v>0</v>
      </c>
      <c r="M316" s="2" t="inlineStr">
        <is>
          <t>Received</t>
        </is>
      </c>
      <c r="N316" s="2" t="inlineStr">
        <is>
          <t>Approved</t>
        </is>
      </c>
      <c r="O316" s="2" t="n"/>
      <c r="P316" s="2" t="n"/>
      <c r="Q316" s="2" t="n"/>
      <c r="R316" s="2" t="n"/>
    </row>
    <row r="317">
      <c r="A317" s="2" t="inlineStr">
        <is>
          <t>INV00314</t>
        </is>
      </c>
      <c r="B317" s="7" t="n">
        <v>46329</v>
      </c>
      <c r="C317" s="2" t="inlineStr">
        <is>
          <t>Deloitte</t>
        </is>
      </c>
      <c r="D317" s="2" t="inlineStr">
        <is>
          <t>Finance</t>
        </is>
      </c>
      <c r="E317" s="2" t="inlineStr">
        <is>
          <t>Travel</t>
        </is>
      </c>
      <c r="F317" s="8" t="n">
        <v>571400</v>
      </c>
      <c r="G317" s="2" t="n">
        <v>15</v>
      </c>
      <c r="H317" s="7" t="n">
        <v>46344</v>
      </c>
      <c r="I317" s="7" t="n">
        <v>46349</v>
      </c>
      <c r="J317" s="2" t="inlineStr">
        <is>
          <t>Paid</t>
        </is>
      </c>
      <c r="K317" s="2" t="inlineStr">
        <is>
          <t>Yes</t>
        </is>
      </c>
      <c r="L317" s="9" t="n">
        <v>0.02</v>
      </c>
      <c r="M317" s="2" t="inlineStr">
        <is>
          <t>Received</t>
        </is>
      </c>
      <c r="N317" s="2" t="inlineStr">
        <is>
          <t>Approved</t>
        </is>
      </c>
      <c r="O317" s="2" t="n"/>
      <c r="P317" s="2" t="n"/>
      <c r="Q317" s="2" t="n"/>
      <c r="R317" s="2" t="n"/>
    </row>
    <row r="318">
      <c r="A318" s="2" t="inlineStr">
        <is>
          <t>INV00315</t>
        </is>
      </c>
      <c r="B318" s="7" t="n">
        <v>46083</v>
      </c>
      <c r="C318" s="2" t="inlineStr">
        <is>
          <t>Deloitte</t>
        </is>
      </c>
      <c r="D318" s="2" t="inlineStr">
        <is>
          <t>HR</t>
        </is>
      </c>
      <c r="E318" s="2" t="inlineStr">
        <is>
          <t>Office Supplies</t>
        </is>
      </c>
      <c r="F318" s="8" t="n">
        <v>719000</v>
      </c>
      <c r="G318" s="2" t="n">
        <v>15</v>
      </c>
      <c r="H318" s="7" t="n">
        <v>46098</v>
      </c>
      <c r="I318" s="7" t="n">
        <v>46103</v>
      </c>
      <c r="J318" s="2" t="inlineStr">
        <is>
          <t>Paid</t>
        </is>
      </c>
      <c r="K318" s="2" t="inlineStr">
        <is>
          <t>No</t>
        </is>
      </c>
      <c r="L318" s="9" t="n">
        <v>0</v>
      </c>
      <c r="M318" s="2" t="inlineStr">
        <is>
          <t>Received</t>
        </is>
      </c>
      <c r="N318" s="2" t="inlineStr">
        <is>
          <t>Approved</t>
        </is>
      </c>
      <c r="O318" s="2" t="n"/>
      <c r="P318" s="2" t="n"/>
      <c r="Q318" s="2" t="n"/>
      <c r="R318" s="2" t="n"/>
    </row>
    <row r="319">
      <c r="A319" s="2" t="inlineStr">
        <is>
          <t>INV00316</t>
        </is>
      </c>
      <c r="B319" s="7" t="n">
        <v>46118</v>
      </c>
      <c r="C319" s="2" t="inlineStr">
        <is>
          <t>Google Cloud</t>
        </is>
      </c>
      <c r="D319" s="2" t="inlineStr">
        <is>
          <t>IT</t>
        </is>
      </c>
      <c r="E319" s="2" t="inlineStr">
        <is>
          <t>Facilities</t>
        </is>
      </c>
      <c r="F319" s="8" t="n">
        <v>106900</v>
      </c>
      <c r="G319" s="2" t="n">
        <v>30</v>
      </c>
      <c r="H319" s="7" t="n">
        <v>46148</v>
      </c>
      <c r="I319" s="7" t="n">
        <v>46208</v>
      </c>
      <c r="J319" s="2" t="inlineStr">
        <is>
          <t>Paid</t>
        </is>
      </c>
      <c r="K319" s="2" t="inlineStr">
        <is>
          <t>No</t>
        </is>
      </c>
      <c r="L319" s="9" t="n">
        <v>0</v>
      </c>
      <c r="M319" s="2" t="inlineStr">
        <is>
          <t>Received</t>
        </is>
      </c>
      <c r="N319" s="2" t="inlineStr">
        <is>
          <t>Approved</t>
        </is>
      </c>
      <c r="O319" s="2" t="n"/>
      <c r="P319" s="2" t="n"/>
      <c r="Q319" s="2" t="n"/>
      <c r="R319" s="2" t="n"/>
    </row>
    <row r="320">
      <c r="A320" s="2" t="inlineStr">
        <is>
          <t>INV00317</t>
        </is>
      </c>
      <c r="B320" s="7" t="n">
        <v>46312</v>
      </c>
      <c r="C320" s="2" t="inlineStr">
        <is>
          <t>IBM</t>
        </is>
      </c>
      <c r="D320" s="2" t="inlineStr">
        <is>
          <t>Marketing</t>
        </is>
      </c>
      <c r="E320" s="2" t="inlineStr">
        <is>
          <t>Facilities</t>
        </is>
      </c>
      <c r="F320" s="8" t="n">
        <v>33100</v>
      </c>
      <c r="G320" s="2" t="n">
        <v>15</v>
      </c>
      <c r="H320" s="7" t="n">
        <v>46327</v>
      </c>
      <c r="I320" s="2" t="n"/>
      <c r="J320" s="2" t="inlineStr">
        <is>
          <t>Pending</t>
        </is>
      </c>
      <c r="K320" s="2" t="inlineStr">
        <is>
          <t>No</t>
        </is>
      </c>
      <c r="L320" s="9" t="n">
        <v>0</v>
      </c>
      <c r="M320" s="2" t="inlineStr">
        <is>
          <t>Received</t>
        </is>
      </c>
      <c r="N320" s="2" t="inlineStr">
        <is>
          <t>Pending</t>
        </is>
      </c>
      <c r="O320" s="2" t="n"/>
      <c r="P320" s="2" t="n"/>
      <c r="Q320" s="2" t="n"/>
      <c r="R320" s="2" t="n"/>
    </row>
    <row r="321">
      <c r="A321" s="2" t="inlineStr">
        <is>
          <t>INV00318</t>
        </is>
      </c>
      <c r="B321" s="7" t="n">
        <v>46337</v>
      </c>
      <c r="C321" s="2" t="inlineStr">
        <is>
          <t>Adobe</t>
        </is>
      </c>
      <c r="D321" s="2" t="inlineStr">
        <is>
          <t>IT</t>
        </is>
      </c>
      <c r="E321" s="2" t="inlineStr">
        <is>
          <t>Professional Services</t>
        </is>
      </c>
      <c r="F321" s="8" t="n">
        <v>462100</v>
      </c>
      <c r="G321" s="2" t="n">
        <v>45</v>
      </c>
      <c r="H321" s="7" t="n">
        <v>46382</v>
      </c>
      <c r="I321" s="7" t="n">
        <v>46382</v>
      </c>
      <c r="J321" s="2" t="inlineStr">
        <is>
          <t>Paid</t>
        </is>
      </c>
      <c r="K321" s="2" t="inlineStr">
        <is>
          <t>No</t>
        </is>
      </c>
      <c r="L321" s="9" t="n">
        <v>0</v>
      </c>
      <c r="M321" s="2" t="inlineStr">
        <is>
          <t>Received</t>
        </is>
      </c>
      <c r="N321" s="2" t="inlineStr">
        <is>
          <t>Approved</t>
        </is>
      </c>
      <c r="O321" s="2" t="n"/>
      <c r="P321" s="2" t="n"/>
      <c r="Q321" s="2" t="n"/>
      <c r="R321" s="2" t="n"/>
    </row>
    <row r="322">
      <c r="A322" s="2" t="inlineStr">
        <is>
          <t>INV00319</t>
        </is>
      </c>
      <c r="B322" s="7" t="n">
        <v>46190</v>
      </c>
      <c r="C322" s="2" t="inlineStr">
        <is>
          <t>Amazon Web Services</t>
        </is>
      </c>
      <c r="D322" s="2" t="inlineStr">
        <is>
          <t>IT</t>
        </is>
      </c>
      <c r="E322" s="2" t="inlineStr">
        <is>
          <t>Cloud</t>
        </is>
      </c>
      <c r="F322" s="8" t="n">
        <v>158600</v>
      </c>
      <c r="G322" s="2" t="n">
        <v>15</v>
      </c>
      <c r="H322" s="7" t="n">
        <v>46205</v>
      </c>
      <c r="I322" s="2" t="n"/>
      <c r="J322" s="2" t="inlineStr">
        <is>
          <t>Pending</t>
        </is>
      </c>
      <c r="K322" s="2" t="inlineStr">
        <is>
          <t>No</t>
        </is>
      </c>
      <c r="L322" s="9" t="n">
        <v>0</v>
      </c>
      <c r="M322" s="2" t="inlineStr">
        <is>
          <t>Received</t>
        </is>
      </c>
      <c r="N322" s="2" t="inlineStr">
        <is>
          <t>Approved</t>
        </is>
      </c>
      <c r="O322" s="2" t="n"/>
      <c r="P322" s="2" t="n"/>
      <c r="Q322" s="2" t="n"/>
      <c r="R322" s="2" t="n"/>
    </row>
    <row r="323">
      <c r="A323" s="2" t="inlineStr">
        <is>
          <t>INV00320</t>
        </is>
      </c>
      <c r="B323" s="7" t="n">
        <v>46380</v>
      </c>
      <c r="C323" s="2" t="inlineStr">
        <is>
          <t>Cognizant</t>
        </is>
      </c>
      <c r="D323" s="2" t="inlineStr">
        <is>
          <t>Operations</t>
        </is>
      </c>
      <c r="E323" s="2" t="inlineStr">
        <is>
          <t>Travel</t>
        </is>
      </c>
      <c r="F323" s="8" t="n">
        <v>365300</v>
      </c>
      <c r="G323" s="2" t="n">
        <v>15</v>
      </c>
      <c r="H323" s="7" t="n">
        <v>46395</v>
      </c>
      <c r="I323" s="7" t="n">
        <v>46395</v>
      </c>
      <c r="J323" s="2" t="inlineStr">
        <is>
          <t>Paid</t>
        </is>
      </c>
      <c r="K323" s="2" t="inlineStr">
        <is>
          <t>Yes</t>
        </is>
      </c>
      <c r="L323" s="9" t="n">
        <v>0.02</v>
      </c>
      <c r="M323" s="2" t="inlineStr">
        <is>
          <t>Received</t>
        </is>
      </c>
      <c r="N323" s="2" t="inlineStr">
        <is>
          <t>Approved</t>
        </is>
      </c>
      <c r="O323" s="2" t="n"/>
      <c r="P323" s="2" t="n"/>
      <c r="Q323" s="2" t="n"/>
      <c r="R323" s="2" t="n"/>
    </row>
    <row r="324">
      <c r="A324" s="2" t="inlineStr">
        <is>
          <t>INV00321</t>
        </is>
      </c>
      <c r="B324" s="7" t="n">
        <v>46072</v>
      </c>
      <c r="C324" s="2" t="inlineStr">
        <is>
          <t>HCLTech</t>
        </is>
      </c>
      <c r="D324" s="2" t="inlineStr">
        <is>
          <t>Finance</t>
        </is>
      </c>
      <c r="E324" s="2" t="inlineStr">
        <is>
          <t>Consulting</t>
        </is>
      </c>
      <c r="F324" s="8" t="n">
        <v>722700</v>
      </c>
      <c r="G324" s="2" t="n">
        <v>60</v>
      </c>
      <c r="H324" s="7" t="n">
        <v>46132</v>
      </c>
      <c r="I324" s="7" t="n">
        <v>46132</v>
      </c>
      <c r="J324" s="2" t="inlineStr">
        <is>
          <t>Paid</t>
        </is>
      </c>
      <c r="K324" s="2" t="inlineStr">
        <is>
          <t>Yes</t>
        </is>
      </c>
      <c r="L324" s="9" t="n">
        <v>0.02</v>
      </c>
      <c r="M324" s="2" t="inlineStr">
        <is>
          <t>Received</t>
        </is>
      </c>
      <c r="N324" s="2" t="inlineStr">
        <is>
          <t>Approved</t>
        </is>
      </c>
      <c r="O324" s="2" t="n"/>
      <c r="P324" s="2" t="n"/>
      <c r="Q324" s="2" t="n"/>
      <c r="R324" s="2" t="n"/>
    </row>
    <row r="325">
      <c r="A325" s="2" t="inlineStr">
        <is>
          <t>INV00322</t>
        </is>
      </c>
      <c r="B325" s="7" t="n">
        <v>46078</v>
      </c>
      <c r="C325" s="2" t="inlineStr">
        <is>
          <t>Wipro</t>
        </is>
      </c>
      <c r="D325" s="2" t="inlineStr">
        <is>
          <t>Marketing</t>
        </is>
      </c>
      <c r="E325" s="2" t="inlineStr">
        <is>
          <t>Software</t>
        </is>
      </c>
      <c r="F325" s="8" t="n">
        <v>627100</v>
      </c>
      <c r="G325" s="2" t="n">
        <v>15</v>
      </c>
      <c r="H325" s="7" t="n">
        <v>46093</v>
      </c>
      <c r="I325" s="2" t="n"/>
      <c r="J325" s="2" t="inlineStr">
        <is>
          <t>Pending</t>
        </is>
      </c>
      <c r="K325" s="2" t="inlineStr">
        <is>
          <t>Yes</t>
        </is>
      </c>
      <c r="L325" s="9" t="n">
        <v>0.02</v>
      </c>
      <c r="M325" s="2" t="inlineStr">
        <is>
          <t>Received</t>
        </is>
      </c>
      <c r="N325" s="2" t="inlineStr">
        <is>
          <t>Approved</t>
        </is>
      </c>
      <c r="O325" s="2" t="n"/>
      <c r="P325" s="2" t="n"/>
      <c r="Q325" s="2" t="n"/>
      <c r="R325" s="2" t="n"/>
    </row>
    <row r="326">
      <c r="A326" s="2" t="inlineStr">
        <is>
          <t>INV00323</t>
        </is>
      </c>
      <c r="B326" s="7" t="n">
        <v>46247</v>
      </c>
      <c r="C326" s="2" t="inlineStr">
        <is>
          <t>Adobe</t>
        </is>
      </c>
      <c r="D326" s="2" t="inlineStr">
        <is>
          <t>Sales</t>
        </is>
      </c>
      <c r="E326" s="2" t="inlineStr">
        <is>
          <t>Software</t>
        </is>
      </c>
      <c r="F326" s="8" t="n">
        <v>414900</v>
      </c>
      <c r="G326" s="2" t="n">
        <v>60</v>
      </c>
      <c r="H326" s="7" t="n">
        <v>46307</v>
      </c>
      <c r="I326" s="2" t="n"/>
      <c r="J326" s="2" t="inlineStr">
        <is>
          <t>Pending</t>
        </is>
      </c>
      <c r="K326" s="2" t="inlineStr">
        <is>
          <t>No</t>
        </is>
      </c>
      <c r="L326" s="9" t="n">
        <v>0</v>
      </c>
      <c r="M326" s="2" t="inlineStr">
        <is>
          <t>Received</t>
        </is>
      </c>
      <c r="N326" s="2" t="inlineStr">
        <is>
          <t>Approved</t>
        </is>
      </c>
      <c r="O326" s="2" t="n"/>
      <c r="P326" s="2" t="n"/>
      <c r="Q326" s="2" t="n"/>
      <c r="R326" s="2" t="n"/>
    </row>
    <row r="327">
      <c r="A327" s="2" t="inlineStr">
        <is>
          <t>INV00324</t>
        </is>
      </c>
      <c r="B327" s="7" t="n">
        <v>46164</v>
      </c>
      <c r="C327" s="2" t="inlineStr">
        <is>
          <t>Zoho</t>
        </is>
      </c>
      <c r="D327" s="2" t="inlineStr">
        <is>
          <t>Sales</t>
        </is>
      </c>
      <c r="E327" s="2" t="inlineStr">
        <is>
          <t>Travel</t>
        </is>
      </c>
      <c r="F327" s="8" t="n">
        <v>239600</v>
      </c>
      <c r="G327" s="2" t="n">
        <v>45</v>
      </c>
      <c r="H327" s="7" t="n">
        <v>46209</v>
      </c>
      <c r="I327" s="7" t="n">
        <v>46209</v>
      </c>
      <c r="J327" s="2" t="inlineStr">
        <is>
          <t>Paid</t>
        </is>
      </c>
      <c r="K327" s="2" t="inlineStr">
        <is>
          <t>No</t>
        </is>
      </c>
      <c r="L327" s="9" t="n">
        <v>0</v>
      </c>
      <c r="M327" s="2" t="inlineStr">
        <is>
          <t>Received</t>
        </is>
      </c>
      <c r="N327" s="2" t="inlineStr">
        <is>
          <t>Pending</t>
        </is>
      </c>
      <c r="O327" s="2" t="n"/>
      <c r="P327" s="2" t="n"/>
      <c r="Q327" s="2" t="n"/>
      <c r="R327" s="2" t="n"/>
    </row>
    <row r="328">
      <c r="A328" s="2" t="inlineStr">
        <is>
          <t>INV00325</t>
        </is>
      </c>
      <c r="B328" s="7" t="n">
        <v>46149</v>
      </c>
      <c r="C328" s="2" t="inlineStr">
        <is>
          <t>Wipro</t>
        </is>
      </c>
      <c r="D328" s="2" t="inlineStr">
        <is>
          <t>Sales</t>
        </is>
      </c>
      <c r="E328" s="2" t="inlineStr">
        <is>
          <t>Travel</t>
        </is>
      </c>
      <c r="F328" s="8" t="n">
        <v>56900</v>
      </c>
      <c r="G328" s="2" t="n">
        <v>45</v>
      </c>
      <c r="H328" s="7" t="n">
        <v>46194</v>
      </c>
      <c r="I328" s="7" t="n">
        <v>46194</v>
      </c>
      <c r="J328" s="2" t="inlineStr">
        <is>
          <t>Paid</t>
        </is>
      </c>
      <c r="K328" s="2" t="inlineStr">
        <is>
          <t>No</t>
        </is>
      </c>
      <c r="L328" s="9" t="n">
        <v>0</v>
      </c>
      <c r="M328" s="2" t="inlineStr">
        <is>
          <t>Received</t>
        </is>
      </c>
      <c r="N328" s="2" t="inlineStr">
        <is>
          <t>Approved</t>
        </is>
      </c>
      <c r="O328" s="2" t="n"/>
      <c r="P328" s="2" t="n"/>
      <c r="Q328" s="2" t="n"/>
      <c r="R328" s="2" t="n"/>
    </row>
    <row r="329">
      <c r="A329" s="2" t="inlineStr">
        <is>
          <t>INV00326</t>
        </is>
      </c>
      <c r="B329" s="7" t="n">
        <v>46323</v>
      </c>
      <c r="C329" s="2" t="inlineStr">
        <is>
          <t>Microsoft</t>
        </is>
      </c>
      <c r="D329" s="2" t="inlineStr">
        <is>
          <t>Marketing</t>
        </is>
      </c>
      <c r="E329" s="2" t="inlineStr">
        <is>
          <t>Professional Services</t>
        </is>
      </c>
      <c r="F329" s="8" t="n">
        <v>76200</v>
      </c>
      <c r="G329" s="2" t="n">
        <v>15</v>
      </c>
      <c r="H329" s="7" t="n">
        <v>46338</v>
      </c>
      <c r="I329" s="7" t="n">
        <v>46343</v>
      </c>
      <c r="J329" s="2" t="inlineStr">
        <is>
          <t>Paid</t>
        </is>
      </c>
      <c r="K329" s="2" t="inlineStr">
        <is>
          <t>No</t>
        </is>
      </c>
      <c r="L329" s="9" t="n">
        <v>0</v>
      </c>
      <c r="M329" s="2" t="inlineStr">
        <is>
          <t>Received</t>
        </is>
      </c>
      <c r="N329" s="2" t="inlineStr">
        <is>
          <t>Approved</t>
        </is>
      </c>
      <c r="O329" s="2" t="n"/>
      <c r="P329" s="2" t="n"/>
      <c r="Q329" s="2" t="n"/>
      <c r="R329" s="2" t="n"/>
    </row>
    <row r="330">
      <c r="A330" s="2" t="inlineStr">
        <is>
          <t>INV00327</t>
        </is>
      </c>
      <c r="B330" s="7" t="n">
        <v>46116</v>
      </c>
      <c r="C330" s="2" t="inlineStr">
        <is>
          <t>Infosys</t>
        </is>
      </c>
      <c r="D330" s="2" t="inlineStr">
        <is>
          <t>Marketing</t>
        </is>
      </c>
      <c r="E330" s="2" t="inlineStr">
        <is>
          <t>Software</t>
        </is>
      </c>
      <c r="F330" s="8" t="n">
        <v>588000</v>
      </c>
      <c r="G330" s="2" t="n">
        <v>30</v>
      </c>
      <c r="H330" s="7" t="n">
        <v>46146</v>
      </c>
      <c r="I330" s="7" t="n">
        <v>46146</v>
      </c>
      <c r="J330" s="2" t="inlineStr">
        <is>
          <t>Paid</t>
        </is>
      </c>
      <c r="K330" s="2" t="inlineStr">
        <is>
          <t>No</t>
        </is>
      </c>
      <c r="L330" s="9" t="n">
        <v>0</v>
      </c>
      <c r="M330" s="2" t="inlineStr">
        <is>
          <t>Received</t>
        </is>
      </c>
      <c r="N330" s="2" t="inlineStr">
        <is>
          <t>Pending</t>
        </is>
      </c>
      <c r="O330" s="2" t="n"/>
      <c r="P330" s="2" t="n"/>
      <c r="Q330" s="2" t="n"/>
      <c r="R330" s="2" t="n"/>
    </row>
    <row r="331">
      <c r="A331" s="2" t="inlineStr">
        <is>
          <t>INV00328</t>
        </is>
      </c>
      <c r="B331" s="7" t="n">
        <v>46082</v>
      </c>
      <c r="C331" s="2" t="inlineStr">
        <is>
          <t>Oracle</t>
        </is>
      </c>
      <c r="D331" s="2" t="inlineStr">
        <is>
          <t>Finance</t>
        </is>
      </c>
      <c r="E331" s="2" t="inlineStr">
        <is>
          <t>Facilities</t>
        </is>
      </c>
      <c r="F331" s="8" t="n">
        <v>730600</v>
      </c>
      <c r="G331" s="2" t="n">
        <v>30</v>
      </c>
      <c r="H331" s="7" t="n">
        <v>46112</v>
      </c>
      <c r="I331" s="2" t="n"/>
      <c r="J331" s="2" t="inlineStr">
        <is>
          <t>Pending</t>
        </is>
      </c>
      <c r="K331" s="2" t="inlineStr">
        <is>
          <t>Yes</t>
        </is>
      </c>
      <c r="L331" s="9" t="n">
        <v>0.02</v>
      </c>
      <c r="M331" s="2" t="inlineStr">
        <is>
          <t>Received</t>
        </is>
      </c>
      <c r="N331" s="2" t="inlineStr">
        <is>
          <t>Approved</t>
        </is>
      </c>
      <c r="O331" s="2" t="n"/>
      <c r="P331" s="2" t="n"/>
      <c r="Q331" s="2" t="n"/>
      <c r="R331" s="2" t="n"/>
    </row>
    <row r="332">
      <c r="A332" s="2" t="inlineStr">
        <is>
          <t>INV00329</t>
        </is>
      </c>
      <c r="B332" s="7" t="n">
        <v>46249</v>
      </c>
      <c r="C332" s="2" t="inlineStr">
        <is>
          <t>Oracle</t>
        </is>
      </c>
      <c r="D332" s="2" t="inlineStr">
        <is>
          <t>HR</t>
        </is>
      </c>
      <c r="E332" s="2" t="inlineStr">
        <is>
          <t>Professional Services</t>
        </is>
      </c>
      <c r="F332" s="8" t="n">
        <v>705000</v>
      </c>
      <c r="G332" s="2" t="n">
        <v>15</v>
      </c>
      <c r="H332" s="7" t="n">
        <v>46264</v>
      </c>
      <c r="I332" s="2" t="n"/>
      <c r="J332" s="2" t="inlineStr">
        <is>
          <t>Pending</t>
        </is>
      </c>
      <c r="K332" s="2" t="inlineStr">
        <is>
          <t>Yes</t>
        </is>
      </c>
      <c r="L332" s="9" t="n">
        <v>0.02</v>
      </c>
      <c r="M332" s="2" t="inlineStr">
        <is>
          <t>Received</t>
        </is>
      </c>
      <c r="N332" s="2" t="inlineStr">
        <is>
          <t>Approved</t>
        </is>
      </c>
      <c r="O332" s="2" t="n"/>
      <c r="P332" s="2" t="n"/>
      <c r="Q332" s="2" t="n"/>
      <c r="R332" s="2" t="n"/>
    </row>
    <row r="333">
      <c r="A333" s="2" t="inlineStr">
        <is>
          <t>INV00330</t>
        </is>
      </c>
      <c r="B333" s="7" t="n">
        <v>46329</v>
      </c>
      <c r="C333" s="2" t="inlineStr">
        <is>
          <t>Wipro</t>
        </is>
      </c>
      <c r="D333" s="2" t="inlineStr">
        <is>
          <t>IT</t>
        </is>
      </c>
      <c r="E333" s="2" t="inlineStr">
        <is>
          <t>Software</t>
        </is>
      </c>
      <c r="F333" s="8" t="n">
        <v>204100</v>
      </c>
      <c r="G333" s="2" t="n">
        <v>15</v>
      </c>
      <c r="H333" s="7" t="n">
        <v>46344</v>
      </c>
      <c r="I333" s="2" t="n"/>
      <c r="J333" s="2" t="inlineStr">
        <is>
          <t>Pending</t>
        </is>
      </c>
      <c r="K333" s="2" t="inlineStr">
        <is>
          <t>No</t>
        </is>
      </c>
      <c r="L333" s="9" t="n">
        <v>0</v>
      </c>
      <c r="M333" s="2" t="inlineStr">
        <is>
          <t>Received</t>
        </is>
      </c>
      <c r="N333" s="2" t="inlineStr">
        <is>
          <t>Pending</t>
        </is>
      </c>
      <c r="O333" s="2" t="n"/>
      <c r="P333" s="2" t="n"/>
      <c r="Q333" s="2" t="n"/>
      <c r="R333" s="2" t="n"/>
    </row>
    <row r="334">
      <c r="A334" s="2" t="inlineStr">
        <is>
          <t>INV00331</t>
        </is>
      </c>
      <c r="B334" s="7" t="n">
        <v>46255</v>
      </c>
      <c r="C334" s="2" t="inlineStr">
        <is>
          <t>Cognizant</t>
        </is>
      </c>
      <c r="D334" s="2" t="inlineStr">
        <is>
          <t>Finance</t>
        </is>
      </c>
      <c r="E334" s="2" t="inlineStr">
        <is>
          <t>Consulting</t>
        </is>
      </c>
      <c r="F334" s="8" t="n">
        <v>829100</v>
      </c>
      <c r="G334" s="2" t="n">
        <v>60</v>
      </c>
      <c r="H334" s="7" t="n">
        <v>46315</v>
      </c>
      <c r="I334" s="7" t="n">
        <v>46315</v>
      </c>
      <c r="J334" s="2" t="inlineStr">
        <is>
          <t>Paid</t>
        </is>
      </c>
      <c r="K334" s="2" t="inlineStr">
        <is>
          <t>Yes</t>
        </is>
      </c>
      <c r="L334" s="9" t="n">
        <v>0.02</v>
      </c>
      <c r="M334" s="2" t="inlineStr">
        <is>
          <t>Received</t>
        </is>
      </c>
      <c r="N334" s="2" t="inlineStr">
        <is>
          <t>Approved</t>
        </is>
      </c>
      <c r="O334" s="2" t="n"/>
      <c r="P334" s="2" t="n"/>
      <c r="Q334" s="2" t="n"/>
      <c r="R334" s="2" t="n"/>
    </row>
    <row r="335">
      <c r="A335" s="2" t="inlineStr">
        <is>
          <t>INV00332</t>
        </is>
      </c>
      <c r="B335" s="7" t="n">
        <v>46140</v>
      </c>
      <c r="C335" s="2" t="inlineStr">
        <is>
          <t>Cognizant</t>
        </is>
      </c>
      <c r="D335" s="2" t="inlineStr">
        <is>
          <t>Marketing</t>
        </is>
      </c>
      <c r="E335" s="2" t="inlineStr">
        <is>
          <t>Travel</t>
        </is>
      </c>
      <c r="F335" s="8" t="n">
        <v>190500</v>
      </c>
      <c r="G335" s="2" t="n">
        <v>30</v>
      </c>
      <c r="H335" s="7" t="n">
        <v>46170</v>
      </c>
      <c r="I335" s="7" t="n">
        <v>46230</v>
      </c>
      <c r="J335" s="2" t="inlineStr">
        <is>
          <t>Paid</t>
        </is>
      </c>
      <c r="K335" s="2" t="inlineStr">
        <is>
          <t>No</t>
        </is>
      </c>
      <c r="L335" s="9" t="n">
        <v>0</v>
      </c>
      <c r="M335" s="2" t="inlineStr">
        <is>
          <t>Pending</t>
        </is>
      </c>
      <c r="N335" s="2" t="inlineStr">
        <is>
          <t>Approved</t>
        </is>
      </c>
      <c r="O335" s="2" t="n"/>
      <c r="P335" s="2" t="n"/>
      <c r="Q335" s="2" t="n"/>
      <c r="R335" s="2" t="n"/>
    </row>
    <row r="336">
      <c r="A336" s="2" t="inlineStr">
        <is>
          <t>INV00333</t>
        </is>
      </c>
      <c r="B336" s="7" t="n">
        <v>46246</v>
      </c>
      <c r="C336" s="2" t="inlineStr">
        <is>
          <t>Microsoft</t>
        </is>
      </c>
      <c r="D336" s="2" t="inlineStr">
        <is>
          <t>Finance</t>
        </is>
      </c>
      <c r="E336" s="2" t="inlineStr">
        <is>
          <t>Facilities</t>
        </is>
      </c>
      <c r="F336" s="8" t="n">
        <v>61800</v>
      </c>
      <c r="G336" s="2" t="n">
        <v>60</v>
      </c>
      <c r="H336" s="7" t="n">
        <v>46306</v>
      </c>
      <c r="I336" s="7" t="n">
        <v>46306</v>
      </c>
      <c r="J336" s="2" t="inlineStr">
        <is>
          <t>Paid</t>
        </is>
      </c>
      <c r="K336" s="2" t="inlineStr">
        <is>
          <t>No</t>
        </is>
      </c>
      <c r="L336" s="9" t="n">
        <v>0</v>
      </c>
      <c r="M336" s="2" t="inlineStr">
        <is>
          <t>Received</t>
        </is>
      </c>
      <c r="N336" s="2" t="inlineStr">
        <is>
          <t>Approved</t>
        </is>
      </c>
      <c r="O336" s="2" t="n"/>
      <c r="P336" s="2" t="n"/>
      <c r="Q336" s="2" t="n"/>
      <c r="R336" s="2" t="n"/>
    </row>
    <row r="337">
      <c r="A337" s="2" t="inlineStr">
        <is>
          <t>INV00334</t>
        </is>
      </c>
      <c r="B337" s="7" t="n">
        <v>46236</v>
      </c>
      <c r="C337" s="2" t="inlineStr">
        <is>
          <t>Microsoft</t>
        </is>
      </c>
      <c r="D337" s="2" t="inlineStr">
        <is>
          <t>Sales</t>
        </is>
      </c>
      <c r="E337" s="2" t="inlineStr">
        <is>
          <t>Consulting</t>
        </is>
      </c>
      <c r="F337" s="8" t="n">
        <v>641000</v>
      </c>
      <c r="G337" s="2" t="n">
        <v>15</v>
      </c>
      <c r="H337" s="7" t="n">
        <v>46251</v>
      </c>
      <c r="I337" s="2" t="n"/>
      <c r="J337" s="2" t="inlineStr">
        <is>
          <t>Pending</t>
        </is>
      </c>
      <c r="K337" s="2" t="inlineStr">
        <is>
          <t>Yes</t>
        </is>
      </c>
      <c r="L337" s="9" t="n">
        <v>0.02</v>
      </c>
      <c r="M337" s="2" t="inlineStr">
        <is>
          <t>Received</t>
        </is>
      </c>
      <c r="N337" s="2" t="inlineStr">
        <is>
          <t>Approved</t>
        </is>
      </c>
      <c r="O337" s="2" t="n"/>
      <c r="P337" s="2" t="n"/>
      <c r="Q337" s="2" t="n"/>
      <c r="R337" s="2" t="n"/>
    </row>
    <row r="338">
      <c r="A338" s="2" t="inlineStr">
        <is>
          <t>INV00335</t>
        </is>
      </c>
      <c r="B338" s="7" t="n">
        <v>46339</v>
      </c>
      <c r="C338" s="2" t="inlineStr">
        <is>
          <t>Oracle</t>
        </is>
      </c>
      <c r="D338" s="2" t="inlineStr">
        <is>
          <t>Marketing</t>
        </is>
      </c>
      <c r="E338" s="2" t="inlineStr">
        <is>
          <t>Travel</t>
        </is>
      </c>
      <c r="F338" s="8" t="n">
        <v>131600</v>
      </c>
      <c r="G338" s="2" t="n">
        <v>15</v>
      </c>
      <c r="H338" s="7" t="n">
        <v>46354</v>
      </c>
      <c r="I338" s="7" t="n">
        <v>46354</v>
      </c>
      <c r="J338" s="2" t="inlineStr">
        <is>
          <t>Paid</t>
        </is>
      </c>
      <c r="K338" s="2" t="inlineStr">
        <is>
          <t>No</t>
        </is>
      </c>
      <c r="L338" s="9" t="n">
        <v>0</v>
      </c>
      <c r="M338" s="2" t="inlineStr">
        <is>
          <t>Received</t>
        </is>
      </c>
      <c r="N338" s="2" t="inlineStr">
        <is>
          <t>Approved</t>
        </is>
      </c>
      <c r="O338" s="2" t="n"/>
      <c r="P338" s="2" t="n"/>
      <c r="Q338" s="2" t="n"/>
      <c r="R338" s="2" t="n"/>
    </row>
    <row r="339">
      <c r="A339" s="2" t="inlineStr">
        <is>
          <t>INV00336</t>
        </is>
      </c>
      <c r="B339" s="7" t="n">
        <v>46296</v>
      </c>
      <c r="C339" s="2" t="inlineStr">
        <is>
          <t>Google Cloud</t>
        </is>
      </c>
      <c r="D339" s="2" t="inlineStr">
        <is>
          <t>Finance</t>
        </is>
      </c>
      <c r="E339" s="2" t="inlineStr">
        <is>
          <t>Professional Services</t>
        </is>
      </c>
      <c r="F339" s="8" t="n">
        <v>635900</v>
      </c>
      <c r="G339" s="2" t="n">
        <v>30</v>
      </c>
      <c r="H339" s="7" t="n">
        <v>46326</v>
      </c>
      <c r="I339" s="7" t="n">
        <v>46326</v>
      </c>
      <c r="J339" s="2" t="inlineStr">
        <is>
          <t>Paid</t>
        </is>
      </c>
      <c r="K339" s="2" t="inlineStr">
        <is>
          <t>No</t>
        </is>
      </c>
      <c r="L339" s="9" t="n">
        <v>0</v>
      </c>
      <c r="M339" s="2" t="inlineStr">
        <is>
          <t>Received</t>
        </is>
      </c>
      <c r="N339" s="2" t="inlineStr">
        <is>
          <t>Approved</t>
        </is>
      </c>
      <c r="O339" s="2" t="n"/>
      <c r="P339" s="2" t="n"/>
      <c r="Q339" s="2" t="n"/>
      <c r="R339" s="2" t="n"/>
    </row>
    <row r="340">
      <c r="A340" s="2" t="inlineStr">
        <is>
          <t>INV00337</t>
        </is>
      </c>
      <c r="B340" s="7" t="n">
        <v>46126</v>
      </c>
      <c r="C340" s="2" t="inlineStr">
        <is>
          <t>Cognizant</t>
        </is>
      </c>
      <c r="D340" s="2" t="inlineStr">
        <is>
          <t>HR</t>
        </is>
      </c>
      <c r="E340" s="2" t="inlineStr">
        <is>
          <t>Travel</t>
        </is>
      </c>
      <c r="F340" s="8" t="n">
        <v>123000</v>
      </c>
      <c r="G340" s="2" t="n">
        <v>15</v>
      </c>
      <c r="H340" s="7" t="n">
        <v>46141</v>
      </c>
      <c r="I340" s="7" t="n">
        <v>46146</v>
      </c>
      <c r="J340" s="2" t="inlineStr">
        <is>
          <t>Paid</t>
        </is>
      </c>
      <c r="K340" s="2" t="inlineStr">
        <is>
          <t>No</t>
        </is>
      </c>
      <c r="L340" s="9" t="n">
        <v>0</v>
      </c>
      <c r="M340" s="2" t="inlineStr">
        <is>
          <t>Received</t>
        </is>
      </c>
      <c r="N340" s="2" t="inlineStr">
        <is>
          <t>Approved</t>
        </is>
      </c>
      <c r="O340" s="2" t="n"/>
      <c r="P340" s="2" t="n"/>
      <c r="Q340" s="2" t="n"/>
      <c r="R340" s="2" t="n"/>
    </row>
    <row r="341">
      <c r="A341" s="2" t="inlineStr">
        <is>
          <t>INV00338</t>
        </is>
      </c>
      <c r="B341" s="7" t="n">
        <v>46301</v>
      </c>
      <c r="C341" s="2" t="inlineStr">
        <is>
          <t>Deloitte</t>
        </is>
      </c>
      <c r="D341" s="2" t="inlineStr">
        <is>
          <t>Sales</t>
        </is>
      </c>
      <c r="E341" s="2" t="inlineStr">
        <is>
          <t>Office Supplies</t>
        </is>
      </c>
      <c r="F341" s="8" t="n">
        <v>223200</v>
      </c>
      <c r="G341" s="2" t="n">
        <v>15</v>
      </c>
      <c r="H341" s="7" t="n">
        <v>46316</v>
      </c>
      <c r="I341" s="7" t="n">
        <v>46316</v>
      </c>
      <c r="J341" s="2" t="inlineStr">
        <is>
          <t>Paid</t>
        </is>
      </c>
      <c r="K341" s="2" t="inlineStr">
        <is>
          <t>No</t>
        </is>
      </c>
      <c r="L341" s="9" t="n">
        <v>0</v>
      </c>
      <c r="M341" s="2" t="inlineStr">
        <is>
          <t>Received</t>
        </is>
      </c>
      <c r="N341" s="2" t="inlineStr">
        <is>
          <t>Approved</t>
        </is>
      </c>
      <c r="O341" s="2" t="n"/>
      <c r="P341" s="2" t="n"/>
      <c r="Q341" s="2" t="n"/>
      <c r="R341" s="2" t="n"/>
    </row>
    <row r="342">
      <c r="A342" s="2" t="inlineStr">
        <is>
          <t>INV00339</t>
        </is>
      </c>
      <c r="B342" s="7" t="n">
        <v>46046</v>
      </c>
      <c r="C342" s="2" t="inlineStr">
        <is>
          <t>Wipro</t>
        </is>
      </c>
      <c r="D342" s="2" t="inlineStr">
        <is>
          <t>Sales</t>
        </is>
      </c>
      <c r="E342" s="2" t="inlineStr">
        <is>
          <t>Facilities</t>
        </is>
      </c>
      <c r="F342" s="8" t="n">
        <v>412400</v>
      </c>
      <c r="G342" s="2" t="n">
        <v>45</v>
      </c>
      <c r="H342" s="7" t="n">
        <v>46091</v>
      </c>
      <c r="I342" s="2" t="n"/>
      <c r="J342" s="2" t="inlineStr">
        <is>
          <t>Pending</t>
        </is>
      </c>
      <c r="K342" s="2" t="inlineStr">
        <is>
          <t>Yes</t>
        </is>
      </c>
      <c r="L342" s="9" t="n">
        <v>0.02</v>
      </c>
      <c r="M342" s="2" t="inlineStr">
        <is>
          <t>Received</t>
        </is>
      </c>
      <c r="N342" s="2" t="inlineStr">
        <is>
          <t>Approved</t>
        </is>
      </c>
      <c r="O342" s="2" t="n"/>
      <c r="P342" s="2" t="n"/>
      <c r="Q342" s="2" t="n"/>
      <c r="R342" s="2" t="n"/>
    </row>
    <row r="343">
      <c r="A343" s="2" t="inlineStr">
        <is>
          <t>INV00340</t>
        </is>
      </c>
      <c r="B343" s="7" t="n">
        <v>46322</v>
      </c>
      <c r="C343" s="2" t="inlineStr">
        <is>
          <t>Cognizant</t>
        </is>
      </c>
      <c r="D343" s="2" t="inlineStr">
        <is>
          <t>Finance</t>
        </is>
      </c>
      <c r="E343" s="2" t="inlineStr">
        <is>
          <t>Office Supplies</t>
        </is>
      </c>
      <c r="F343" s="8" t="n">
        <v>764200</v>
      </c>
      <c r="G343" s="2" t="n">
        <v>45</v>
      </c>
      <c r="H343" s="7" t="n">
        <v>46367</v>
      </c>
      <c r="I343" s="7" t="n">
        <v>46367</v>
      </c>
      <c r="J343" s="2" t="inlineStr">
        <is>
          <t>Paid</t>
        </is>
      </c>
      <c r="K343" s="2" t="inlineStr">
        <is>
          <t>No</t>
        </is>
      </c>
      <c r="L343" s="9" t="n">
        <v>0</v>
      </c>
      <c r="M343" s="2" t="inlineStr">
        <is>
          <t>Received</t>
        </is>
      </c>
      <c r="N343" s="2" t="inlineStr">
        <is>
          <t>Approved</t>
        </is>
      </c>
      <c r="O343" s="2" t="n"/>
      <c r="P343" s="2" t="n"/>
      <c r="Q343" s="2" t="n"/>
      <c r="R343" s="2" t="n"/>
    </row>
    <row r="344">
      <c r="A344" s="2" t="inlineStr">
        <is>
          <t>INV00341</t>
        </is>
      </c>
      <c r="B344" s="7" t="n">
        <v>46293</v>
      </c>
      <c r="C344" s="2" t="inlineStr">
        <is>
          <t>Zoho</t>
        </is>
      </c>
      <c r="D344" s="2" t="inlineStr">
        <is>
          <t>Marketing</t>
        </is>
      </c>
      <c r="E344" s="2" t="inlineStr">
        <is>
          <t>Travel</t>
        </is>
      </c>
      <c r="F344" s="8" t="n">
        <v>207500</v>
      </c>
      <c r="G344" s="2" t="n">
        <v>60</v>
      </c>
      <c r="H344" s="7" t="n">
        <v>46353</v>
      </c>
      <c r="I344" s="7" t="n">
        <v>46358</v>
      </c>
      <c r="J344" s="2" t="inlineStr">
        <is>
          <t>Paid</t>
        </is>
      </c>
      <c r="K344" s="2" t="inlineStr">
        <is>
          <t>Yes</t>
        </is>
      </c>
      <c r="L344" s="9" t="n">
        <v>0.02</v>
      </c>
      <c r="M344" s="2" t="inlineStr">
        <is>
          <t>Received</t>
        </is>
      </c>
      <c r="N344" s="2" t="inlineStr">
        <is>
          <t>Approved</t>
        </is>
      </c>
      <c r="O344" s="2" t="n"/>
      <c r="P344" s="2" t="n"/>
      <c r="Q344" s="2" t="n"/>
      <c r="R344" s="2" t="n"/>
    </row>
    <row r="345">
      <c r="A345" s="2" t="inlineStr">
        <is>
          <t>INV00342</t>
        </is>
      </c>
      <c r="B345" s="7" t="n">
        <v>46056</v>
      </c>
      <c r="C345" s="2" t="inlineStr">
        <is>
          <t>IBM</t>
        </is>
      </c>
      <c r="D345" s="2" t="inlineStr">
        <is>
          <t>Sales</t>
        </is>
      </c>
      <c r="E345" s="2" t="inlineStr">
        <is>
          <t>Cloud</t>
        </is>
      </c>
      <c r="F345" s="8" t="n">
        <v>831200</v>
      </c>
      <c r="G345" s="2" t="n">
        <v>15</v>
      </c>
      <c r="H345" s="7" t="n">
        <v>46071</v>
      </c>
      <c r="I345" s="7" t="n">
        <v>46071</v>
      </c>
      <c r="J345" s="2" t="inlineStr">
        <is>
          <t>Paid</t>
        </is>
      </c>
      <c r="K345" s="2" t="inlineStr">
        <is>
          <t>Yes</t>
        </is>
      </c>
      <c r="L345" s="9" t="n">
        <v>0.02</v>
      </c>
      <c r="M345" s="2" t="inlineStr">
        <is>
          <t>Received</t>
        </is>
      </c>
      <c r="N345" s="2" t="inlineStr">
        <is>
          <t>Approved</t>
        </is>
      </c>
      <c r="O345" s="2" t="n"/>
      <c r="P345" s="2" t="n"/>
      <c r="Q345" s="2" t="n"/>
      <c r="R345" s="2" t="n"/>
    </row>
    <row r="346">
      <c r="A346" s="2" t="inlineStr">
        <is>
          <t>INV00343</t>
        </is>
      </c>
      <c r="B346" s="7" t="n">
        <v>46260</v>
      </c>
      <c r="C346" s="2" t="inlineStr">
        <is>
          <t>Cognizant</t>
        </is>
      </c>
      <c r="D346" s="2" t="inlineStr">
        <is>
          <t>Operations</t>
        </is>
      </c>
      <c r="E346" s="2" t="inlineStr">
        <is>
          <t>Consulting</t>
        </is>
      </c>
      <c r="F346" s="8" t="n">
        <v>109200</v>
      </c>
      <c r="G346" s="2" t="n">
        <v>15</v>
      </c>
      <c r="H346" s="7" t="n">
        <v>46275</v>
      </c>
      <c r="I346" s="2" t="n"/>
      <c r="J346" s="2" t="inlineStr">
        <is>
          <t>Pending</t>
        </is>
      </c>
      <c r="K346" s="2" t="inlineStr">
        <is>
          <t>Yes</t>
        </is>
      </c>
      <c r="L346" s="9" t="n">
        <v>0.02</v>
      </c>
      <c r="M346" s="2" t="inlineStr">
        <is>
          <t>Received</t>
        </is>
      </c>
      <c r="N346" s="2" t="inlineStr">
        <is>
          <t>Approved</t>
        </is>
      </c>
      <c r="O346" s="2" t="n"/>
      <c r="P346" s="2" t="n"/>
      <c r="Q346" s="2" t="n"/>
      <c r="R346" s="2" t="n"/>
    </row>
    <row r="347">
      <c r="A347" s="2" t="inlineStr">
        <is>
          <t>INV00344</t>
        </is>
      </c>
      <c r="B347" s="7" t="n">
        <v>46149</v>
      </c>
      <c r="C347" s="2" t="inlineStr">
        <is>
          <t>Microsoft</t>
        </is>
      </c>
      <c r="D347" s="2" t="inlineStr">
        <is>
          <t>Sales</t>
        </is>
      </c>
      <c r="E347" s="2" t="inlineStr">
        <is>
          <t>Travel</t>
        </is>
      </c>
      <c r="F347" s="8" t="n">
        <v>146600</v>
      </c>
      <c r="G347" s="2" t="n">
        <v>15</v>
      </c>
      <c r="H347" s="7" t="n">
        <v>46164</v>
      </c>
      <c r="I347" s="7" t="n">
        <v>46164</v>
      </c>
      <c r="J347" s="2" t="inlineStr">
        <is>
          <t>Paid</t>
        </is>
      </c>
      <c r="K347" s="2" t="inlineStr">
        <is>
          <t>No</t>
        </is>
      </c>
      <c r="L347" s="9" t="n">
        <v>0</v>
      </c>
      <c r="M347" s="2" t="inlineStr">
        <is>
          <t>Received</t>
        </is>
      </c>
      <c r="N347" s="2" t="inlineStr">
        <is>
          <t>Approved</t>
        </is>
      </c>
      <c r="O347" s="2" t="n"/>
      <c r="P347" s="2" t="n"/>
      <c r="Q347" s="2" t="n"/>
      <c r="R347" s="2" t="n"/>
    </row>
    <row r="348">
      <c r="A348" s="2" t="inlineStr">
        <is>
          <t>INV00345</t>
        </is>
      </c>
      <c r="B348" s="7" t="n">
        <v>46224</v>
      </c>
      <c r="C348" s="2" t="inlineStr">
        <is>
          <t>Accenture</t>
        </is>
      </c>
      <c r="D348" s="2" t="inlineStr">
        <is>
          <t>HR</t>
        </is>
      </c>
      <c r="E348" s="2" t="inlineStr">
        <is>
          <t>Consulting</t>
        </is>
      </c>
      <c r="F348" s="8" t="n">
        <v>708900</v>
      </c>
      <c r="G348" s="2" t="n">
        <v>60</v>
      </c>
      <c r="H348" s="7" t="n">
        <v>46284</v>
      </c>
      <c r="I348" s="2" t="n"/>
      <c r="J348" s="2" t="inlineStr">
        <is>
          <t>Pending</t>
        </is>
      </c>
      <c r="K348" s="2" t="inlineStr">
        <is>
          <t>No</t>
        </is>
      </c>
      <c r="L348" s="9" t="n">
        <v>0</v>
      </c>
      <c r="M348" s="2" t="inlineStr">
        <is>
          <t>Received</t>
        </is>
      </c>
      <c r="N348" s="2" t="inlineStr">
        <is>
          <t>Approved</t>
        </is>
      </c>
      <c r="O348" s="2" t="n"/>
      <c r="P348" s="2" t="n"/>
      <c r="Q348" s="2" t="n"/>
      <c r="R348" s="2" t="n"/>
    </row>
    <row r="349">
      <c r="A349" s="2" t="inlineStr">
        <is>
          <t>INV00346</t>
        </is>
      </c>
      <c r="B349" s="7" t="n">
        <v>46191</v>
      </c>
      <c r="C349" s="2" t="inlineStr">
        <is>
          <t>Google Cloud</t>
        </is>
      </c>
      <c r="D349" s="2" t="inlineStr">
        <is>
          <t>Operations</t>
        </is>
      </c>
      <c r="E349" s="2" t="inlineStr">
        <is>
          <t>Consulting</t>
        </is>
      </c>
      <c r="F349" s="8" t="n">
        <v>830600</v>
      </c>
      <c r="G349" s="2" t="n">
        <v>45</v>
      </c>
      <c r="H349" s="7" t="n">
        <v>46236</v>
      </c>
      <c r="I349" s="2" t="n"/>
      <c r="J349" s="2" t="inlineStr">
        <is>
          <t>Pending</t>
        </is>
      </c>
      <c r="K349" s="2" t="inlineStr">
        <is>
          <t>No</t>
        </is>
      </c>
      <c r="L349" s="9" t="n">
        <v>0</v>
      </c>
      <c r="M349" s="2" t="inlineStr">
        <is>
          <t>Received</t>
        </is>
      </c>
      <c r="N349" s="2" t="inlineStr">
        <is>
          <t>Approved</t>
        </is>
      </c>
      <c r="O349" s="2" t="n"/>
      <c r="P349" s="2" t="n"/>
      <c r="Q349" s="2" t="n"/>
      <c r="R349" s="2" t="n"/>
    </row>
    <row r="350">
      <c r="A350" s="2" t="inlineStr">
        <is>
          <t>INV00347</t>
        </is>
      </c>
      <c r="B350" s="7" t="n">
        <v>46260</v>
      </c>
      <c r="C350" s="2" t="inlineStr">
        <is>
          <t>Wipro</t>
        </is>
      </c>
      <c r="D350" s="2" t="inlineStr">
        <is>
          <t>Finance</t>
        </is>
      </c>
      <c r="E350" s="2" t="inlineStr">
        <is>
          <t>Software</t>
        </is>
      </c>
      <c r="F350" s="8" t="n">
        <v>129500</v>
      </c>
      <c r="G350" s="2" t="n">
        <v>30</v>
      </c>
      <c r="H350" s="7" t="n">
        <v>46290</v>
      </c>
      <c r="I350" s="7" t="n">
        <v>46380</v>
      </c>
      <c r="J350" s="2" t="inlineStr">
        <is>
          <t>Paid</t>
        </is>
      </c>
      <c r="K350" s="2" t="inlineStr">
        <is>
          <t>Yes</t>
        </is>
      </c>
      <c r="L350" s="9" t="n">
        <v>0.02</v>
      </c>
      <c r="M350" s="2" t="inlineStr">
        <is>
          <t>Received</t>
        </is>
      </c>
      <c r="N350" s="2" t="inlineStr">
        <is>
          <t>Approved</t>
        </is>
      </c>
      <c r="O350" s="2" t="n"/>
      <c r="P350" s="2" t="n"/>
      <c r="Q350" s="2" t="n"/>
      <c r="R350" s="2" t="n"/>
    </row>
    <row r="351">
      <c r="A351" s="2" t="inlineStr">
        <is>
          <t>INV00348</t>
        </is>
      </c>
      <c r="B351" s="7" t="n">
        <v>46309</v>
      </c>
      <c r="C351" s="2" t="inlineStr">
        <is>
          <t>Amazon Web Services</t>
        </is>
      </c>
      <c r="D351" s="2" t="inlineStr">
        <is>
          <t>IT</t>
        </is>
      </c>
      <c r="E351" s="2" t="inlineStr">
        <is>
          <t>Consulting</t>
        </is>
      </c>
      <c r="F351" s="8" t="n">
        <v>706800</v>
      </c>
      <c r="G351" s="2" t="n">
        <v>30</v>
      </c>
      <c r="H351" s="7" t="n">
        <v>46339</v>
      </c>
      <c r="I351" s="2" t="n"/>
      <c r="J351" s="2" t="inlineStr">
        <is>
          <t>Pending</t>
        </is>
      </c>
      <c r="K351" s="2" t="inlineStr">
        <is>
          <t>No</t>
        </is>
      </c>
      <c r="L351" s="9" t="n">
        <v>0</v>
      </c>
      <c r="M351" s="2" t="inlineStr">
        <is>
          <t>Received</t>
        </is>
      </c>
      <c r="N351" s="2" t="inlineStr">
        <is>
          <t>Approved</t>
        </is>
      </c>
      <c r="O351" s="2" t="n"/>
      <c r="P351" s="2" t="n"/>
      <c r="Q351" s="2" t="n"/>
      <c r="R351" s="2" t="n"/>
    </row>
    <row r="352">
      <c r="A352" s="2" t="inlineStr">
        <is>
          <t>INV00349</t>
        </is>
      </c>
      <c r="B352" s="7" t="n">
        <v>46297</v>
      </c>
      <c r="C352" s="2" t="inlineStr">
        <is>
          <t>Cognizant</t>
        </is>
      </c>
      <c r="D352" s="2" t="inlineStr">
        <is>
          <t>Finance</t>
        </is>
      </c>
      <c r="E352" s="2" t="inlineStr">
        <is>
          <t>Travel</t>
        </is>
      </c>
      <c r="F352" s="8" t="n">
        <v>401300</v>
      </c>
      <c r="G352" s="2" t="n">
        <v>60</v>
      </c>
      <c r="H352" s="7" t="n">
        <v>46357</v>
      </c>
      <c r="I352" s="7" t="n">
        <v>46372</v>
      </c>
      <c r="J352" s="2" t="inlineStr">
        <is>
          <t>Paid</t>
        </is>
      </c>
      <c r="K352" s="2" t="inlineStr">
        <is>
          <t>No</t>
        </is>
      </c>
      <c r="L352" s="9" t="n">
        <v>0</v>
      </c>
      <c r="M352" s="2" t="inlineStr">
        <is>
          <t>Received</t>
        </is>
      </c>
      <c r="N352" s="2" t="inlineStr">
        <is>
          <t>Approved</t>
        </is>
      </c>
      <c r="O352" s="2" t="n"/>
      <c r="P352" s="2" t="n"/>
      <c r="Q352" s="2" t="n"/>
      <c r="R352" s="2" t="n"/>
    </row>
    <row r="353">
      <c r="A353" s="2" t="inlineStr">
        <is>
          <t>INV00350</t>
        </is>
      </c>
      <c r="B353" s="7" t="n">
        <v>46328</v>
      </c>
      <c r="C353" s="2" t="inlineStr">
        <is>
          <t>Oracle</t>
        </is>
      </c>
      <c r="D353" s="2" t="inlineStr">
        <is>
          <t>Finance</t>
        </is>
      </c>
      <c r="E353" s="2" t="inlineStr">
        <is>
          <t>Travel</t>
        </is>
      </c>
      <c r="F353" s="8" t="n">
        <v>315100</v>
      </c>
      <c r="G353" s="2" t="n">
        <v>15</v>
      </c>
      <c r="H353" s="7" t="n">
        <v>46343</v>
      </c>
      <c r="I353" s="2" t="n"/>
      <c r="J353" s="2" t="inlineStr">
        <is>
          <t>Pending</t>
        </is>
      </c>
      <c r="K353" s="2" t="inlineStr">
        <is>
          <t>No</t>
        </is>
      </c>
      <c r="L353" s="9" t="n">
        <v>0</v>
      </c>
      <c r="M353" s="2" t="inlineStr">
        <is>
          <t>Received</t>
        </is>
      </c>
      <c r="N353" s="2" t="inlineStr">
        <is>
          <t>Approved</t>
        </is>
      </c>
      <c r="O353" s="2" t="n"/>
      <c r="P353" s="2" t="n"/>
      <c r="Q353" s="2" t="n"/>
      <c r="R353" s="2" t="n"/>
    </row>
    <row r="354">
      <c r="A354" s="2" t="inlineStr">
        <is>
          <t>INV00351</t>
        </is>
      </c>
      <c r="B354" s="7" t="n">
        <v>46266</v>
      </c>
      <c r="C354" s="2" t="inlineStr">
        <is>
          <t>Wipro</t>
        </is>
      </c>
      <c r="D354" s="2" t="inlineStr">
        <is>
          <t>Sales</t>
        </is>
      </c>
      <c r="E354" s="2" t="inlineStr">
        <is>
          <t>Software</t>
        </is>
      </c>
      <c r="F354" s="8" t="n">
        <v>794600</v>
      </c>
      <c r="G354" s="2" t="n">
        <v>15</v>
      </c>
      <c r="H354" s="7" t="n">
        <v>46281</v>
      </c>
      <c r="I354" s="7" t="n">
        <v>46311</v>
      </c>
      <c r="J354" s="2" t="inlineStr">
        <is>
          <t>Paid</t>
        </is>
      </c>
      <c r="K354" s="2" t="inlineStr">
        <is>
          <t>Yes</t>
        </is>
      </c>
      <c r="L354" s="9" t="n">
        <v>0.02</v>
      </c>
      <c r="M354" s="2" t="inlineStr">
        <is>
          <t>Pending</t>
        </is>
      </c>
      <c r="N354" s="2" t="inlineStr">
        <is>
          <t>Approved</t>
        </is>
      </c>
      <c r="O354" s="2" t="n"/>
      <c r="P354" s="2" t="n"/>
      <c r="Q354" s="2" t="n"/>
      <c r="R354" s="2" t="n"/>
    </row>
    <row r="355">
      <c r="A355" s="2" t="inlineStr">
        <is>
          <t>INV00352</t>
        </is>
      </c>
      <c r="B355" s="7" t="n">
        <v>46222</v>
      </c>
      <c r="C355" s="2" t="inlineStr">
        <is>
          <t>Microsoft</t>
        </is>
      </c>
      <c r="D355" s="2" t="inlineStr">
        <is>
          <t>HR</t>
        </is>
      </c>
      <c r="E355" s="2" t="inlineStr">
        <is>
          <t>Cloud</t>
        </is>
      </c>
      <c r="F355" s="8" t="n">
        <v>669000</v>
      </c>
      <c r="G355" s="2" t="n">
        <v>60</v>
      </c>
      <c r="H355" s="7" t="n">
        <v>46282</v>
      </c>
      <c r="I355" s="7" t="n">
        <v>46282</v>
      </c>
      <c r="J355" s="2" t="inlineStr">
        <is>
          <t>Paid</t>
        </is>
      </c>
      <c r="K355" s="2" t="inlineStr">
        <is>
          <t>No</t>
        </is>
      </c>
      <c r="L355" s="9" t="n">
        <v>0</v>
      </c>
      <c r="M355" s="2" t="inlineStr">
        <is>
          <t>Received</t>
        </is>
      </c>
      <c r="N355" s="2" t="inlineStr">
        <is>
          <t>Approved</t>
        </is>
      </c>
      <c r="O355" s="2" t="n"/>
      <c r="P355" s="2" t="n"/>
      <c r="Q355" s="2" t="n"/>
      <c r="R355" s="2" t="n"/>
    </row>
    <row r="356">
      <c r="A356" s="2" t="inlineStr">
        <is>
          <t>INV00353</t>
        </is>
      </c>
      <c r="B356" s="7" t="n">
        <v>46304</v>
      </c>
      <c r="C356" s="2" t="inlineStr">
        <is>
          <t>Wipro</t>
        </is>
      </c>
      <c r="D356" s="2" t="inlineStr">
        <is>
          <t>Operations</t>
        </is>
      </c>
      <c r="E356" s="2" t="inlineStr">
        <is>
          <t>Professional Services</t>
        </is>
      </c>
      <c r="F356" s="8" t="n">
        <v>818100</v>
      </c>
      <c r="G356" s="2" t="n">
        <v>60</v>
      </c>
      <c r="H356" s="7" t="n">
        <v>46364</v>
      </c>
      <c r="I356" s="7" t="n">
        <v>46424</v>
      </c>
      <c r="J356" s="2" t="inlineStr">
        <is>
          <t>Paid</t>
        </is>
      </c>
      <c r="K356" s="2" t="inlineStr">
        <is>
          <t>No</t>
        </is>
      </c>
      <c r="L356" s="9" t="n">
        <v>0</v>
      </c>
      <c r="M356" s="2" t="inlineStr">
        <is>
          <t>Received</t>
        </is>
      </c>
      <c r="N356" s="2" t="inlineStr">
        <is>
          <t>Approved</t>
        </is>
      </c>
      <c r="O356" s="2" t="n"/>
      <c r="P356" s="2" t="n"/>
      <c r="Q356" s="2" t="n"/>
      <c r="R356" s="2" t="n"/>
    </row>
    <row r="357">
      <c r="A357" s="2" t="inlineStr">
        <is>
          <t>INV00354</t>
        </is>
      </c>
      <c r="B357" s="7" t="n">
        <v>46224</v>
      </c>
      <c r="C357" s="2" t="inlineStr">
        <is>
          <t>Cognizant</t>
        </is>
      </c>
      <c r="D357" s="2" t="inlineStr">
        <is>
          <t>Finance</t>
        </is>
      </c>
      <c r="E357" s="2" t="inlineStr">
        <is>
          <t>Travel</t>
        </is>
      </c>
      <c r="F357" s="8" t="n">
        <v>559300</v>
      </c>
      <c r="G357" s="2" t="n">
        <v>30</v>
      </c>
      <c r="H357" s="7" t="n">
        <v>46254</v>
      </c>
      <c r="I357" s="7" t="n">
        <v>46254</v>
      </c>
      <c r="J357" s="2" t="inlineStr">
        <is>
          <t>Paid</t>
        </is>
      </c>
      <c r="K357" s="2" t="inlineStr">
        <is>
          <t>No</t>
        </is>
      </c>
      <c r="L357" s="9" t="n">
        <v>0</v>
      </c>
      <c r="M357" s="2" t="inlineStr">
        <is>
          <t>Received</t>
        </is>
      </c>
      <c r="N357" s="2" t="inlineStr">
        <is>
          <t>Approved</t>
        </is>
      </c>
      <c r="O357" s="2" t="n"/>
      <c r="P357" s="2" t="n"/>
      <c r="Q357" s="2" t="n"/>
      <c r="R357" s="2" t="n"/>
    </row>
    <row r="358">
      <c r="A358" s="2" t="inlineStr">
        <is>
          <t>INV00355</t>
        </is>
      </c>
      <c r="B358" s="7" t="n">
        <v>46350</v>
      </c>
      <c r="C358" s="2" t="inlineStr">
        <is>
          <t>HCLTech</t>
        </is>
      </c>
      <c r="D358" s="2" t="inlineStr">
        <is>
          <t>HR</t>
        </is>
      </c>
      <c r="E358" s="2" t="inlineStr">
        <is>
          <t>Software</t>
        </is>
      </c>
      <c r="F358" s="8" t="n">
        <v>515200</v>
      </c>
      <c r="G358" s="2" t="n">
        <v>30</v>
      </c>
      <c r="H358" s="7" t="n">
        <v>46380</v>
      </c>
      <c r="I358" s="7" t="n">
        <v>46395</v>
      </c>
      <c r="J358" s="2" t="inlineStr">
        <is>
          <t>Paid</t>
        </is>
      </c>
      <c r="K358" s="2" t="inlineStr">
        <is>
          <t>No</t>
        </is>
      </c>
      <c r="L358" s="9" t="n">
        <v>0</v>
      </c>
      <c r="M358" s="2" t="inlineStr">
        <is>
          <t>Received</t>
        </is>
      </c>
      <c r="N358" s="2" t="inlineStr">
        <is>
          <t>Approved</t>
        </is>
      </c>
      <c r="O358" s="2" t="n"/>
      <c r="P358" s="2" t="n"/>
      <c r="Q358" s="2" t="n"/>
      <c r="R358" s="2" t="n"/>
    </row>
    <row r="359">
      <c r="A359" s="2" t="inlineStr">
        <is>
          <t>INV00356</t>
        </is>
      </c>
      <c r="B359" s="7" t="n">
        <v>46136</v>
      </c>
      <c r="C359" s="2" t="inlineStr">
        <is>
          <t>TCS</t>
        </is>
      </c>
      <c r="D359" s="2" t="inlineStr">
        <is>
          <t>HR</t>
        </is>
      </c>
      <c r="E359" s="2" t="inlineStr">
        <is>
          <t>Cloud</t>
        </is>
      </c>
      <c r="F359" s="8" t="n">
        <v>437300</v>
      </c>
      <c r="G359" s="2" t="n">
        <v>30</v>
      </c>
      <c r="H359" s="7" t="n">
        <v>46166</v>
      </c>
      <c r="I359" s="7" t="n">
        <v>46166</v>
      </c>
      <c r="J359" s="2" t="inlineStr">
        <is>
          <t>Paid</t>
        </is>
      </c>
      <c r="K359" s="2" t="inlineStr">
        <is>
          <t>No</t>
        </is>
      </c>
      <c r="L359" s="9" t="n">
        <v>0</v>
      </c>
      <c r="M359" s="2" t="inlineStr">
        <is>
          <t>Received</t>
        </is>
      </c>
      <c r="N359" s="2" t="inlineStr">
        <is>
          <t>Approved</t>
        </is>
      </c>
      <c r="O359" s="2" t="n"/>
      <c r="P359" s="2" t="n"/>
      <c r="Q359" s="2" t="n"/>
      <c r="R359" s="2" t="n"/>
    </row>
    <row r="360">
      <c r="A360" s="2" t="inlineStr">
        <is>
          <t>INV00357</t>
        </is>
      </c>
      <c r="B360" s="7" t="n">
        <v>46296</v>
      </c>
      <c r="C360" s="2" t="inlineStr">
        <is>
          <t>Cognizant</t>
        </is>
      </c>
      <c r="D360" s="2" t="inlineStr">
        <is>
          <t>Marketing</t>
        </is>
      </c>
      <c r="E360" s="2" t="inlineStr">
        <is>
          <t>Software</t>
        </is>
      </c>
      <c r="F360" s="8" t="n">
        <v>486600</v>
      </c>
      <c r="G360" s="2" t="n">
        <v>60</v>
      </c>
      <c r="H360" s="7" t="n">
        <v>46356</v>
      </c>
      <c r="I360" s="7" t="n">
        <v>46446</v>
      </c>
      <c r="J360" s="2" t="inlineStr">
        <is>
          <t>Paid</t>
        </is>
      </c>
      <c r="K360" s="2" t="inlineStr">
        <is>
          <t>No</t>
        </is>
      </c>
      <c r="L360" s="9" t="n">
        <v>0</v>
      </c>
      <c r="M360" s="2" t="inlineStr">
        <is>
          <t>Received</t>
        </is>
      </c>
      <c r="N360" s="2" t="inlineStr">
        <is>
          <t>Approved</t>
        </is>
      </c>
      <c r="O360" s="2" t="n"/>
      <c r="P360" s="2" t="n"/>
      <c r="Q360" s="2" t="n"/>
      <c r="R360" s="2" t="n"/>
    </row>
    <row r="361">
      <c r="A361" s="2" t="inlineStr">
        <is>
          <t>INV00358</t>
        </is>
      </c>
      <c r="B361" s="7" t="n">
        <v>46300</v>
      </c>
      <c r="C361" s="2" t="inlineStr">
        <is>
          <t>Microsoft</t>
        </is>
      </c>
      <c r="D361" s="2" t="inlineStr">
        <is>
          <t>Marketing</t>
        </is>
      </c>
      <c r="E361" s="2" t="inlineStr">
        <is>
          <t>Facilities</t>
        </is>
      </c>
      <c r="F361" s="8" t="n">
        <v>655600</v>
      </c>
      <c r="G361" s="2" t="n">
        <v>60</v>
      </c>
      <c r="H361" s="7" t="n">
        <v>46360</v>
      </c>
      <c r="I361" s="7" t="n">
        <v>46365</v>
      </c>
      <c r="J361" s="2" t="inlineStr">
        <is>
          <t>Paid</t>
        </is>
      </c>
      <c r="K361" s="2" t="inlineStr">
        <is>
          <t>Yes</t>
        </is>
      </c>
      <c r="L361" s="9" t="n">
        <v>0.02</v>
      </c>
      <c r="M361" s="2" t="inlineStr">
        <is>
          <t>Pending</t>
        </is>
      </c>
      <c r="N361" s="2" t="inlineStr">
        <is>
          <t>Approved</t>
        </is>
      </c>
      <c r="O361" s="2" t="n"/>
      <c r="P361" s="2" t="n"/>
      <c r="Q361" s="2" t="n"/>
      <c r="R361" s="2" t="n"/>
    </row>
    <row r="362">
      <c r="A362" s="2" t="inlineStr">
        <is>
          <t>INV00359</t>
        </is>
      </c>
      <c r="B362" s="7" t="n">
        <v>46245</v>
      </c>
      <c r="C362" s="2" t="inlineStr">
        <is>
          <t>Wipro</t>
        </is>
      </c>
      <c r="D362" s="2" t="inlineStr">
        <is>
          <t>IT</t>
        </is>
      </c>
      <c r="E362" s="2" t="inlineStr">
        <is>
          <t>Software</t>
        </is>
      </c>
      <c r="F362" s="8" t="n">
        <v>325600</v>
      </c>
      <c r="G362" s="2" t="n">
        <v>30</v>
      </c>
      <c r="H362" s="7" t="n">
        <v>46275</v>
      </c>
      <c r="I362" s="7" t="n">
        <v>46275</v>
      </c>
      <c r="J362" s="2" t="inlineStr">
        <is>
          <t>Paid</t>
        </is>
      </c>
      <c r="K362" s="2" t="inlineStr">
        <is>
          <t>No</t>
        </is>
      </c>
      <c r="L362" s="9" t="n">
        <v>0</v>
      </c>
      <c r="M362" s="2" t="inlineStr">
        <is>
          <t>Received</t>
        </is>
      </c>
      <c r="N362" s="2" t="inlineStr">
        <is>
          <t>Approved</t>
        </is>
      </c>
      <c r="O362" s="2" t="n"/>
      <c r="P362" s="2" t="n"/>
      <c r="Q362" s="2" t="n"/>
      <c r="R362" s="2" t="n"/>
    </row>
    <row r="363">
      <c r="A363" s="2" t="inlineStr">
        <is>
          <t>INV00360</t>
        </is>
      </c>
      <c r="B363" s="7" t="n">
        <v>46306</v>
      </c>
      <c r="C363" s="2" t="inlineStr">
        <is>
          <t>Oracle</t>
        </is>
      </c>
      <c r="D363" s="2" t="inlineStr">
        <is>
          <t>Finance</t>
        </is>
      </c>
      <c r="E363" s="2" t="inlineStr">
        <is>
          <t>Professional Services</t>
        </is>
      </c>
      <c r="F363" s="8" t="n">
        <v>775500</v>
      </c>
      <c r="G363" s="2" t="n">
        <v>60</v>
      </c>
      <c r="H363" s="7" t="n">
        <v>46366</v>
      </c>
      <c r="I363" s="7" t="n">
        <v>46366</v>
      </c>
      <c r="J363" s="2" t="inlineStr">
        <is>
          <t>Paid</t>
        </is>
      </c>
      <c r="K363" s="2" t="inlineStr">
        <is>
          <t>No</t>
        </is>
      </c>
      <c r="L363" s="9" t="n">
        <v>0</v>
      </c>
      <c r="M363" s="2" t="inlineStr">
        <is>
          <t>Received</t>
        </is>
      </c>
      <c r="N363" s="2" t="inlineStr">
        <is>
          <t>Pending</t>
        </is>
      </c>
      <c r="O363" s="2" t="n"/>
      <c r="P363" s="2" t="n"/>
      <c r="Q363" s="2" t="n"/>
      <c r="R363" s="2" t="n"/>
    </row>
    <row r="364">
      <c r="A364" s="2" t="inlineStr">
        <is>
          <t>INV00361</t>
        </is>
      </c>
      <c r="B364" s="7" t="n">
        <v>46334</v>
      </c>
      <c r="C364" s="2" t="inlineStr">
        <is>
          <t>HCLTech</t>
        </is>
      </c>
      <c r="D364" s="2" t="inlineStr">
        <is>
          <t>IT</t>
        </is>
      </c>
      <c r="E364" s="2" t="inlineStr">
        <is>
          <t>Travel</t>
        </is>
      </c>
      <c r="F364" s="8" t="n">
        <v>666500</v>
      </c>
      <c r="G364" s="2" t="n">
        <v>45</v>
      </c>
      <c r="H364" s="7" t="n">
        <v>46379</v>
      </c>
      <c r="I364" s="7" t="n">
        <v>46409</v>
      </c>
      <c r="J364" s="2" t="inlineStr">
        <is>
          <t>Paid</t>
        </is>
      </c>
      <c r="K364" s="2" t="inlineStr">
        <is>
          <t>No</t>
        </is>
      </c>
      <c r="L364" s="9" t="n">
        <v>0</v>
      </c>
      <c r="M364" s="2" t="inlineStr">
        <is>
          <t>Received</t>
        </is>
      </c>
      <c r="N364" s="2" t="inlineStr">
        <is>
          <t>Approved</t>
        </is>
      </c>
      <c r="O364" s="2" t="n"/>
      <c r="P364" s="2" t="n"/>
      <c r="Q364" s="2" t="n"/>
      <c r="R364" s="2" t="n"/>
    </row>
    <row r="365">
      <c r="A365" s="2" t="inlineStr">
        <is>
          <t>INV00362</t>
        </is>
      </c>
      <c r="B365" s="7" t="n">
        <v>46219</v>
      </c>
      <c r="C365" s="2" t="inlineStr">
        <is>
          <t>Deloitte</t>
        </is>
      </c>
      <c r="D365" s="2" t="inlineStr">
        <is>
          <t>Sales</t>
        </is>
      </c>
      <c r="E365" s="2" t="inlineStr">
        <is>
          <t>Office Supplies</t>
        </is>
      </c>
      <c r="F365" s="8" t="n">
        <v>197400</v>
      </c>
      <c r="G365" s="2" t="n">
        <v>45</v>
      </c>
      <c r="H365" s="7" t="n">
        <v>46264</v>
      </c>
      <c r="I365" s="7" t="n">
        <v>46269</v>
      </c>
      <c r="J365" s="2" t="inlineStr">
        <is>
          <t>Paid</t>
        </is>
      </c>
      <c r="K365" s="2" t="inlineStr">
        <is>
          <t>Yes</t>
        </is>
      </c>
      <c r="L365" s="9" t="n">
        <v>0.02</v>
      </c>
      <c r="M365" s="2" t="inlineStr">
        <is>
          <t>Received</t>
        </is>
      </c>
      <c r="N365" s="2" t="inlineStr">
        <is>
          <t>Approved</t>
        </is>
      </c>
      <c r="O365" s="2" t="n"/>
      <c r="P365" s="2" t="n"/>
      <c r="Q365" s="2" t="n"/>
      <c r="R365" s="2" t="n"/>
    </row>
    <row r="366">
      <c r="A366" s="2" t="inlineStr">
        <is>
          <t>INV00363</t>
        </is>
      </c>
      <c r="B366" s="7" t="n">
        <v>46330</v>
      </c>
      <c r="C366" s="2" t="inlineStr">
        <is>
          <t>IBM</t>
        </is>
      </c>
      <c r="D366" s="2" t="inlineStr">
        <is>
          <t>Sales</t>
        </is>
      </c>
      <c r="E366" s="2" t="inlineStr">
        <is>
          <t>Consulting</t>
        </is>
      </c>
      <c r="F366" s="8" t="n">
        <v>670300</v>
      </c>
      <c r="G366" s="2" t="n">
        <v>45</v>
      </c>
      <c r="H366" s="7" t="n">
        <v>46375</v>
      </c>
      <c r="I366" s="7" t="n">
        <v>46375</v>
      </c>
      <c r="J366" s="2" t="inlineStr">
        <is>
          <t>Paid</t>
        </is>
      </c>
      <c r="K366" s="2" t="inlineStr">
        <is>
          <t>No</t>
        </is>
      </c>
      <c r="L366" s="9" t="n">
        <v>0</v>
      </c>
      <c r="M366" s="2" t="inlineStr">
        <is>
          <t>Received</t>
        </is>
      </c>
      <c r="N366" s="2" t="inlineStr">
        <is>
          <t>Approved</t>
        </is>
      </c>
      <c r="O366" s="2" t="n"/>
      <c r="P366" s="2" t="n"/>
      <c r="Q366" s="2" t="n"/>
      <c r="R366" s="2" t="n"/>
    </row>
    <row r="367">
      <c r="A367" s="2" t="inlineStr">
        <is>
          <t>INV00364</t>
        </is>
      </c>
      <c r="B367" s="7" t="n">
        <v>46314</v>
      </c>
      <c r="C367" s="2" t="inlineStr">
        <is>
          <t>SAP</t>
        </is>
      </c>
      <c r="D367" s="2" t="inlineStr">
        <is>
          <t>Sales</t>
        </is>
      </c>
      <c r="E367" s="2" t="inlineStr">
        <is>
          <t>Office Supplies</t>
        </is>
      </c>
      <c r="F367" s="8" t="n">
        <v>463500</v>
      </c>
      <c r="G367" s="2" t="n">
        <v>30</v>
      </c>
      <c r="H367" s="7" t="n">
        <v>46344</v>
      </c>
      <c r="I367" s="7" t="n">
        <v>46344</v>
      </c>
      <c r="J367" s="2" t="inlineStr">
        <is>
          <t>Paid</t>
        </is>
      </c>
      <c r="K367" s="2" t="inlineStr">
        <is>
          <t>No</t>
        </is>
      </c>
      <c r="L367" s="9" t="n">
        <v>0</v>
      </c>
      <c r="M367" s="2" t="inlineStr">
        <is>
          <t>Pending</t>
        </is>
      </c>
      <c r="N367" s="2" t="inlineStr">
        <is>
          <t>Approved</t>
        </is>
      </c>
      <c r="O367" s="2" t="n"/>
      <c r="P367" s="2" t="n"/>
      <c r="Q367" s="2" t="n"/>
      <c r="R367" s="2" t="n"/>
    </row>
    <row r="368">
      <c r="A368" s="2" t="inlineStr">
        <is>
          <t>INV00365</t>
        </is>
      </c>
      <c r="B368" s="7" t="n">
        <v>46157</v>
      </c>
      <c r="C368" s="2" t="inlineStr">
        <is>
          <t>SAP</t>
        </is>
      </c>
      <c r="D368" s="2" t="inlineStr">
        <is>
          <t>Finance</t>
        </is>
      </c>
      <c r="E368" s="2" t="inlineStr">
        <is>
          <t>Facilities</t>
        </is>
      </c>
      <c r="F368" s="8" t="n">
        <v>946400</v>
      </c>
      <c r="G368" s="2" t="n">
        <v>30</v>
      </c>
      <c r="H368" s="7" t="n">
        <v>46187</v>
      </c>
      <c r="I368" s="7" t="n">
        <v>46192</v>
      </c>
      <c r="J368" s="2" t="inlineStr">
        <is>
          <t>Paid</t>
        </is>
      </c>
      <c r="K368" s="2" t="inlineStr">
        <is>
          <t>No</t>
        </is>
      </c>
      <c r="L368" s="9" t="n">
        <v>0</v>
      </c>
      <c r="M368" s="2" t="inlineStr">
        <is>
          <t>Received</t>
        </is>
      </c>
      <c r="N368" s="2" t="inlineStr">
        <is>
          <t>Approved</t>
        </is>
      </c>
      <c r="O368" s="2" t="n"/>
      <c r="P368" s="2" t="n"/>
      <c r="Q368" s="2" t="n"/>
      <c r="R368" s="2" t="n"/>
    </row>
    <row r="369">
      <c r="A369" s="2" t="inlineStr">
        <is>
          <t>INV00366</t>
        </is>
      </c>
      <c r="B369" s="7" t="n">
        <v>46123</v>
      </c>
      <c r="C369" s="2" t="inlineStr">
        <is>
          <t>Oracle</t>
        </is>
      </c>
      <c r="D369" s="2" t="inlineStr">
        <is>
          <t>Sales</t>
        </is>
      </c>
      <c r="E369" s="2" t="inlineStr">
        <is>
          <t>Consulting</t>
        </is>
      </c>
      <c r="F369" s="8" t="n">
        <v>546600</v>
      </c>
      <c r="G369" s="2" t="n">
        <v>45</v>
      </c>
      <c r="H369" s="7" t="n">
        <v>46168</v>
      </c>
      <c r="I369" s="2" t="n"/>
      <c r="J369" s="2" t="inlineStr">
        <is>
          <t>Pending</t>
        </is>
      </c>
      <c r="K369" s="2" t="inlineStr">
        <is>
          <t>No</t>
        </is>
      </c>
      <c r="L369" s="9" t="n">
        <v>0</v>
      </c>
      <c r="M369" s="2" t="inlineStr">
        <is>
          <t>Received</t>
        </is>
      </c>
      <c r="N369" s="2" t="inlineStr">
        <is>
          <t>Approved</t>
        </is>
      </c>
      <c r="O369" s="2" t="n"/>
      <c r="P369" s="2" t="n"/>
      <c r="Q369" s="2" t="n"/>
      <c r="R369" s="2" t="n"/>
    </row>
    <row r="370">
      <c r="A370" s="2" t="inlineStr">
        <is>
          <t>INV00367</t>
        </is>
      </c>
      <c r="B370" s="7" t="n">
        <v>46248</v>
      </c>
      <c r="C370" s="2" t="inlineStr">
        <is>
          <t>Deloitte</t>
        </is>
      </c>
      <c r="D370" s="2" t="inlineStr">
        <is>
          <t>Finance</t>
        </is>
      </c>
      <c r="E370" s="2" t="inlineStr">
        <is>
          <t>Facilities</t>
        </is>
      </c>
      <c r="F370" s="8" t="n">
        <v>426000</v>
      </c>
      <c r="G370" s="2" t="n">
        <v>15</v>
      </c>
      <c r="H370" s="7" t="n">
        <v>46263</v>
      </c>
      <c r="I370" s="2" t="n"/>
      <c r="J370" s="2" t="inlineStr">
        <is>
          <t>Pending</t>
        </is>
      </c>
      <c r="K370" s="2" t="inlineStr">
        <is>
          <t>No</t>
        </is>
      </c>
      <c r="L370" s="9" t="n">
        <v>0</v>
      </c>
      <c r="M370" s="2" t="inlineStr">
        <is>
          <t>Received</t>
        </is>
      </c>
      <c r="N370" s="2" t="inlineStr">
        <is>
          <t>Approved</t>
        </is>
      </c>
      <c r="O370" s="2" t="n"/>
      <c r="P370" s="2" t="n"/>
      <c r="Q370" s="2" t="n"/>
      <c r="R370" s="2" t="n"/>
    </row>
    <row r="371">
      <c r="A371" s="2" t="inlineStr">
        <is>
          <t>INV00368</t>
        </is>
      </c>
      <c r="B371" s="7" t="n">
        <v>46057</v>
      </c>
      <c r="C371" s="2" t="inlineStr">
        <is>
          <t>Amazon Web Services</t>
        </is>
      </c>
      <c r="D371" s="2" t="inlineStr">
        <is>
          <t>Operations</t>
        </is>
      </c>
      <c r="E371" s="2" t="inlineStr">
        <is>
          <t>Office Supplies</t>
        </is>
      </c>
      <c r="F371" s="8" t="n">
        <v>11500</v>
      </c>
      <c r="G371" s="2" t="n">
        <v>15</v>
      </c>
      <c r="H371" s="7" t="n">
        <v>46072</v>
      </c>
      <c r="I371" s="7" t="n">
        <v>46077</v>
      </c>
      <c r="J371" s="2" t="inlineStr">
        <is>
          <t>Paid</t>
        </is>
      </c>
      <c r="K371" s="2" t="inlineStr">
        <is>
          <t>Yes</t>
        </is>
      </c>
      <c r="L371" s="9" t="n">
        <v>0.02</v>
      </c>
      <c r="M371" s="2" t="inlineStr">
        <is>
          <t>Pending</t>
        </is>
      </c>
      <c r="N371" s="2" t="inlineStr">
        <is>
          <t>Approved</t>
        </is>
      </c>
      <c r="O371" s="2" t="n"/>
      <c r="P371" s="2" t="n"/>
      <c r="Q371" s="2" t="n"/>
      <c r="R371" s="2" t="n"/>
    </row>
    <row r="372">
      <c r="A372" s="2" t="inlineStr">
        <is>
          <t>INV00369</t>
        </is>
      </c>
      <c r="B372" s="7" t="n">
        <v>46120</v>
      </c>
      <c r="C372" s="2" t="inlineStr">
        <is>
          <t>Wipro</t>
        </is>
      </c>
      <c r="D372" s="2" t="inlineStr">
        <is>
          <t>HR</t>
        </is>
      </c>
      <c r="E372" s="2" t="inlineStr">
        <is>
          <t>Professional Services</t>
        </is>
      </c>
      <c r="F372" s="8" t="n">
        <v>37200</v>
      </c>
      <c r="G372" s="2" t="n">
        <v>30</v>
      </c>
      <c r="H372" s="7" t="n">
        <v>46150</v>
      </c>
      <c r="I372" s="7" t="n">
        <v>46150</v>
      </c>
      <c r="J372" s="2" t="inlineStr">
        <is>
          <t>Paid</t>
        </is>
      </c>
      <c r="K372" s="2" t="inlineStr">
        <is>
          <t>No</t>
        </is>
      </c>
      <c r="L372" s="9" t="n">
        <v>0</v>
      </c>
      <c r="M372" s="2" t="inlineStr">
        <is>
          <t>Received</t>
        </is>
      </c>
      <c r="N372" s="2" t="inlineStr">
        <is>
          <t>Approved</t>
        </is>
      </c>
      <c r="O372" s="2" t="n"/>
      <c r="P372" s="2" t="n"/>
      <c r="Q372" s="2" t="n"/>
      <c r="R372" s="2" t="n"/>
    </row>
    <row r="373">
      <c r="A373" s="2" t="inlineStr">
        <is>
          <t>INV00370</t>
        </is>
      </c>
      <c r="B373" s="7" t="n">
        <v>46274</v>
      </c>
      <c r="C373" s="2" t="inlineStr">
        <is>
          <t>Google Cloud</t>
        </is>
      </c>
      <c r="D373" s="2" t="inlineStr">
        <is>
          <t>Operations</t>
        </is>
      </c>
      <c r="E373" s="2" t="inlineStr">
        <is>
          <t>Cloud</t>
        </is>
      </c>
      <c r="F373" s="8" t="n">
        <v>592400</v>
      </c>
      <c r="G373" s="2" t="n">
        <v>30</v>
      </c>
      <c r="H373" s="7" t="n">
        <v>46304</v>
      </c>
      <c r="I373" s="7" t="n">
        <v>46309</v>
      </c>
      <c r="J373" s="2" t="inlineStr">
        <is>
          <t>Paid</t>
        </is>
      </c>
      <c r="K373" s="2" t="inlineStr">
        <is>
          <t>Yes</t>
        </is>
      </c>
      <c r="L373" s="9" t="n">
        <v>0.02</v>
      </c>
      <c r="M373" s="2" t="inlineStr">
        <is>
          <t>Received</t>
        </is>
      </c>
      <c r="N373" s="2" t="inlineStr">
        <is>
          <t>Approved</t>
        </is>
      </c>
      <c r="O373" s="2" t="n"/>
      <c r="P373" s="2" t="n"/>
      <c r="Q373" s="2" t="n"/>
      <c r="R373" s="2" t="n"/>
    </row>
    <row r="374">
      <c r="A374" s="2" t="inlineStr">
        <is>
          <t>INV00371</t>
        </is>
      </c>
      <c r="B374" s="7" t="n">
        <v>46068</v>
      </c>
      <c r="C374" s="2" t="inlineStr">
        <is>
          <t>Infosys</t>
        </is>
      </c>
      <c r="D374" s="2" t="inlineStr">
        <is>
          <t>HR</t>
        </is>
      </c>
      <c r="E374" s="2" t="inlineStr">
        <is>
          <t>Professional Services</t>
        </is>
      </c>
      <c r="F374" s="8" t="n">
        <v>43200</v>
      </c>
      <c r="G374" s="2" t="n">
        <v>45</v>
      </c>
      <c r="H374" s="7" t="n">
        <v>46113</v>
      </c>
      <c r="I374" s="7" t="n">
        <v>46113</v>
      </c>
      <c r="J374" s="2" t="inlineStr">
        <is>
          <t>Paid</t>
        </is>
      </c>
      <c r="K374" s="2" t="inlineStr">
        <is>
          <t>Yes</t>
        </is>
      </c>
      <c r="L374" s="9" t="n">
        <v>0.02</v>
      </c>
      <c r="M374" s="2" t="inlineStr">
        <is>
          <t>Pending</t>
        </is>
      </c>
      <c r="N374" s="2" t="inlineStr">
        <is>
          <t>Pending</t>
        </is>
      </c>
      <c r="O374" s="2" t="n"/>
      <c r="P374" s="2" t="n"/>
      <c r="Q374" s="2" t="n"/>
      <c r="R374" s="2" t="n"/>
    </row>
    <row r="375">
      <c r="A375" s="2" t="inlineStr">
        <is>
          <t>INV00372</t>
        </is>
      </c>
      <c r="B375" s="7" t="n">
        <v>46244</v>
      </c>
      <c r="C375" s="2" t="inlineStr">
        <is>
          <t>Microsoft</t>
        </is>
      </c>
      <c r="D375" s="2" t="inlineStr">
        <is>
          <t>Operations</t>
        </is>
      </c>
      <c r="E375" s="2" t="inlineStr">
        <is>
          <t>Facilities</t>
        </is>
      </c>
      <c r="F375" s="8" t="n">
        <v>847600</v>
      </c>
      <c r="G375" s="2" t="n">
        <v>45</v>
      </c>
      <c r="H375" s="7" t="n">
        <v>46289</v>
      </c>
      <c r="I375" s="7" t="n">
        <v>46349</v>
      </c>
      <c r="J375" s="2" t="inlineStr">
        <is>
          <t>Paid</t>
        </is>
      </c>
      <c r="K375" s="2" t="inlineStr">
        <is>
          <t>No</t>
        </is>
      </c>
      <c r="L375" s="9" t="n">
        <v>0</v>
      </c>
      <c r="M375" s="2" t="inlineStr">
        <is>
          <t>Received</t>
        </is>
      </c>
      <c r="N375" s="2" t="inlineStr">
        <is>
          <t>Approved</t>
        </is>
      </c>
      <c r="O375" s="2" t="n"/>
      <c r="P375" s="2" t="n"/>
      <c r="Q375" s="2" t="n"/>
      <c r="R375" s="2" t="n"/>
    </row>
    <row r="376">
      <c r="A376" s="2" t="inlineStr">
        <is>
          <t>INV00373</t>
        </is>
      </c>
      <c r="B376" s="7" t="n">
        <v>46339</v>
      </c>
      <c r="C376" s="2" t="inlineStr">
        <is>
          <t>HCLTech</t>
        </is>
      </c>
      <c r="D376" s="2" t="inlineStr">
        <is>
          <t>Operations</t>
        </is>
      </c>
      <c r="E376" s="2" t="inlineStr">
        <is>
          <t>Cloud</t>
        </is>
      </c>
      <c r="F376" s="8" t="n">
        <v>719000</v>
      </c>
      <c r="G376" s="2" t="n">
        <v>45</v>
      </c>
      <c r="H376" s="7" t="n">
        <v>46384</v>
      </c>
      <c r="I376" s="7" t="n">
        <v>46399</v>
      </c>
      <c r="J376" s="2" t="inlineStr">
        <is>
          <t>Paid</t>
        </is>
      </c>
      <c r="K376" s="2" t="inlineStr">
        <is>
          <t>No</t>
        </is>
      </c>
      <c r="L376" s="9" t="n">
        <v>0</v>
      </c>
      <c r="M376" s="2" t="inlineStr">
        <is>
          <t>Received</t>
        </is>
      </c>
      <c r="N376" s="2" t="inlineStr">
        <is>
          <t>Approved</t>
        </is>
      </c>
      <c r="O376" s="2" t="n"/>
      <c r="P376" s="2" t="n"/>
      <c r="Q376" s="2" t="n"/>
      <c r="R376" s="2" t="n"/>
    </row>
    <row r="377">
      <c r="A377" s="2" t="inlineStr">
        <is>
          <t>INV00374</t>
        </is>
      </c>
      <c r="B377" s="7" t="n">
        <v>46086</v>
      </c>
      <c r="C377" s="2" t="inlineStr">
        <is>
          <t>Infosys</t>
        </is>
      </c>
      <c r="D377" s="2" t="inlineStr">
        <is>
          <t>IT</t>
        </is>
      </c>
      <c r="E377" s="2" t="inlineStr">
        <is>
          <t>Travel</t>
        </is>
      </c>
      <c r="F377" s="8" t="n">
        <v>454100</v>
      </c>
      <c r="G377" s="2" t="n">
        <v>60</v>
      </c>
      <c r="H377" s="7" t="n">
        <v>46146</v>
      </c>
      <c r="I377" s="7" t="n">
        <v>46146</v>
      </c>
      <c r="J377" s="2" t="inlineStr">
        <is>
          <t>Paid</t>
        </is>
      </c>
      <c r="K377" s="2" t="inlineStr">
        <is>
          <t>Yes</t>
        </is>
      </c>
      <c r="L377" s="9" t="n">
        <v>0.02</v>
      </c>
      <c r="M377" s="2" t="inlineStr">
        <is>
          <t>Received</t>
        </is>
      </c>
      <c r="N377" s="2" t="inlineStr">
        <is>
          <t>Approved</t>
        </is>
      </c>
      <c r="O377" s="2" t="n"/>
      <c r="P377" s="2" t="n"/>
      <c r="Q377" s="2" t="n"/>
      <c r="R377" s="2" t="n"/>
    </row>
    <row r="378">
      <c r="A378" s="2" t="inlineStr">
        <is>
          <t>INV00375</t>
        </is>
      </c>
      <c r="B378" s="7" t="n">
        <v>46063</v>
      </c>
      <c r="C378" s="2" t="inlineStr">
        <is>
          <t>Infosys</t>
        </is>
      </c>
      <c r="D378" s="2" t="inlineStr">
        <is>
          <t>Finance</t>
        </is>
      </c>
      <c r="E378" s="2" t="inlineStr">
        <is>
          <t>Travel</t>
        </is>
      </c>
      <c r="F378" s="8" t="n">
        <v>183100</v>
      </c>
      <c r="G378" s="2" t="n">
        <v>60</v>
      </c>
      <c r="H378" s="7" t="n">
        <v>46123</v>
      </c>
      <c r="I378" s="7" t="n">
        <v>46123</v>
      </c>
      <c r="J378" s="2" t="inlineStr">
        <is>
          <t>Paid</t>
        </is>
      </c>
      <c r="K378" s="2" t="inlineStr">
        <is>
          <t>No</t>
        </is>
      </c>
      <c r="L378" s="9" t="n">
        <v>0</v>
      </c>
      <c r="M378" s="2" t="inlineStr">
        <is>
          <t>Received</t>
        </is>
      </c>
      <c r="N378" s="2" t="inlineStr">
        <is>
          <t>Approved</t>
        </is>
      </c>
      <c r="O378" s="2" t="n"/>
      <c r="P378" s="2" t="n"/>
      <c r="Q378" s="2" t="n"/>
      <c r="R378" s="2" t="n"/>
    </row>
    <row r="379">
      <c r="A379" s="2" t="inlineStr">
        <is>
          <t>INV00376</t>
        </is>
      </c>
      <c r="B379" s="7" t="n">
        <v>46188</v>
      </c>
      <c r="C379" s="2" t="inlineStr">
        <is>
          <t>Wipro</t>
        </is>
      </c>
      <c r="D379" s="2" t="inlineStr">
        <is>
          <t>IT</t>
        </is>
      </c>
      <c r="E379" s="2" t="inlineStr">
        <is>
          <t>Consulting</t>
        </is>
      </c>
      <c r="F379" s="8" t="n">
        <v>211700</v>
      </c>
      <c r="G379" s="2" t="n">
        <v>15</v>
      </c>
      <c r="H379" s="7" t="n">
        <v>46203</v>
      </c>
      <c r="I379" s="7" t="n">
        <v>46203</v>
      </c>
      <c r="J379" s="2" t="inlineStr">
        <is>
          <t>Paid</t>
        </is>
      </c>
      <c r="K379" s="2" t="inlineStr">
        <is>
          <t>No</t>
        </is>
      </c>
      <c r="L379" s="9" t="n">
        <v>0</v>
      </c>
      <c r="M379" s="2" t="inlineStr">
        <is>
          <t>Received</t>
        </is>
      </c>
      <c r="N379" s="2" t="inlineStr">
        <is>
          <t>Approved</t>
        </is>
      </c>
      <c r="O379" s="2" t="n"/>
      <c r="P379" s="2" t="n"/>
      <c r="Q379" s="2" t="n"/>
      <c r="R379" s="2" t="n"/>
    </row>
    <row r="380">
      <c r="A380" s="2" t="inlineStr">
        <is>
          <t>INV00377</t>
        </is>
      </c>
      <c r="B380" s="7" t="n">
        <v>46169</v>
      </c>
      <c r="C380" s="2" t="inlineStr">
        <is>
          <t>Adobe</t>
        </is>
      </c>
      <c r="D380" s="2" t="inlineStr">
        <is>
          <t>IT</t>
        </is>
      </c>
      <c r="E380" s="2" t="inlineStr">
        <is>
          <t>Software</t>
        </is>
      </c>
      <c r="F380" s="8" t="n">
        <v>99300</v>
      </c>
      <c r="G380" s="2" t="n">
        <v>30</v>
      </c>
      <c r="H380" s="7" t="n">
        <v>46199</v>
      </c>
      <c r="I380" s="2" t="n"/>
      <c r="J380" s="2" t="inlineStr">
        <is>
          <t>Pending</t>
        </is>
      </c>
      <c r="K380" s="2" t="inlineStr">
        <is>
          <t>Yes</t>
        </is>
      </c>
      <c r="L380" s="9" t="n">
        <v>0.02</v>
      </c>
      <c r="M380" s="2" t="inlineStr">
        <is>
          <t>Received</t>
        </is>
      </c>
      <c r="N380" s="2" t="inlineStr">
        <is>
          <t>Approved</t>
        </is>
      </c>
      <c r="O380" s="2" t="n"/>
      <c r="P380" s="2" t="n"/>
      <c r="Q380" s="2" t="n"/>
      <c r="R380" s="2" t="n"/>
    </row>
    <row r="381">
      <c r="A381" s="2" t="inlineStr">
        <is>
          <t>INV00378</t>
        </is>
      </c>
      <c r="B381" s="7" t="n">
        <v>46287</v>
      </c>
      <c r="C381" s="2" t="inlineStr">
        <is>
          <t>TCS</t>
        </is>
      </c>
      <c r="D381" s="2" t="inlineStr">
        <is>
          <t>Operations</t>
        </is>
      </c>
      <c r="E381" s="2" t="inlineStr">
        <is>
          <t>Professional Services</t>
        </is>
      </c>
      <c r="F381" s="8" t="n">
        <v>234400</v>
      </c>
      <c r="G381" s="2" t="n">
        <v>45</v>
      </c>
      <c r="H381" s="7" t="n">
        <v>46332</v>
      </c>
      <c r="I381" s="2" t="n"/>
      <c r="J381" s="2" t="inlineStr">
        <is>
          <t>Pending</t>
        </is>
      </c>
      <c r="K381" s="2" t="inlineStr">
        <is>
          <t>No</t>
        </is>
      </c>
      <c r="L381" s="9" t="n">
        <v>0</v>
      </c>
      <c r="M381" s="2" t="inlineStr">
        <is>
          <t>Received</t>
        </is>
      </c>
      <c r="N381" s="2" t="inlineStr">
        <is>
          <t>Approved</t>
        </is>
      </c>
      <c r="O381" s="2" t="n"/>
      <c r="P381" s="2" t="n"/>
      <c r="Q381" s="2" t="n"/>
      <c r="R381" s="2" t="n"/>
    </row>
    <row r="382">
      <c r="A382" s="2" t="inlineStr">
        <is>
          <t>INV00379</t>
        </is>
      </c>
      <c r="B382" s="7" t="n">
        <v>46149</v>
      </c>
      <c r="C382" s="2" t="inlineStr">
        <is>
          <t>Oracle</t>
        </is>
      </c>
      <c r="D382" s="2" t="inlineStr">
        <is>
          <t>IT</t>
        </is>
      </c>
      <c r="E382" s="2" t="inlineStr">
        <is>
          <t>Facilities</t>
        </is>
      </c>
      <c r="F382" s="8" t="n">
        <v>427000</v>
      </c>
      <c r="G382" s="2" t="n">
        <v>30</v>
      </c>
      <c r="H382" s="7" t="n">
        <v>46179</v>
      </c>
      <c r="I382" s="7" t="n">
        <v>46179</v>
      </c>
      <c r="J382" s="2" t="inlineStr">
        <is>
          <t>Paid</t>
        </is>
      </c>
      <c r="K382" s="2" t="inlineStr">
        <is>
          <t>Yes</t>
        </is>
      </c>
      <c r="L382" s="9" t="n">
        <v>0.02</v>
      </c>
      <c r="M382" s="2" t="inlineStr">
        <is>
          <t>Received</t>
        </is>
      </c>
      <c r="N382" s="2" t="inlineStr">
        <is>
          <t>Approved</t>
        </is>
      </c>
      <c r="O382" s="2" t="n"/>
      <c r="P382" s="2" t="n"/>
      <c r="Q382" s="2" t="n"/>
      <c r="R382" s="2" t="n"/>
    </row>
    <row r="383">
      <c r="A383" s="2" t="inlineStr">
        <is>
          <t>INV00380</t>
        </is>
      </c>
      <c r="B383" s="7" t="n">
        <v>46024</v>
      </c>
      <c r="C383" s="2" t="inlineStr">
        <is>
          <t>Accenture</t>
        </is>
      </c>
      <c r="D383" s="2" t="inlineStr">
        <is>
          <t>Sales</t>
        </is>
      </c>
      <c r="E383" s="2" t="inlineStr">
        <is>
          <t>Professional Services</t>
        </is>
      </c>
      <c r="F383" s="8" t="n">
        <v>96000</v>
      </c>
      <c r="G383" s="2" t="n">
        <v>30</v>
      </c>
      <c r="H383" s="7" t="n">
        <v>46054</v>
      </c>
      <c r="I383" s="7" t="n">
        <v>46059</v>
      </c>
      <c r="J383" s="2" t="inlineStr">
        <is>
          <t>Paid</t>
        </is>
      </c>
      <c r="K383" s="2" t="inlineStr">
        <is>
          <t>Yes</t>
        </is>
      </c>
      <c r="L383" s="9" t="n">
        <v>0.02</v>
      </c>
      <c r="M383" s="2" t="inlineStr">
        <is>
          <t>Pending</t>
        </is>
      </c>
      <c r="N383" s="2" t="inlineStr">
        <is>
          <t>Approved</t>
        </is>
      </c>
      <c r="O383" s="2" t="n"/>
      <c r="P383" s="2" t="n"/>
      <c r="Q383" s="2" t="n"/>
      <c r="R383" s="2" t="n"/>
    </row>
    <row r="384">
      <c r="A384" s="2" t="inlineStr">
        <is>
          <t>INV00381</t>
        </is>
      </c>
      <c r="B384" s="7" t="n">
        <v>46024</v>
      </c>
      <c r="C384" s="2" t="inlineStr">
        <is>
          <t>Oracle</t>
        </is>
      </c>
      <c r="D384" s="2" t="inlineStr">
        <is>
          <t>Sales</t>
        </is>
      </c>
      <c r="E384" s="2" t="inlineStr">
        <is>
          <t>Cloud</t>
        </is>
      </c>
      <c r="F384" s="8" t="n">
        <v>424500</v>
      </c>
      <c r="G384" s="2" t="n">
        <v>15</v>
      </c>
      <c r="H384" s="7" t="n">
        <v>46039</v>
      </c>
      <c r="I384" s="2" t="n"/>
      <c r="J384" s="2" t="inlineStr">
        <is>
          <t>Pending</t>
        </is>
      </c>
      <c r="K384" s="2" t="inlineStr">
        <is>
          <t>No</t>
        </is>
      </c>
      <c r="L384" s="9" t="n">
        <v>0</v>
      </c>
      <c r="M384" s="2" t="inlineStr">
        <is>
          <t>Received</t>
        </is>
      </c>
      <c r="N384" s="2" t="inlineStr">
        <is>
          <t>Approved</t>
        </is>
      </c>
      <c r="O384" s="2" t="n"/>
      <c r="P384" s="2" t="n"/>
      <c r="Q384" s="2" t="n"/>
      <c r="R384" s="2" t="n"/>
    </row>
    <row r="385">
      <c r="A385" s="2" t="inlineStr">
        <is>
          <t>INV00382</t>
        </is>
      </c>
      <c r="B385" s="7" t="n">
        <v>46197</v>
      </c>
      <c r="C385" s="2" t="inlineStr">
        <is>
          <t>Deloitte</t>
        </is>
      </c>
      <c r="D385" s="2" t="inlineStr">
        <is>
          <t>HR</t>
        </is>
      </c>
      <c r="E385" s="2" t="inlineStr">
        <is>
          <t>Software</t>
        </is>
      </c>
      <c r="F385" s="8" t="n">
        <v>669300</v>
      </c>
      <c r="G385" s="2" t="n">
        <v>60</v>
      </c>
      <c r="H385" s="7" t="n">
        <v>46257</v>
      </c>
      <c r="I385" s="7" t="n">
        <v>46257</v>
      </c>
      <c r="J385" s="2" t="inlineStr">
        <is>
          <t>Paid</t>
        </is>
      </c>
      <c r="K385" s="2" t="inlineStr">
        <is>
          <t>Yes</t>
        </is>
      </c>
      <c r="L385" s="9" t="n">
        <v>0.02</v>
      </c>
      <c r="M385" s="2" t="inlineStr">
        <is>
          <t>Received</t>
        </is>
      </c>
      <c r="N385" s="2" t="inlineStr">
        <is>
          <t>Approved</t>
        </is>
      </c>
      <c r="O385" s="2" t="n"/>
      <c r="P385" s="2" t="n"/>
      <c r="Q385" s="2" t="n"/>
      <c r="R385" s="2" t="n"/>
    </row>
    <row r="386">
      <c r="A386" s="2" t="inlineStr">
        <is>
          <t>INV00383</t>
        </is>
      </c>
      <c r="B386" s="7" t="n">
        <v>46323</v>
      </c>
      <c r="C386" s="2" t="inlineStr">
        <is>
          <t>Google Cloud</t>
        </is>
      </c>
      <c r="D386" s="2" t="inlineStr">
        <is>
          <t>Finance</t>
        </is>
      </c>
      <c r="E386" s="2" t="inlineStr">
        <is>
          <t>Software</t>
        </is>
      </c>
      <c r="F386" s="8" t="n">
        <v>864600</v>
      </c>
      <c r="G386" s="2" t="n">
        <v>30</v>
      </c>
      <c r="H386" s="7" t="n">
        <v>46353</v>
      </c>
      <c r="I386" s="7" t="n">
        <v>46368</v>
      </c>
      <c r="J386" s="2" t="inlineStr">
        <is>
          <t>Paid</t>
        </is>
      </c>
      <c r="K386" s="2" t="inlineStr">
        <is>
          <t>No</t>
        </is>
      </c>
      <c r="L386" s="9" t="n">
        <v>0</v>
      </c>
      <c r="M386" s="2" t="inlineStr">
        <is>
          <t>Received</t>
        </is>
      </c>
      <c r="N386" s="2" t="inlineStr">
        <is>
          <t>Approved</t>
        </is>
      </c>
      <c r="O386" s="2" t="n"/>
      <c r="P386" s="2" t="n"/>
      <c r="Q386" s="2" t="n"/>
      <c r="R386" s="2" t="n"/>
    </row>
    <row r="387">
      <c r="A387" s="2" t="inlineStr">
        <is>
          <t>INV00384</t>
        </is>
      </c>
      <c r="B387" s="7" t="n">
        <v>46323</v>
      </c>
      <c r="C387" s="2" t="inlineStr">
        <is>
          <t>Oracle</t>
        </is>
      </c>
      <c r="D387" s="2" t="inlineStr">
        <is>
          <t>Marketing</t>
        </is>
      </c>
      <c r="E387" s="2" t="inlineStr">
        <is>
          <t>Cloud</t>
        </is>
      </c>
      <c r="F387" s="8" t="n">
        <v>743700</v>
      </c>
      <c r="G387" s="2" t="n">
        <v>45</v>
      </c>
      <c r="H387" s="7" t="n">
        <v>46368</v>
      </c>
      <c r="I387" s="7" t="n">
        <v>46373</v>
      </c>
      <c r="J387" s="2" t="inlineStr">
        <is>
          <t>Paid</t>
        </is>
      </c>
      <c r="K387" s="2" t="inlineStr">
        <is>
          <t>No</t>
        </is>
      </c>
      <c r="L387" s="9" t="n">
        <v>0</v>
      </c>
      <c r="M387" s="2" t="inlineStr">
        <is>
          <t>Received</t>
        </is>
      </c>
      <c r="N387" s="2" t="inlineStr">
        <is>
          <t>Approved</t>
        </is>
      </c>
      <c r="O387" s="2" t="n"/>
      <c r="P387" s="2" t="n"/>
      <c r="Q387" s="2" t="n"/>
      <c r="R387" s="2" t="n"/>
    </row>
    <row r="388">
      <c r="A388" s="2" t="inlineStr">
        <is>
          <t>INV00385</t>
        </is>
      </c>
      <c r="B388" s="7" t="n">
        <v>46224</v>
      </c>
      <c r="C388" s="2" t="inlineStr">
        <is>
          <t>Oracle</t>
        </is>
      </c>
      <c r="D388" s="2" t="inlineStr">
        <is>
          <t>IT</t>
        </is>
      </c>
      <c r="E388" s="2" t="inlineStr">
        <is>
          <t>Software</t>
        </is>
      </c>
      <c r="F388" s="8" t="n">
        <v>15700</v>
      </c>
      <c r="G388" s="2" t="n">
        <v>15</v>
      </c>
      <c r="H388" s="7" t="n">
        <v>46239</v>
      </c>
      <c r="I388" s="2" t="n"/>
      <c r="J388" s="2" t="inlineStr">
        <is>
          <t>Pending</t>
        </is>
      </c>
      <c r="K388" s="2" t="inlineStr">
        <is>
          <t>Yes</t>
        </is>
      </c>
      <c r="L388" s="9" t="n">
        <v>0.02</v>
      </c>
      <c r="M388" s="2" t="inlineStr">
        <is>
          <t>Received</t>
        </is>
      </c>
      <c r="N388" s="2" t="inlineStr">
        <is>
          <t>Approved</t>
        </is>
      </c>
      <c r="O388" s="2" t="n"/>
      <c r="P388" s="2" t="n"/>
      <c r="Q388" s="2" t="n"/>
      <c r="R388" s="2" t="n"/>
    </row>
    <row r="389">
      <c r="A389" s="2" t="inlineStr">
        <is>
          <t>INV00386</t>
        </is>
      </c>
      <c r="B389" s="7" t="n">
        <v>46316</v>
      </c>
      <c r="C389" s="2" t="inlineStr">
        <is>
          <t>HCLTech</t>
        </is>
      </c>
      <c r="D389" s="2" t="inlineStr">
        <is>
          <t>Operations</t>
        </is>
      </c>
      <c r="E389" s="2" t="inlineStr">
        <is>
          <t>Travel</t>
        </is>
      </c>
      <c r="F389" s="8" t="n">
        <v>776000</v>
      </c>
      <c r="G389" s="2" t="n">
        <v>60</v>
      </c>
      <c r="H389" s="7" t="n">
        <v>46376</v>
      </c>
      <c r="I389" s="7" t="n">
        <v>46376</v>
      </c>
      <c r="J389" s="2" t="inlineStr">
        <is>
          <t>Paid</t>
        </is>
      </c>
      <c r="K389" s="2" t="inlineStr">
        <is>
          <t>No</t>
        </is>
      </c>
      <c r="L389" s="9" t="n">
        <v>0</v>
      </c>
      <c r="M389" s="2" t="inlineStr">
        <is>
          <t>Received</t>
        </is>
      </c>
      <c r="N389" s="2" t="inlineStr">
        <is>
          <t>Pending</t>
        </is>
      </c>
      <c r="O389" s="2" t="n"/>
      <c r="P389" s="2" t="n"/>
      <c r="Q389" s="2" t="n"/>
      <c r="R389" s="2" t="n"/>
    </row>
    <row r="390">
      <c r="A390" s="2" t="inlineStr">
        <is>
          <t>INV00387</t>
        </is>
      </c>
      <c r="B390" s="7" t="n">
        <v>46342</v>
      </c>
      <c r="C390" s="2" t="inlineStr">
        <is>
          <t>Zoho</t>
        </is>
      </c>
      <c r="D390" s="2" t="inlineStr">
        <is>
          <t>IT</t>
        </is>
      </c>
      <c r="E390" s="2" t="inlineStr">
        <is>
          <t>Professional Services</t>
        </is>
      </c>
      <c r="F390" s="8" t="n">
        <v>807600</v>
      </c>
      <c r="G390" s="2" t="n">
        <v>15</v>
      </c>
      <c r="H390" s="7" t="n">
        <v>46357</v>
      </c>
      <c r="I390" s="2" t="n"/>
      <c r="J390" s="2" t="inlineStr">
        <is>
          <t>Pending</t>
        </is>
      </c>
      <c r="K390" s="2" t="inlineStr">
        <is>
          <t>No</t>
        </is>
      </c>
      <c r="L390" s="9" t="n">
        <v>0</v>
      </c>
      <c r="M390" s="2" t="inlineStr">
        <is>
          <t>Received</t>
        </is>
      </c>
      <c r="N390" s="2" t="inlineStr">
        <is>
          <t>Approved</t>
        </is>
      </c>
      <c r="O390" s="2" t="n"/>
      <c r="P390" s="2" t="n"/>
      <c r="Q390" s="2" t="n"/>
      <c r="R390" s="2" t="n"/>
    </row>
    <row r="391">
      <c r="A391" s="2" t="inlineStr">
        <is>
          <t>INV00388</t>
        </is>
      </c>
      <c r="B391" s="7" t="n">
        <v>46267</v>
      </c>
      <c r="C391" s="2" t="inlineStr">
        <is>
          <t>Wipro</t>
        </is>
      </c>
      <c r="D391" s="2" t="inlineStr">
        <is>
          <t>IT</t>
        </is>
      </c>
      <c r="E391" s="2" t="inlineStr">
        <is>
          <t>Facilities</t>
        </is>
      </c>
      <c r="F391" s="8" t="n">
        <v>24100</v>
      </c>
      <c r="G391" s="2" t="n">
        <v>45</v>
      </c>
      <c r="H391" s="7" t="n">
        <v>46312</v>
      </c>
      <c r="I391" s="7" t="n">
        <v>46312</v>
      </c>
      <c r="J391" s="2" t="inlineStr">
        <is>
          <t>Paid</t>
        </is>
      </c>
      <c r="K391" s="2" t="inlineStr">
        <is>
          <t>No</t>
        </is>
      </c>
      <c r="L391" s="9" t="n">
        <v>0</v>
      </c>
      <c r="M391" s="2" t="inlineStr">
        <is>
          <t>Received</t>
        </is>
      </c>
      <c r="N391" s="2" t="inlineStr">
        <is>
          <t>Approved</t>
        </is>
      </c>
      <c r="O391" s="2" t="n"/>
      <c r="P391" s="2" t="n"/>
      <c r="Q391" s="2" t="n"/>
      <c r="R391" s="2" t="n"/>
    </row>
    <row r="392">
      <c r="A392" s="2" t="inlineStr">
        <is>
          <t>INV00389</t>
        </is>
      </c>
      <c r="B392" s="7" t="n">
        <v>46316</v>
      </c>
      <c r="C392" s="2" t="inlineStr">
        <is>
          <t>Deloitte</t>
        </is>
      </c>
      <c r="D392" s="2" t="inlineStr">
        <is>
          <t>Marketing</t>
        </is>
      </c>
      <c r="E392" s="2" t="inlineStr">
        <is>
          <t>Travel</t>
        </is>
      </c>
      <c r="F392" s="8" t="n">
        <v>824700</v>
      </c>
      <c r="G392" s="2" t="n">
        <v>60</v>
      </c>
      <c r="H392" s="7" t="n">
        <v>46376</v>
      </c>
      <c r="I392" s="7" t="n">
        <v>46391</v>
      </c>
      <c r="J392" s="2" t="inlineStr">
        <is>
          <t>Paid</t>
        </is>
      </c>
      <c r="K392" s="2" t="inlineStr">
        <is>
          <t>No</t>
        </is>
      </c>
      <c r="L392" s="9" t="n">
        <v>0</v>
      </c>
      <c r="M392" s="2" t="inlineStr">
        <is>
          <t>Received</t>
        </is>
      </c>
      <c r="N392" s="2" t="inlineStr">
        <is>
          <t>Approved</t>
        </is>
      </c>
      <c r="O392" s="2" t="n"/>
      <c r="P392" s="2" t="n"/>
      <c r="Q392" s="2" t="n"/>
      <c r="R392" s="2" t="n"/>
    </row>
    <row r="393">
      <c r="A393" s="2" t="inlineStr">
        <is>
          <t>INV00390</t>
        </is>
      </c>
      <c r="B393" s="7" t="n">
        <v>46278</v>
      </c>
      <c r="C393" s="2" t="inlineStr">
        <is>
          <t>Google Cloud</t>
        </is>
      </c>
      <c r="D393" s="2" t="inlineStr">
        <is>
          <t>HR</t>
        </is>
      </c>
      <c r="E393" s="2" t="inlineStr">
        <is>
          <t>Travel</t>
        </is>
      </c>
      <c r="F393" s="8" t="n">
        <v>699900</v>
      </c>
      <c r="G393" s="2" t="n">
        <v>30</v>
      </c>
      <c r="H393" s="7" t="n">
        <v>46308</v>
      </c>
      <c r="I393" s="2" t="n"/>
      <c r="J393" s="2" t="inlineStr">
        <is>
          <t>Pending</t>
        </is>
      </c>
      <c r="K393" s="2" t="inlineStr">
        <is>
          <t>No</t>
        </is>
      </c>
      <c r="L393" s="9" t="n">
        <v>0</v>
      </c>
      <c r="M393" s="2" t="inlineStr">
        <is>
          <t>Pending</t>
        </is>
      </c>
      <c r="N393" s="2" t="inlineStr">
        <is>
          <t>Approved</t>
        </is>
      </c>
      <c r="O393" s="2" t="n"/>
      <c r="P393" s="2" t="n"/>
      <c r="Q393" s="2" t="n"/>
      <c r="R393" s="2" t="n"/>
    </row>
    <row r="394">
      <c r="A394" s="2" t="inlineStr">
        <is>
          <t>INV00391</t>
        </is>
      </c>
      <c r="B394" s="7" t="n">
        <v>46228</v>
      </c>
      <c r="C394" s="2" t="inlineStr">
        <is>
          <t>SAP</t>
        </is>
      </c>
      <c r="D394" s="2" t="inlineStr">
        <is>
          <t>Operations</t>
        </is>
      </c>
      <c r="E394" s="2" t="inlineStr">
        <is>
          <t>Facilities</t>
        </is>
      </c>
      <c r="F394" s="8" t="n">
        <v>154100</v>
      </c>
      <c r="G394" s="2" t="n">
        <v>45</v>
      </c>
      <c r="H394" s="7" t="n">
        <v>46273</v>
      </c>
      <c r="I394" s="7" t="n">
        <v>46278</v>
      </c>
      <c r="J394" s="2" t="inlineStr">
        <is>
          <t>Paid</t>
        </is>
      </c>
      <c r="K394" s="2" t="inlineStr">
        <is>
          <t>No</t>
        </is>
      </c>
      <c r="L394" s="9" t="n">
        <v>0</v>
      </c>
      <c r="M394" s="2" t="inlineStr">
        <is>
          <t>Received</t>
        </is>
      </c>
      <c r="N394" s="2" t="inlineStr">
        <is>
          <t>Approved</t>
        </is>
      </c>
      <c r="O394" s="2" t="n"/>
      <c r="P394" s="2" t="n"/>
      <c r="Q394" s="2" t="n"/>
      <c r="R394" s="2" t="n"/>
    </row>
    <row r="395">
      <c r="A395" s="2" t="inlineStr">
        <is>
          <t>INV00392</t>
        </is>
      </c>
      <c r="B395" s="7" t="n">
        <v>46204</v>
      </c>
      <c r="C395" s="2" t="inlineStr">
        <is>
          <t>Wipro</t>
        </is>
      </c>
      <c r="D395" s="2" t="inlineStr">
        <is>
          <t>IT</t>
        </is>
      </c>
      <c r="E395" s="2" t="inlineStr">
        <is>
          <t>Consulting</t>
        </is>
      </c>
      <c r="F395" s="8" t="n">
        <v>995100</v>
      </c>
      <c r="G395" s="2" t="n">
        <v>15</v>
      </c>
      <c r="H395" s="7" t="n">
        <v>46219</v>
      </c>
      <c r="I395" s="7" t="n">
        <v>46309</v>
      </c>
      <c r="J395" s="2" t="inlineStr">
        <is>
          <t>Paid</t>
        </is>
      </c>
      <c r="K395" s="2" t="inlineStr">
        <is>
          <t>Yes</t>
        </is>
      </c>
      <c r="L395" s="9" t="n">
        <v>0.02</v>
      </c>
      <c r="M395" s="2" t="inlineStr">
        <is>
          <t>Received</t>
        </is>
      </c>
      <c r="N395" s="2" t="inlineStr">
        <is>
          <t>Approved</t>
        </is>
      </c>
      <c r="O395" s="2" t="n"/>
      <c r="P395" s="2" t="n"/>
      <c r="Q395" s="2" t="n"/>
      <c r="R395" s="2" t="n"/>
    </row>
    <row r="396">
      <c r="A396" s="2" t="inlineStr">
        <is>
          <t>INV00393</t>
        </is>
      </c>
      <c r="B396" s="7" t="n">
        <v>46383</v>
      </c>
      <c r="C396" s="2" t="inlineStr">
        <is>
          <t>Infosys</t>
        </is>
      </c>
      <c r="D396" s="2" t="inlineStr">
        <is>
          <t>Marketing</t>
        </is>
      </c>
      <c r="E396" s="2" t="inlineStr">
        <is>
          <t>Office Supplies</t>
        </is>
      </c>
      <c r="F396" s="8" t="n">
        <v>28100</v>
      </c>
      <c r="G396" s="2" t="n">
        <v>30</v>
      </c>
      <c r="H396" s="7" t="n">
        <v>46413</v>
      </c>
      <c r="I396" s="7" t="n">
        <v>46413</v>
      </c>
      <c r="J396" s="2" t="inlineStr">
        <is>
          <t>Paid</t>
        </is>
      </c>
      <c r="K396" s="2" t="inlineStr">
        <is>
          <t>No</t>
        </is>
      </c>
      <c r="L396" s="9" t="n">
        <v>0</v>
      </c>
      <c r="M396" s="2" t="inlineStr">
        <is>
          <t>Received</t>
        </is>
      </c>
      <c r="N396" s="2" t="inlineStr">
        <is>
          <t>Approved</t>
        </is>
      </c>
      <c r="O396" s="2" t="n"/>
      <c r="P396" s="2" t="n"/>
      <c r="Q396" s="2" t="n"/>
      <c r="R396" s="2" t="n"/>
    </row>
    <row r="397">
      <c r="A397" s="2" t="inlineStr">
        <is>
          <t>INV00394</t>
        </is>
      </c>
      <c r="B397" s="7" t="n">
        <v>46072</v>
      </c>
      <c r="C397" s="2" t="inlineStr">
        <is>
          <t>Adobe</t>
        </is>
      </c>
      <c r="D397" s="2" t="inlineStr">
        <is>
          <t>Marketing</t>
        </is>
      </c>
      <c r="E397" s="2" t="inlineStr">
        <is>
          <t>Cloud</t>
        </is>
      </c>
      <c r="F397" s="8" t="n">
        <v>182300</v>
      </c>
      <c r="G397" s="2" t="n">
        <v>15</v>
      </c>
      <c r="H397" s="7" t="n">
        <v>46087</v>
      </c>
      <c r="I397" s="7" t="n">
        <v>46147</v>
      </c>
      <c r="J397" s="2" t="inlineStr">
        <is>
          <t>Paid</t>
        </is>
      </c>
      <c r="K397" s="2" t="inlineStr">
        <is>
          <t>No</t>
        </is>
      </c>
      <c r="L397" s="9" t="n">
        <v>0</v>
      </c>
      <c r="M397" s="2" t="inlineStr">
        <is>
          <t>Received</t>
        </is>
      </c>
      <c r="N397" s="2" t="inlineStr">
        <is>
          <t>Approved</t>
        </is>
      </c>
      <c r="O397" s="2" t="n"/>
      <c r="P397" s="2" t="n"/>
      <c r="Q397" s="2" t="n"/>
      <c r="R397" s="2" t="n"/>
    </row>
    <row r="398">
      <c r="A398" s="2" t="inlineStr">
        <is>
          <t>INV00395</t>
        </is>
      </c>
      <c r="B398" s="7" t="n">
        <v>46336</v>
      </c>
      <c r="C398" s="2" t="inlineStr">
        <is>
          <t>Microsoft</t>
        </is>
      </c>
      <c r="D398" s="2" t="inlineStr">
        <is>
          <t>Sales</t>
        </is>
      </c>
      <c r="E398" s="2" t="inlineStr">
        <is>
          <t>Facilities</t>
        </is>
      </c>
      <c r="F398" s="8" t="n">
        <v>291900</v>
      </c>
      <c r="G398" s="2" t="n">
        <v>60</v>
      </c>
      <c r="H398" s="7" t="n">
        <v>46396</v>
      </c>
      <c r="I398" s="7" t="n">
        <v>46426</v>
      </c>
      <c r="J398" s="2" t="inlineStr">
        <is>
          <t>Paid</t>
        </is>
      </c>
      <c r="K398" s="2" t="inlineStr">
        <is>
          <t>No</t>
        </is>
      </c>
      <c r="L398" s="9" t="n">
        <v>0</v>
      </c>
      <c r="M398" s="2" t="inlineStr">
        <is>
          <t>Received</t>
        </is>
      </c>
      <c r="N398" s="2" t="inlineStr">
        <is>
          <t>Approved</t>
        </is>
      </c>
      <c r="O398" s="2" t="n"/>
      <c r="P398" s="2" t="n"/>
      <c r="Q398" s="2" t="n"/>
      <c r="R398" s="2" t="n"/>
    </row>
    <row r="399">
      <c r="A399" s="2" t="inlineStr">
        <is>
          <t>INV00396</t>
        </is>
      </c>
      <c r="B399" s="7" t="n">
        <v>46136</v>
      </c>
      <c r="C399" s="2" t="inlineStr">
        <is>
          <t>SAP</t>
        </is>
      </c>
      <c r="D399" s="2" t="inlineStr">
        <is>
          <t>Marketing</t>
        </is>
      </c>
      <c r="E399" s="2" t="inlineStr">
        <is>
          <t>Software</t>
        </is>
      </c>
      <c r="F399" s="8" t="n">
        <v>643300</v>
      </c>
      <c r="G399" s="2" t="n">
        <v>60</v>
      </c>
      <c r="H399" s="7" t="n">
        <v>46196</v>
      </c>
      <c r="I399" s="7" t="n">
        <v>46196</v>
      </c>
      <c r="J399" s="2" t="inlineStr">
        <is>
          <t>Paid</t>
        </is>
      </c>
      <c r="K399" s="2" t="inlineStr">
        <is>
          <t>No</t>
        </is>
      </c>
      <c r="L399" s="9" t="n">
        <v>0</v>
      </c>
      <c r="M399" s="2" t="inlineStr">
        <is>
          <t>Received</t>
        </is>
      </c>
      <c r="N399" s="2" t="inlineStr">
        <is>
          <t>Approved</t>
        </is>
      </c>
      <c r="O399" s="2" t="n"/>
      <c r="P399" s="2" t="n"/>
      <c r="Q399" s="2" t="n"/>
      <c r="R399" s="2" t="n"/>
    </row>
    <row r="400">
      <c r="A400" s="2" t="inlineStr">
        <is>
          <t>INV00397</t>
        </is>
      </c>
      <c r="B400" s="7" t="n">
        <v>46369</v>
      </c>
      <c r="C400" s="2" t="inlineStr">
        <is>
          <t>IBM</t>
        </is>
      </c>
      <c r="D400" s="2" t="inlineStr">
        <is>
          <t>Marketing</t>
        </is>
      </c>
      <c r="E400" s="2" t="inlineStr">
        <is>
          <t>Office Supplies</t>
        </is>
      </c>
      <c r="F400" s="8" t="n">
        <v>467300</v>
      </c>
      <c r="G400" s="2" t="n">
        <v>15</v>
      </c>
      <c r="H400" s="7" t="n">
        <v>46384</v>
      </c>
      <c r="I400" s="7" t="n">
        <v>46384</v>
      </c>
      <c r="J400" s="2" t="inlineStr">
        <is>
          <t>Paid</t>
        </is>
      </c>
      <c r="K400" s="2" t="inlineStr">
        <is>
          <t>No</t>
        </is>
      </c>
      <c r="L400" s="9" t="n">
        <v>0</v>
      </c>
      <c r="M400" s="2" t="inlineStr">
        <is>
          <t>Received</t>
        </is>
      </c>
      <c r="N400" s="2" t="inlineStr">
        <is>
          <t>Approved</t>
        </is>
      </c>
      <c r="O400" s="2" t="n"/>
      <c r="P400" s="2" t="n"/>
      <c r="Q400" s="2" t="n"/>
      <c r="R400" s="2" t="n"/>
    </row>
    <row r="401">
      <c r="A401" s="2" t="inlineStr">
        <is>
          <t>INV00398</t>
        </is>
      </c>
      <c r="B401" s="7" t="n">
        <v>46145</v>
      </c>
      <c r="C401" s="2" t="inlineStr">
        <is>
          <t>Adobe</t>
        </is>
      </c>
      <c r="D401" s="2" t="inlineStr">
        <is>
          <t>Marketing</t>
        </is>
      </c>
      <c r="E401" s="2" t="inlineStr">
        <is>
          <t>Professional Services</t>
        </is>
      </c>
      <c r="F401" s="8" t="n">
        <v>191700</v>
      </c>
      <c r="G401" s="2" t="n">
        <v>30</v>
      </c>
      <c r="H401" s="7" t="n">
        <v>46175</v>
      </c>
      <c r="I401" s="7" t="n">
        <v>46180</v>
      </c>
      <c r="J401" s="2" t="inlineStr">
        <is>
          <t>Paid</t>
        </is>
      </c>
      <c r="K401" s="2" t="inlineStr">
        <is>
          <t>Yes</t>
        </is>
      </c>
      <c r="L401" s="9" t="n">
        <v>0.02</v>
      </c>
      <c r="M401" s="2" t="inlineStr">
        <is>
          <t>Received</t>
        </is>
      </c>
      <c r="N401" s="2" t="inlineStr">
        <is>
          <t>Approved</t>
        </is>
      </c>
      <c r="O401" s="2" t="n"/>
      <c r="P401" s="2" t="n"/>
      <c r="Q401" s="2" t="n"/>
      <c r="R401" s="2" t="n"/>
    </row>
    <row r="402">
      <c r="A402" s="2" t="inlineStr">
        <is>
          <t>INV00399</t>
        </is>
      </c>
      <c r="B402" s="7" t="n">
        <v>46120</v>
      </c>
      <c r="C402" s="2" t="inlineStr">
        <is>
          <t>Amazon Web Services</t>
        </is>
      </c>
      <c r="D402" s="2" t="inlineStr">
        <is>
          <t>HR</t>
        </is>
      </c>
      <c r="E402" s="2" t="inlineStr">
        <is>
          <t>Facilities</t>
        </is>
      </c>
      <c r="F402" s="8" t="n">
        <v>84200</v>
      </c>
      <c r="G402" s="2" t="n">
        <v>60</v>
      </c>
      <c r="H402" s="7" t="n">
        <v>46180</v>
      </c>
      <c r="I402" s="7" t="n">
        <v>46180</v>
      </c>
      <c r="J402" s="2" t="inlineStr">
        <is>
          <t>Paid</t>
        </is>
      </c>
      <c r="K402" s="2" t="inlineStr">
        <is>
          <t>No</t>
        </is>
      </c>
      <c r="L402" s="9" t="n">
        <v>0</v>
      </c>
      <c r="M402" s="2" t="inlineStr">
        <is>
          <t>Received</t>
        </is>
      </c>
      <c r="N402" s="2" t="inlineStr">
        <is>
          <t>Approved</t>
        </is>
      </c>
      <c r="O402" s="2" t="n"/>
      <c r="P402" s="2" t="n"/>
      <c r="Q402" s="2" t="n"/>
      <c r="R402" s="2" t="n"/>
    </row>
    <row r="403">
      <c r="A403" s="2" t="inlineStr">
        <is>
          <t>INV00400</t>
        </is>
      </c>
      <c r="B403" s="7" t="n">
        <v>46327</v>
      </c>
      <c r="C403" s="2" t="inlineStr">
        <is>
          <t>Cognizant</t>
        </is>
      </c>
      <c r="D403" s="2" t="inlineStr">
        <is>
          <t>HR</t>
        </is>
      </c>
      <c r="E403" s="2" t="inlineStr">
        <is>
          <t>Cloud</t>
        </is>
      </c>
      <c r="F403" s="8" t="n">
        <v>992600</v>
      </c>
      <c r="G403" s="2" t="n">
        <v>45</v>
      </c>
      <c r="H403" s="7" t="n">
        <v>46372</v>
      </c>
      <c r="I403" s="7" t="n">
        <v>46372</v>
      </c>
      <c r="J403" s="2" t="inlineStr">
        <is>
          <t>Paid</t>
        </is>
      </c>
      <c r="K403" s="2" t="inlineStr">
        <is>
          <t>No</t>
        </is>
      </c>
      <c r="L403" s="9" t="n">
        <v>0</v>
      </c>
      <c r="M403" s="2" t="inlineStr">
        <is>
          <t>Received</t>
        </is>
      </c>
      <c r="N403" s="2" t="inlineStr">
        <is>
          <t>Approved</t>
        </is>
      </c>
      <c r="O403" s="2" t="n"/>
      <c r="P403" s="2" t="n"/>
      <c r="Q403" s="2" t="n"/>
      <c r="R403" s="2" t="n"/>
    </row>
    <row r="404">
      <c r="A404" s="2" t="inlineStr">
        <is>
          <t>INV00401</t>
        </is>
      </c>
      <c r="B404" s="7" t="n">
        <v>46106</v>
      </c>
      <c r="C404" s="2" t="inlineStr">
        <is>
          <t>Wipro</t>
        </is>
      </c>
      <c r="D404" s="2" t="inlineStr">
        <is>
          <t>IT</t>
        </is>
      </c>
      <c r="E404" s="2" t="inlineStr">
        <is>
          <t>Software</t>
        </is>
      </c>
      <c r="F404" s="8" t="n">
        <v>64500</v>
      </c>
      <c r="G404" s="2" t="n">
        <v>15</v>
      </c>
      <c r="H404" s="7" t="n">
        <v>46121</v>
      </c>
      <c r="I404" s="2" t="n"/>
      <c r="J404" s="2" t="inlineStr">
        <is>
          <t>Pending</t>
        </is>
      </c>
      <c r="K404" s="2" t="inlineStr">
        <is>
          <t>No</t>
        </is>
      </c>
      <c r="L404" s="9" t="n">
        <v>0</v>
      </c>
      <c r="M404" s="2" t="inlineStr">
        <is>
          <t>Received</t>
        </is>
      </c>
      <c r="N404" s="2" t="inlineStr">
        <is>
          <t>Approved</t>
        </is>
      </c>
      <c r="O404" s="2" t="n"/>
      <c r="P404" s="2" t="n"/>
      <c r="Q404" s="2" t="n"/>
      <c r="R404" s="2" t="n"/>
    </row>
    <row r="405">
      <c r="A405" s="2" t="inlineStr">
        <is>
          <t>INV00402</t>
        </is>
      </c>
      <c r="B405" s="7" t="n">
        <v>46063</v>
      </c>
      <c r="C405" s="2" t="inlineStr">
        <is>
          <t>IBM</t>
        </is>
      </c>
      <c r="D405" s="2" t="inlineStr">
        <is>
          <t>Operations</t>
        </is>
      </c>
      <c r="E405" s="2" t="inlineStr">
        <is>
          <t>Software</t>
        </is>
      </c>
      <c r="F405" s="8" t="n">
        <v>56200</v>
      </c>
      <c r="G405" s="2" t="n">
        <v>45</v>
      </c>
      <c r="H405" s="7" t="n">
        <v>46108</v>
      </c>
      <c r="I405" s="7" t="n">
        <v>46123</v>
      </c>
      <c r="J405" s="2" t="inlineStr">
        <is>
          <t>Paid</t>
        </is>
      </c>
      <c r="K405" s="2" t="inlineStr">
        <is>
          <t>No</t>
        </is>
      </c>
      <c r="L405" s="9" t="n">
        <v>0</v>
      </c>
      <c r="M405" s="2" t="inlineStr">
        <is>
          <t>Received</t>
        </is>
      </c>
      <c r="N405" s="2" t="inlineStr">
        <is>
          <t>Pending</t>
        </is>
      </c>
      <c r="O405" s="2" t="n"/>
      <c r="P405" s="2" t="n"/>
      <c r="Q405" s="2" t="n"/>
      <c r="R405" s="2" t="n"/>
    </row>
    <row r="406">
      <c r="A406" s="2" t="inlineStr">
        <is>
          <t>INV00403</t>
        </is>
      </c>
      <c r="B406" s="7" t="n">
        <v>46379</v>
      </c>
      <c r="C406" s="2" t="inlineStr">
        <is>
          <t>SAP</t>
        </is>
      </c>
      <c r="D406" s="2" t="inlineStr">
        <is>
          <t>IT</t>
        </is>
      </c>
      <c r="E406" s="2" t="inlineStr">
        <is>
          <t>Professional Services</t>
        </is>
      </c>
      <c r="F406" s="8" t="n">
        <v>67600</v>
      </c>
      <c r="G406" s="2" t="n">
        <v>15</v>
      </c>
      <c r="H406" s="7" t="n">
        <v>46394</v>
      </c>
      <c r="I406" s="2" t="n"/>
      <c r="J406" s="2" t="inlineStr">
        <is>
          <t>Pending</t>
        </is>
      </c>
      <c r="K406" s="2" t="inlineStr">
        <is>
          <t>No</t>
        </is>
      </c>
      <c r="L406" s="9" t="n">
        <v>0</v>
      </c>
      <c r="M406" s="2" t="inlineStr">
        <is>
          <t>Received</t>
        </is>
      </c>
      <c r="N406" s="2" t="inlineStr">
        <is>
          <t>Approved</t>
        </is>
      </c>
      <c r="O406" s="2" t="n"/>
      <c r="P406" s="2" t="n"/>
      <c r="Q406" s="2" t="n"/>
      <c r="R406" s="2" t="n"/>
    </row>
    <row r="407">
      <c r="A407" s="2" t="inlineStr">
        <is>
          <t>INV00404</t>
        </is>
      </c>
      <c r="B407" s="7" t="n">
        <v>46025</v>
      </c>
      <c r="C407" s="2" t="inlineStr">
        <is>
          <t>Adobe</t>
        </is>
      </c>
      <c r="D407" s="2" t="inlineStr">
        <is>
          <t>Sales</t>
        </is>
      </c>
      <c r="E407" s="2" t="inlineStr">
        <is>
          <t>Consulting</t>
        </is>
      </c>
      <c r="F407" s="8" t="n">
        <v>264300</v>
      </c>
      <c r="G407" s="2" t="n">
        <v>45</v>
      </c>
      <c r="H407" s="7" t="n">
        <v>46070</v>
      </c>
      <c r="I407" s="7" t="n">
        <v>46070</v>
      </c>
      <c r="J407" s="2" t="inlineStr">
        <is>
          <t>Paid</t>
        </is>
      </c>
      <c r="K407" s="2" t="inlineStr">
        <is>
          <t>No</t>
        </is>
      </c>
      <c r="L407" s="9" t="n">
        <v>0</v>
      </c>
      <c r="M407" s="2" t="inlineStr">
        <is>
          <t>Received</t>
        </is>
      </c>
      <c r="N407" s="2" t="inlineStr">
        <is>
          <t>Approved</t>
        </is>
      </c>
      <c r="O407" s="2" t="n"/>
      <c r="P407" s="2" t="n"/>
      <c r="Q407" s="2" t="n"/>
      <c r="R407" s="2" t="n"/>
    </row>
    <row r="408">
      <c r="A408" s="2" t="inlineStr">
        <is>
          <t>INV00405</t>
        </is>
      </c>
      <c r="B408" s="7" t="n">
        <v>46313</v>
      </c>
      <c r="C408" s="2" t="inlineStr">
        <is>
          <t>Amazon Web Services</t>
        </is>
      </c>
      <c r="D408" s="2" t="inlineStr">
        <is>
          <t>Finance</t>
        </is>
      </c>
      <c r="E408" s="2" t="inlineStr">
        <is>
          <t>Cloud</t>
        </is>
      </c>
      <c r="F408" s="8" t="n">
        <v>142400</v>
      </c>
      <c r="G408" s="2" t="n">
        <v>60</v>
      </c>
      <c r="H408" s="7" t="n">
        <v>46373</v>
      </c>
      <c r="I408" s="7" t="n">
        <v>46373</v>
      </c>
      <c r="J408" s="2" t="inlineStr">
        <is>
          <t>Paid</t>
        </is>
      </c>
      <c r="K408" s="2" t="inlineStr">
        <is>
          <t>Yes</t>
        </is>
      </c>
      <c r="L408" s="9" t="n">
        <v>0.02</v>
      </c>
      <c r="M408" s="2" t="inlineStr">
        <is>
          <t>Received</t>
        </is>
      </c>
      <c r="N408" s="2" t="inlineStr">
        <is>
          <t>Approved</t>
        </is>
      </c>
      <c r="O408" s="2" t="n"/>
      <c r="P408" s="2" t="n"/>
      <c r="Q408" s="2" t="n"/>
      <c r="R408" s="2" t="n"/>
    </row>
    <row r="409">
      <c r="A409" s="2" t="inlineStr">
        <is>
          <t>INV00406</t>
        </is>
      </c>
      <c r="B409" s="7" t="n">
        <v>46195</v>
      </c>
      <c r="C409" s="2" t="inlineStr">
        <is>
          <t>Oracle</t>
        </is>
      </c>
      <c r="D409" s="2" t="inlineStr">
        <is>
          <t>HR</t>
        </is>
      </c>
      <c r="E409" s="2" t="inlineStr">
        <is>
          <t>Travel</t>
        </is>
      </c>
      <c r="F409" s="8" t="n">
        <v>983700</v>
      </c>
      <c r="G409" s="2" t="n">
        <v>45</v>
      </c>
      <c r="H409" s="7" t="n">
        <v>46240</v>
      </c>
      <c r="I409" s="2" t="n"/>
      <c r="J409" s="2" t="inlineStr">
        <is>
          <t>Pending</t>
        </is>
      </c>
      <c r="K409" s="2" t="inlineStr">
        <is>
          <t>No</t>
        </is>
      </c>
      <c r="L409" s="9" t="n">
        <v>0</v>
      </c>
      <c r="M409" s="2" t="inlineStr">
        <is>
          <t>Received</t>
        </is>
      </c>
      <c r="N409" s="2" t="inlineStr">
        <is>
          <t>Approved</t>
        </is>
      </c>
      <c r="O409" s="2" t="n"/>
      <c r="P409" s="2" t="n"/>
      <c r="Q409" s="2" t="n"/>
      <c r="R409" s="2" t="n"/>
    </row>
    <row r="410">
      <c r="A410" s="2" t="inlineStr">
        <is>
          <t>INV00407</t>
        </is>
      </c>
      <c r="B410" s="7" t="n">
        <v>46040</v>
      </c>
      <c r="C410" s="2" t="inlineStr">
        <is>
          <t>Infosys</t>
        </is>
      </c>
      <c r="D410" s="2" t="inlineStr">
        <is>
          <t>Finance</t>
        </is>
      </c>
      <c r="E410" s="2" t="inlineStr">
        <is>
          <t>Cloud</t>
        </is>
      </c>
      <c r="F410" s="8" t="n">
        <v>224800</v>
      </c>
      <c r="G410" s="2" t="n">
        <v>45</v>
      </c>
      <c r="H410" s="7" t="n">
        <v>46085</v>
      </c>
      <c r="I410" s="2" t="n"/>
      <c r="J410" s="2" t="inlineStr">
        <is>
          <t>Pending</t>
        </is>
      </c>
      <c r="K410" s="2" t="inlineStr">
        <is>
          <t>No</t>
        </is>
      </c>
      <c r="L410" s="9" t="n">
        <v>0</v>
      </c>
      <c r="M410" s="2" t="inlineStr">
        <is>
          <t>Received</t>
        </is>
      </c>
      <c r="N410" s="2" t="inlineStr">
        <is>
          <t>Approved</t>
        </is>
      </c>
      <c r="O410" s="2" t="n"/>
      <c r="P410" s="2" t="n"/>
      <c r="Q410" s="2" t="n"/>
      <c r="R410" s="2" t="n"/>
    </row>
    <row r="411">
      <c r="A411" s="2" t="inlineStr">
        <is>
          <t>INV00408</t>
        </is>
      </c>
      <c r="B411" s="7" t="n">
        <v>46334</v>
      </c>
      <c r="C411" s="2" t="inlineStr">
        <is>
          <t>Adobe</t>
        </is>
      </c>
      <c r="D411" s="2" t="inlineStr">
        <is>
          <t>Finance</t>
        </is>
      </c>
      <c r="E411" s="2" t="inlineStr">
        <is>
          <t>Office Supplies</t>
        </is>
      </c>
      <c r="F411" s="8" t="n">
        <v>484300</v>
      </c>
      <c r="G411" s="2" t="n">
        <v>30</v>
      </c>
      <c r="H411" s="7" t="n">
        <v>46364</v>
      </c>
      <c r="I411" s="7" t="n">
        <v>46364</v>
      </c>
      <c r="J411" s="2" t="inlineStr">
        <is>
          <t>Paid</t>
        </is>
      </c>
      <c r="K411" s="2" t="inlineStr">
        <is>
          <t>No</t>
        </is>
      </c>
      <c r="L411" s="9" t="n">
        <v>0</v>
      </c>
      <c r="M411" s="2" t="inlineStr">
        <is>
          <t>Received</t>
        </is>
      </c>
      <c r="N411" s="2" t="inlineStr">
        <is>
          <t>Approved</t>
        </is>
      </c>
      <c r="O411" s="2" t="n"/>
      <c r="P411" s="2" t="n"/>
      <c r="Q411" s="2" t="n"/>
      <c r="R411" s="2" t="n"/>
    </row>
    <row r="412">
      <c r="A412" s="2" t="inlineStr">
        <is>
          <t>INV00409</t>
        </is>
      </c>
      <c r="B412" s="7" t="n">
        <v>46140</v>
      </c>
      <c r="C412" s="2" t="inlineStr">
        <is>
          <t>Deloitte</t>
        </is>
      </c>
      <c r="D412" s="2" t="inlineStr">
        <is>
          <t>HR</t>
        </is>
      </c>
      <c r="E412" s="2" t="inlineStr">
        <is>
          <t>Travel</t>
        </is>
      </c>
      <c r="F412" s="8" t="n">
        <v>110400</v>
      </c>
      <c r="G412" s="2" t="n">
        <v>30</v>
      </c>
      <c r="H412" s="7" t="n">
        <v>46170</v>
      </c>
      <c r="I412" s="7" t="n">
        <v>46175</v>
      </c>
      <c r="J412" s="2" t="inlineStr">
        <is>
          <t>Paid</t>
        </is>
      </c>
      <c r="K412" s="2" t="inlineStr">
        <is>
          <t>Yes</t>
        </is>
      </c>
      <c r="L412" s="9" t="n">
        <v>0.02</v>
      </c>
      <c r="M412" s="2" t="inlineStr">
        <is>
          <t>Received</t>
        </is>
      </c>
      <c r="N412" s="2" t="inlineStr">
        <is>
          <t>Approved</t>
        </is>
      </c>
      <c r="O412" s="2" t="n"/>
      <c r="P412" s="2" t="n"/>
      <c r="Q412" s="2" t="n"/>
      <c r="R412" s="2" t="n"/>
    </row>
    <row r="413">
      <c r="A413" s="2" t="inlineStr">
        <is>
          <t>INV00410</t>
        </is>
      </c>
      <c r="B413" s="7" t="n">
        <v>46360</v>
      </c>
      <c r="C413" s="2" t="inlineStr">
        <is>
          <t>Deloitte</t>
        </is>
      </c>
      <c r="D413" s="2" t="inlineStr">
        <is>
          <t>HR</t>
        </is>
      </c>
      <c r="E413" s="2" t="inlineStr">
        <is>
          <t>Facilities</t>
        </is>
      </c>
      <c r="F413" s="8" t="n">
        <v>824100</v>
      </c>
      <c r="G413" s="2" t="n">
        <v>30</v>
      </c>
      <c r="H413" s="7" t="n">
        <v>46390</v>
      </c>
      <c r="I413" s="2" t="n"/>
      <c r="J413" s="2" t="inlineStr">
        <is>
          <t>Pending</t>
        </is>
      </c>
      <c r="K413" s="2" t="inlineStr">
        <is>
          <t>Yes</t>
        </is>
      </c>
      <c r="L413" s="9" t="n">
        <v>0.02</v>
      </c>
      <c r="M413" s="2" t="inlineStr">
        <is>
          <t>Received</t>
        </is>
      </c>
      <c r="N413" s="2" t="inlineStr">
        <is>
          <t>Approved</t>
        </is>
      </c>
      <c r="O413" s="2" t="n"/>
      <c r="P413" s="2" t="n"/>
      <c r="Q413" s="2" t="n"/>
      <c r="R413" s="2" t="n"/>
    </row>
    <row r="414">
      <c r="A414" s="2" t="inlineStr">
        <is>
          <t>INV00411</t>
        </is>
      </c>
      <c r="B414" s="7" t="n">
        <v>46350</v>
      </c>
      <c r="C414" s="2" t="inlineStr">
        <is>
          <t>Infosys</t>
        </is>
      </c>
      <c r="D414" s="2" t="inlineStr">
        <is>
          <t>Finance</t>
        </is>
      </c>
      <c r="E414" s="2" t="inlineStr">
        <is>
          <t>Facilities</t>
        </is>
      </c>
      <c r="F414" s="8" t="n">
        <v>388600</v>
      </c>
      <c r="G414" s="2" t="n">
        <v>30</v>
      </c>
      <c r="H414" s="7" t="n">
        <v>46380</v>
      </c>
      <c r="I414" s="7" t="n">
        <v>46385</v>
      </c>
      <c r="J414" s="2" t="inlineStr">
        <is>
          <t>Paid</t>
        </is>
      </c>
      <c r="K414" s="2" t="inlineStr">
        <is>
          <t>No</t>
        </is>
      </c>
      <c r="L414" s="9" t="n">
        <v>0</v>
      </c>
      <c r="M414" s="2" t="inlineStr">
        <is>
          <t>Received</t>
        </is>
      </c>
      <c r="N414" s="2" t="inlineStr">
        <is>
          <t>Approved</t>
        </is>
      </c>
      <c r="O414" s="2" t="n"/>
      <c r="P414" s="2" t="n"/>
      <c r="Q414" s="2" t="n"/>
      <c r="R414" s="2" t="n"/>
    </row>
    <row r="415">
      <c r="A415" s="2" t="inlineStr">
        <is>
          <t>INV00412</t>
        </is>
      </c>
      <c r="B415" s="7" t="n">
        <v>46076</v>
      </c>
      <c r="C415" s="2" t="inlineStr">
        <is>
          <t>Cognizant</t>
        </is>
      </c>
      <c r="D415" s="2" t="inlineStr">
        <is>
          <t>Operations</t>
        </is>
      </c>
      <c r="E415" s="2" t="inlineStr">
        <is>
          <t>Cloud</t>
        </is>
      </c>
      <c r="F415" s="8" t="n">
        <v>530500</v>
      </c>
      <c r="G415" s="2" t="n">
        <v>60</v>
      </c>
      <c r="H415" s="7" t="n">
        <v>46136</v>
      </c>
      <c r="I415" s="7" t="n">
        <v>46136</v>
      </c>
      <c r="J415" s="2" t="inlineStr">
        <is>
          <t>Paid</t>
        </is>
      </c>
      <c r="K415" s="2" t="inlineStr">
        <is>
          <t>Yes</t>
        </is>
      </c>
      <c r="L415" s="9" t="n">
        <v>0.02</v>
      </c>
      <c r="M415" s="2" t="inlineStr">
        <is>
          <t>Received</t>
        </is>
      </c>
      <c r="N415" s="2" t="inlineStr">
        <is>
          <t>Approved</t>
        </is>
      </c>
      <c r="O415" s="2" t="n"/>
      <c r="P415" s="2" t="n"/>
      <c r="Q415" s="2" t="n"/>
      <c r="R415" s="2" t="n"/>
    </row>
    <row r="416">
      <c r="A416" s="2" t="inlineStr">
        <is>
          <t>INV00413</t>
        </is>
      </c>
      <c r="B416" s="7" t="n">
        <v>46031</v>
      </c>
      <c r="C416" s="2" t="inlineStr">
        <is>
          <t>Adobe</t>
        </is>
      </c>
      <c r="D416" s="2" t="inlineStr">
        <is>
          <t>Finance</t>
        </is>
      </c>
      <c r="E416" s="2" t="inlineStr">
        <is>
          <t>Travel</t>
        </is>
      </c>
      <c r="F416" s="8" t="n">
        <v>299600</v>
      </c>
      <c r="G416" s="2" t="n">
        <v>30</v>
      </c>
      <c r="H416" s="7" t="n">
        <v>46061</v>
      </c>
      <c r="I416" s="2" t="n"/>
      <c r="J416" s="2" t="inlineStr">
        <is>
          <t>Pending</t>
        </is>
      </c>
      <c r="K416" s="2" t="inlineStr">
        <is>
          <t>No</t>
        </is>
      </c>
      <c r="L416" s="9" t="n">
        <v>0</v>
      </c>
      <c r="M416" s="2" t="inlineStr">
        <is>
          <t>Received</t>
        </is>
      </c>
      <c r="N416" s="2" t="inlineStr">
        <is>
          <t>Approved</t>
        </is>
      </c>
      <c r="O416" s="2" t="n"/>
      <c r="P416" s="2" t="n"/>
      <c r="Q416" s="2" t="n"/>
      <c r="R416" s="2" t="n"/>
    </row>
    <row r="417">
      <c r="A417" s="2" t="inlineStr">
        <is>
          <t>INV00414</t>
        </is>
      </c>
      <c r="B417" s="7" t="n">
        <v>46126</v>
      </c>
      <c r="C417" s="2" t="inlineStr">
        <is>
          <t>Adobe</t>
        </is>
      </c>
      <c r="D417" s="2" t="inlineStr">
        <is>
          <t>IT</t>
        </is>
      </c>
      <c r="E417" s="2" t="inlineStr">
        <is>
          <t>Office Supplies</t>
        </is>
      </c>
      <c r="F417" s="8" t="n">
        <v>181400</v>
      </c>
      <c r="G417" s="2" t="n">
        <v>60</v>
      </c>
      <c r="H417" s="7" t="n">
        <v>46186</v>
      </c>
      <c r="I417" s="7" t="n">
        <v>46186</v>
      </c>
      <c r="J417" s="2" t="inlineStr">
        <is>
          <t>Paid</t>
        </is>
      </c>
      <c r="K417" s="2" t="inlineStr">
        <is>
          <t>No</t>
        </is>
      </c>
      <c r="L417" s="9" t="n">
        <v>0</v>
      </c>
      <c r="M417" s="2" t="inlineStr">
        <is>
          <t>Received</t>
        </is>
      </c>
      <c r="N417" s="2" t="inlineStr">
        <is>
          <t>Pending</t>
        </is>
      </c>
      <c r="O417" s="2" t="n"/>
      <c r="P417" s="2" t="n"/>
      <c r="Q417" s="2" t="n"/>
      <c r="R417" s="2" t="n"/>
    </row>
    <row r="418">
      <c r="A418" s="2" t="inlineStr">
        <is>
          <t>INV00415</t>
        </is>
      </c>
      <c r="B418" s="7" t="n">
        <v>46283</v>
      </c>
      <c r="C418" s="2" t="inlineStr">
        <is>
          <t>Adobe</t>
        </is>
      </c>
      <c r="D418" s="2" t="inlineStr">
        <is>
          <t>Sales</t>
        </is>
      </c>
      <c r="E418" s="2" t="inlineStr">
        <is>
          <t>Software</t>
        </is>
      </c>
      <c r="F418" s="8" t="n">
        <v>131500</v>
      </c>
      <c r="G418" s="2" t="n">
        <v>60</v>
      </c>
      <c r="H418" s="7" t="n">
        <v>46343</v>
      </c>
      <c r="I418" s="7" t="n">
        <v>46343</v>
      </c>
      <c r="J418" s="2" t="inlineStr">
        <is>
          <t>Paid</t>
        </is>
      </c>
      <c r="K418" s="2" t="inlineStr">
        <is>
          <t>No</t>
        </is>
      </c>
      <c r="L418" s="9" t="n">
        <v>0</v>
      </c>
      <c r="M418" s="2" t="inlineStr">
        <is>
          <t>Received</t>
        </is>
      </c>
      <c r="N418" s="2" t="inlineStr">
        <is>
          <t>Approved</t>
        </is>
      </c>
      <c r="O418" s="2" t="n"/>
      <c r="P418" s="2" t="n"/>
      <c r="Q418" s="2" t="n"/>
      <c r="R418" s="2" t="n"/>
    </row>
    <row r="419">
      <c r="A419" s="2" t="inlineStr">
        <is>
          <t>INV00416</t>
        </is>
      </c>
      <c r="B419" s="7" t="n">
        <v>46095</v>
      </c>
      <c r="C419" s="2" t="inlineStr">
        <is>
          <t>Infosys</t>
        </is>
      </c>
      <c r="D419" s="2" t="inlineStr">
        <is>
          <t>Marketing</t>
        </is>
      </c>
      <c r="E419" s="2" t="inlineStr">
        <is>
          <t>Software</t>
        </is>
      </c>
      <c r="F419" s="8" t="n">
        <v>118600</v>
      </c>
      <c r="G419" s="2" t="n">
        <v>30</v>
      </c>
      <c r="H419" s="7" t="n">
        <v>46125</v>
      </c>
      <c r="I419" s="2" t="n"/>
      <c r="J419" s="2" t="inlineStr">
        <is>
          <t>Pending</t>
        </is>
      </c>
      <c r="K419" s="2" t="inlineStr">
        <is>
          <t>Yes</t>
        </is>
      </c>
      <c r="L419" s="9" t="n">
        <v>0.02</v>
      </c>
      <c r="M419" s="2" t="inlineStr">
        <is>
          <t>Received</t>
        </is>
      </c>
      <c r="N419" s="2" t="inlineStr">
        <is>
          <t>Pending</t>
        </is>
      </c>
      <c r="O419" s="2" t="n"/>
      <c r="P419" s="2" t="n"/>
      <c r="Q419" s="2" t="n"/>
      <c r="R419" s="2" t="n"/>
    </row>
    <row r="420">
      <c r="A420" s="2" t="inlineStr">
        <is>
          <t>INV00417</t>
        </is>
      </c>
      <c r="B420" s="7" t="n">
        <v>46374</v>
      </c>
      <c r="C420" s="2" t="inlineStr">
        <is>
          <t>Deloitte</t>
        </is>
      </c>
      <c r="D420" s="2" t="inlineStr">
        <is>
          <t>Operations</t>
        </is>
      </c>
      <c r="E420" s="2" t="inlineStr">
        <is>
          <t>Professional Services</t>
        </is>
      </c>
      <c r="F420" s="8" t="n">
        <v>115500</v>
      </c>
      <c r="G420" s="2" t="n">
        <v>45</v>
      </c>
      <c r="H420" s="7" t="n">
        <v>46419</v>
      </c>
      <c r="I420" s="2" t="n"/>
      <c r="J420" s="2" t="inlineStr">
        <is>
          <t>Pending</t>
        </is>
      </c>
      <c r="K420" s="2" t="inlineStr">
        <is>
          <t>Yes</t>
        </is>
      </c>
      <c r="L420" s="9" t="n">
        <v>0.02</v>
      </c>
      <c r="M420" s="2" t="inlineStr">
        <is>
          <t>Received</t>
        </is>
      </c>
      <c r="N420" s="2" t="inlineStr">
        <is>
          <t>Approved</t>
        </is>
      </c>
      <c r="O420" s="2" t="n"/>
      <c r="P420" s="2" t="n"/>
      <c r="Q420" s="2" t="n"/>
      <c r="R420" s="2" t="n"/>
    </row>
    <row r="421">
      <c r="A421" s="2" t="inlineStr">
        <is>
          <t>INV00418</t>
        </is>
      </c>
      <c r="B421" s="7" t="n">
        <v>46382</v>
      </c>
      <c r="C421" s="2" t="inlineStr">
        <is>
          <t>Deloitte</t>
        </is>
      </c>
      <c r="D421" s="2" t="inlineStr">
        <is>
          <t>Sales</t>
        </is>
      </c>
      <c r="E421" s="2" t="inlineStr">
        <is>
          <t>Travel</t>
        </is>
      </c>
      <c r="F421" s="8" t="n">
        <v>779700</v>
      </c>
      <c r="G421" s="2" t="n">
        <v>15</v>
      </c>
      <c r="H421" s="7" t="n">
        <v>46397</v>
      </c>
      <c r="I421" s="7" t="n">
        <v>46412</v>
      </c>
      <c r="J421" s="2" t="inlineStr">
        <is>
          <t>Paid</t>
        </is>
      </c>
      <c r="K421" s="2" t="inlineStr">
        <is>
          <t>No</t>
        </is>
      </c>
      <c r="L421" s="9" t="n">
        <v>0</v>
      </c>
      <c r="M421" s="2" t="inlineStr">
        <is>
          <t>Pending</t>
        </is>
      </c>
      <c r="N421" s="2" t="inlineStr">
        <is>
          <t>Approved</t>
        </is>
      </c>
      <c r="O421" s="2" t="n"/>
      <c r="P421" s="2" t="n"/>
      <c r="Q421" s="2" t="n"/>
      <c r="R421" s="2" t="n"/>
    </row>
    <row r="422">
      <c r="A422" s="2" t="inlineStr">
        <is>
          <t>INV00419</t>
        </is>
      </c>
      <c r="B422" s="7" t="n">
        <v>46094</v>
      </c>
      <c r="C422" s="2" t="inlineStr">
        <is>
          <t>Google Cloud</t>
        </is>
      </c>
      <c r="D422" s="2" t="inlineStr">
        <is>
          <t>Operations</t>
        </is>
      </c>
      <c r="E422" s="2" t="inlineStr">
        <is>
          <t>Software</t>
        </is>
      </c>
      <c r="F422" s="8" t="n">
        <v>228500</v>
      </c>
      <c r="G422" s="2" t="n">
        <v>30</v>
      </c>
      <c r="H422" s="7" t="n">
        <v>46124</v>
      </c>
      <c r="I422" s="7" t="n">
        <v>46124</v>
      </c>
      <c r="J422" s="2" t="inlineStr">
        <is>
          <t>Paid</t>
        </is>
      </c>
      <c r="K422" s="2" t="inlineStr">
        <is>
          <t>No</t>
        </is>
      </c>
      <c r="L422" s="9" t="n">
        <v>0</v>
      </c>
      <c r="M422" s="2" t="inlineStr">
        <is>
          <t>Received</t>
        </is>
      </c>
      <c r="N422" s="2" t="inlineStr">
        <is>
          <t>Approved</t>
        </is>
      </c>
      <c r="O422" s="2" t="n"/>
      <c r="P422" s="2" t="n"/>
      <c r="Q422" s="2" t="n"/>
      <c r="R422" s="2" t="n"/>
    </row>
    <row r="423">
      <c r="A423" s="2" t="inlineStr">
        <is>
          <t>INV00420</t>
        </is>
      </c>
      <c r="B423" s="7" t="n">
        <v>46381</v>
      </c>
      <c r="C423" s="2" t="inlineStr">
        <is>
          <t>IBM</t>
        </is>
      </c>
      <c r="D423" s="2" t="inlineStr">
        <is>
          <t>HR</t>
        </is>
      </c>
      <c r="E423" s="2" t="inlineStr">
        <is>
          <t>Travel</t>
        </is>
      </c>
      <c r="F423" s="8" t="n">
        <v>33800</v>
      </c>
      <c r="G423" s="2" t="n">
        <v>30</v>
      </c>
      <c r="H423" s="7" t="n">
        <v>46411</v>
      </c>
      <c r="I423" s="7" t="n">
        <v>46426</v>
      </c>
      <c r="J423" s="2" t="inlineStr">
        <is>
          <t>Paid</t>
        </is>
      </c>
      <c r="K423" s="2" t="inlineStr">
        <is>
          <t>Yes</t>
        </is>
      </c>
      <c r="L423" s="9" t="n">
        <v>0.02</v>
      </c>
      <c r="M423" s="2" t="inlineStr">
        <is>
          <t>Received</t>
        </is>
      </c>
      <c r="N423" s="2" t="inlineStr">
        <is>
          <t>Approved</t>
        </is>
      </c>
      <c r="O423" s="2" t="n"/>
      <c r="P423" s="2" t="n"/>
      <c r="Q423" s="2" t="n"/>
      <c r="R423" s="2" t="n"/>
    </row>
    <row r="424">
      <c r="A424" s="2" t="inlineStr">
        <is>
          <t>INV00421</t>
        </is>
      </c>
      <c r="B424" s="7" t="n">
        <v>46042</v>
      </c>
      <c r="C424" s="2" t="inlineStr">
        <is>
          <t>Zoho</t>
        </is>
      </c>
      <c r="D424" s="2" t="inlineStr">
        <is>
          <t>Operations</t>
        </is>
      </c>
      <c r="E424" s="2" t="inlineStr">
        <is>
          <t>Cloud</t>
        </is>
      </c>
      <c r="F424" s="8" t="n">
        <v>606800</v>
      </c>
      <c r="G424" s="2" t="n">
        <v>30</v>
      </c>
      <c r="H424" s="7" t="n">
        <v>46072</v>
      </c>
      <c r="I424" s="7" t="n">
        <v>46077</v>
      </c>
      <c r="J424" s="2" t="inlineStr">
        <is>
          <t>Paid</t>
        </is>
      </c>
      <c r="K424" s="2" t="inlineStr">
        <is>
          <t>Yes</t>
        </is>
      </c>
      <c r="L424" s="9" t="n">
        <v>0.02</v>
      </c>
      <c r="M424" s="2" t="inlineStr">
        <is>
          <t>Pending</t>
        </is>
      </c>
      <c r="N424" s="2" t="inlineStr">
        <is>
          <t>Approved</t>
        </is>
      </c>
      <c r="O424" s="2" t="n"/>
      <c r="P424" s="2" t="n"/>
      <c r="Q424" s="2" t="n"/>
      <c r="R424" s="2" t="n"/>
    </row>
    <row r="425">
      <c r="A425" s="2" t="inlineStr">
        <is>
          <t>INV00422</t>
        </is>
      </c>
      <c r="B425" s="7" t="n">
        <v>46344</v>
      </c>
      <c r="C425" s="2" t="inlineStr">
        <is>
          <t>HCLTech</t>
        </is>
      </c>
      <c r="D425" s="2" t="inlineStr">
        <is>
          <t>Finance</t>
        </is>
      </c>
      <c r="E425" s="2" t="inlineStr">
        <is>
          <t>Software</t>
        </is>
      </c>
      <c r="F425" s="8" t="n">
        <v>41300</v>
      </c>
      <c r="G425" s="2" t="n">
        <v>30</v>
      </c>
      <c r="H425" s="7" t="n">
        <v>46374</v>
      </c>
      <c r="I425" s="7" t="n">
        <v>46374</v>
      </c>
      <c r="J425" s="2" t="inlineStr">
        <is>
          <t>Paid</t>
        </is>
      </c>
      <c r="K425" s="2" t="inlineStr">
        <is>
          <t>No</t>
        </is>
      </c>
      <c r="L425" s="9" t="n">
        <v>0</v>
      </c>
      <c r="M425" s="2" t="inlineStr">
        <is>
          <t>Received</t>
        </is>
      </c>
      <c r="N425" s="2" t="inlineStr">
        <is>
          <t>Approved</t>
        </is>
      </c>
      <c r="O425" s="2" t="n"/>
      <c r="P425" s="2" t="n"/>
      <c r="Q425" s="2" t="n"/>
      <c r="R425" s="2" t="n"/>
    </row>
    <row r="426">
      <c r="A426" s="2" t="inlineStr">
        <is>
          <t>INV00423</t>
        </is>
      </c>
      <c r="B426" s="7" t="n">
        <v>46055</v>
      </c>
      <c r="C426" s="2" t="inlineStr">
        <is>
          <t>Amazon Web Services</t>
        </is>
      </c>
      <c r="D426" s="2" t="inlineStr">
        <is>
          <t>Operations</t>
        </is>
      </c>
      <c r="E426" s="2" t="inlineStr">
        <is>
          <t>Cloud</t>
        </is>
      </c>
      <c r="F426" s="8" t="n">
        <v>169700</v>
      </c>
      <c r="G426" s="2" t="n">
        <v>30</v>
      </c>
      <c r="H426" s="7" t="n">
        <v>46085</v>
      </c>
      <c r="I426" s="2" t="n"/>
      <c r="J426" s="2" t="inlineStr">
        <is>
          <t>Pending</t>
        </is>
      </c>
      <c r="K426" s="2" t="inlineStr">
        <is>
          <t>No</t>
        </is>
      </c>
      <c r="L426" s="9" t="n">
        <v>0</v>
      </c>
      <c r="M426" s="2" t="inlineStr">
        <is>
          <t>Received</t>
        </is>
      </c>
      <c r="N426" s="2" t="inlineStr">
        <is>
          <t>Approved</t>
        </is>
      </c>
      <c r="O426" s="2" t="n"/>
      <c r="P426" s="2" t="n"/>
      <c r="Q426" s="2" t="n"/>
      <c r="R426" s="2" t="n"/>
    </row>
    <row r="427">
      <c r="A427" s="2" t="inlineStr">
        <is>
          <t>INV00424</t>
        </is>
      </c>
      <c r="B427" s="7" t="n">
        <v>46153</v>
      </c>
      <c r="C427" s="2" t="inlineStr">
        <is>
          <t>Oracle</t>
        </is>
      </c>
      <c r="D427" s="2" t="inlineStr">
        <is>
          <t>Operations</t>
        </is>
      </c>
      <c r="E427" s="2" t="inlineStr">
        <is>
          <t>Facilities</t>
        </is>
      </c>
      <c r="F427" s="8" t="n">
        <v>190800</v>
      </c>
      <c r="G427" s="2" t="n">
        <v>15</v>
      </c>
      <c r="H427" s="7" t="n">
        <v>46168</v>
      </c>
      <c r="I427" s="7" t="n">
        <v>46168</v>
      </c>
      <c r="J427" s="2" t="inlineStr">
        <is>
          <t>Paid</t>
        </is>
      </c>
      <c r="K427" s="2" t="inlineStr">
        <is>
          <t>No</t>
        </is>
      </c>
      <c r="L427" s="9" t="n">
        <v>0</v>
      </c>
      <c r="M427" s="2" t="inlineStr">
        <is>
          <t>Received</t>
        </is>
      </c>
      <c r="N427" s="2" t="inlineStr">
        <is>
          <t>Approved</t>
        </is>
      </c>
      <c r="O427" s="2" t="n"/>
      <c r="P427" s="2" t="n"/>
      <c r="Q427" s="2" t="n"/>
      <c r="R427" s="2" t="n"/>
    </row>
    <row r="428">
      <c r="A428" s="2" t="inlineStr">
        <is>
          <t>INV00425</t>
        </is>
      </c>
      <c r="B428" s="7" t="n">
        <v>46272</v>
      </c>
      <c r="C428" s="2" t="inlineStr">
        <is>
          <t>Wipro</t>
        </is>
      </c>
      <c r="D428" s="2" t="inlineStr">
        <is>
          <t>Finance</t>
        </is>
      </c>
      <c r="E428" s="2" t="inlineStr">
        <is>
          <t>Office Supplies</t>
        </is>
      </c>
      <c r="F428" s="8" t="n">
        <v>31800</v>
      </c>
      <c r="G428" s="2" t="n">
        <v>15</v>
      </c>
      <c r="H428" s="7" t="n">
        <v>46287</v>
      </c>
      <c r="I428" s="7" t="n">
        <v>46292</v>
      </c>
      <c r="J428" s="2" t="inlineStr">
        <is>
          <t>Paid</t>
        </is>
      </c>
      <c r="K428" s="2" t="inlineStr">
        <is>
          <t>No</t>
        </is>
      </c>
      <c r="L428" s="9" t="n">
        <v>0</v>
      </c>
      <c r="M428" s="2" t="inlineStr">
        <is>
          <t>Pending</t>
        </is>
      </c>
      <c r="N428" s="2" t="inlineStr">
        <is>
          <t>Approved</t>
        </is>
      </c>
      <c r="O428" s="2" t="n"/>
      <c r="P428" s="2" t="n"/>
      <c r="Q428" s="2" t="n"/>
      <c r="R428" s="2" t="n"/>
    </row>
    <row r="429">
      <c r="A429" s="2" t="inlineStr">
        <is>
          <t>INV00426</t>
        </is>
      </c>
      <c r="B429" s="7" t="n">
        <v>46323</v>
      </c>
      <c r="C429" s="2" t="inlineStr">
        <is>
          <t>Oracle</t>
        </is>
      </c>
      <c r="D429" s="2" t="inlineStr">
        <is>
          <t>HR</t>
        </is>
      </c>
      <c r="E429" s="2" t="inlineStr">
        <is>
          <t>Office Supplies</t>
        </is>
      </c>
      <c r="F429" s="8" t="n">
        <v>710700</v>
      </c>
      <c r="G429" s="2" t="n">
        <v>45</v>
      </c>
      <c r="H429" s="7" t="n">
        <v>46368</v>
      </c>
      <c r="I429" s="7" t="n">
        <v>46373</v>
      </c>
      <c r="J429" s="2" t="inlineStr">
        <is>
          <t>Paid</t>
        </is>
      </c>
      <c r="K429" s="2" t="inlineStr">
        <is>
          <t>No</t>
        </is>
      </c>
      <c r="L429" s="9" t="n">
        <v>0</v>
      </c>
      <c r="M429" s="2" t="inlineStr">
        <is>
          <t>Received</t>
        </is>
      </c>
      <c r="N429" s="2" t="inlineStr">
        <is>
          <t>Approved</t>
        </is>
      </c>
      <c r="O429" s="2" t="n"/>
      <c r="P429" s="2" t="n"/>
      <c r="Q429" s="2" t="n"/>
      <c r="R429" s="2" t="n"/>
    </row>
    <row r="430">
      <c r="A430" s="2" t="inlineStr">
        <is>
          <t>INV00427</t>
        </is>
      </c>
      <c r="B430" s="7" t="n">
        <v>46366</v>
      </c>
      <c r="C430" s="2" t="inlineStr">
        <is>
          <t>TCS</t>
        </is>
      </c>
      <c r="D430" s="2" t="inlineStr">
        <is>
          <t>IT</t>
        </is>
      </c>
      <c r="E430" s="2" t="inlineStr">
        <is>
          <t>Software</t>
        </is>
      </c>
      <c r="F430" s="8" t="n">
        <v>118900</v>
      </c>
      <c r="G430" s="2" t="n">
        <v>15</v>
      </c>
      <c r="H430" s="7" t="n">
        <v>46381</v>
      </c>
      <c r="I430" s="2" t="n"/>
      <c r="J430" s="2" t="inlineStr">
        <is>
          <t>Pending</t>
        </is>
      </c>
      <c r="K430" s="2" t="inlineStr">
        <is>
          <t>No</t>
        </is>
      </c>
      <c r="L430" s="9" t="n">
        <v>0</v>
      </c>
      <c r="M430" s="2" t="inlineStr">
        <is>
          <t>Received</t>
        </is>
      </c>
      <c r="N430" s="2" t="inlineStr">
        <is>
          <t>Approved</t>
        </is>
      </c>
      <c r="O430" s="2" t="n"/>
      <c r="P430" s="2" t="n"/>
      <c r="Q430" s="2" t="n"/>
      <c r="R430" s="2" t="n"/>
    </row>
    <row r="431">
      <c r="A431" s="2" t="inlineStr">
        <is>
          <t>INV00428</t>
        </is>
      </c>
      <c r="B431" s="7" t="n">
        <v>46291</v>
      </c>
      <c r="C431" s="2" t="inlineStr">
        <is>
          <t>SAP</t>
        </is>
      </c>
      <c r="D431" s="2" t="inlineStr">
        <is>
          <t>Finance</t>
        </is>
      </c>
      <c r="E431" s="2" t="inlineStr">
        <is>
          <t>Software</t>
        </is>
      </c>
      <c r="F431" s="8" t="n">
        <v>174100</v>
      </c>
      <c r="G431" s="2" t="n">
        <v>30</v>
      </c>
      <c r="H431" s="7" t="n">
        <v>46321</v>
      </c>
      <c r="I431" s="7" t="n">
        <v>46321</v>
      </c>
      <c r="J431" s="2" t="inlineStr">
        <is>
          <t>Paid</t>
        </is>
      </c>
      <c r="K431" s="2" t="inlineStr">
        <is>
          <t>Yes</t>
        </is>
      </c>
      <c r="L431" s="9" t="n">
        <v>0.02</v>
      </c>
      <c r="M431" s="2" t="inlineStr">
        <is>
          <t>Received</t>
        </is>
      </c>
      <c r="N431" s="2" t="inlineStr">
        <is>
          <t>Approved</t>
        </is>
      </c>
      <c r="O431" s="2" t="n"/>
      <c r="P431" s="2" t="n"/>
      <c r="Q431" s="2" t="n"/>
      <c r="R431" s="2" t="n"/>
    </row>
    <row r="432">
      <c r="A432" s="2" t="inlineStr">
        <is>
          <t>INV00429</t>
        </is>
      </c>
      <c r="B432" s="7" t="n">
        <v>46186</v>
      </c>
      <c r="C432" s="2" t="inlineStr">
        <is>
          <t>Wipro</t>
        </is>
      </c>
      <c r="D432" s="2" t="inlineStr">
        <is>
          <t>Marketing</t>
        </is>
      </c>
      <c r="E432" s="2" t="inlineStr">
        <is>
          <t>Office Supplies</t>
        </is>
      </c>
      <c r="F432" s="8" t="n">
        <v>395500</v>
      </c>
      <c r="G432" s="2" t="n">
        <v>15</v>
      </c>
      <c r="H432" s="7" t="n">
        <v>46201</v>
      </c>
      <c r="I432" s="2" t="n"/>
      <c r="J432" s="2" t="inlineStr">
        <is>
          <t>Pending</t>
        </is>
      </c>
      <c r="K432" s="2" t="inlineStr">
        <is>
          <t>No</t>
        </is>
      </c>
      <c r="L432" s="9" t="n">
        <v>0</v>
      </c>
      <c r="M432" s="2" t="inlineStr">
        <is>
          <t>Received</t>
        </is>
      </c>
      <c r="N432" s="2" t="inlineStr">
        <is>
          <t>Approved</t>
        </is>
      </c>
      <c r="O432" s="2" t="n"/>
      <c r="P432" s="2" t="n"/>
      <c r="Q432" s="2" t="n"/>
      <c r="R432" s="2" t="n"/>
    </row>
    <row r="433">
      <c r="A433" s="2" t="inlineStr">
        <is>
          <t>INV00430</t>
        </is>
      </c>
      <c r="B433" s="7" t="n">
        <v>46097</v>
      </c>
      <c r="C433" s="2" t="inlineStr">
        <is>
          <t>Deloitte</t>
        </is>
      </c>
      <c r="D433" s="2" t="inlineStr">
        <is>
          <t>Sales</t>
        </is>
      </c>
      <c r="E433" s="2" t="inlineStr">
        <is>
          <t>Professional Services</t>
        </is>
      </c>
      <c r="F433" s="8" t="n">
        <v>118300</v>
      </c>
      <c r="G433" s="2" t="n">
        <v>45</v>
      </c>
      <c r="H433" s="7" t="n">
        <v>46142</v>
      </c>
      <c r="I433" s="2" t="n"/>
      <c r="J433" s="2" t="inlineStr">
        <is>
          <t>Pending</t>
        </is>
      </c>
      <c r="K433" s="2" t="inlineStr">
        <is>
          <t>Yes</t>
        </is>
      </c>
      <c r="L433" s="9" t="n">
        <v>0.02</v>
      </c>
      <c r="M433" s="2" t="inlineStr">
        <is>
          <t>Received</t>
        </is>
      </c>
      <c r="N433" s="2" t="inlineStr">
        <is>
          <t>Approved</t>
        </is>
      </c>
      <c r="O433" s="2" t="n"/>
      <c r="P433" s="2" t="n"/>
      <c r="Q433" s="2" t="n"/>
      <c r="R433" s="2" t="n"/>
    </row>
    <row r="434">
      <c r="A434" s="2" t="inlineStr">
        <is>
          <t>INV00431</t>
        </is>
      </c>
      <c r="B434" s="7" t="n">
        <v>46266</v>
      </c>
      <c r="C434" s="2" t="inlineStr">
        <is>
          <t>TCS</t>
        </is>
      </c>
      <c r="D434" s="2" t="inlineStr">
        <is>
          <t>Marketing</t>
        </is>
      </c>
      <c r="E434" s="2" t="inlineStr">
        <is>
          <t>Travel</t>
        </is>
      </c>
      <c r="F434" s="8" t="n">
        <v>916000</v>
      </c>
      <c r="G434" s="2" t="n">
        <v>45</v>
      </c>
      <c r="H434" s="7" t="n">
        <v>46311</v>
      </c>
      <c r="I434" s="7" t="n">
        <v>46311</v>
      </c>
      <c r="J434" s="2" t="inlineStr">
        <is>
          <t>Paid</t>
        </is>
      </c>
      <c r="K434" s="2" t="inlineStr">
        <is>
          <t>No</t>
        </is>
      </c>
      <c r="L434" s="9" t="n">
        <v>0</v>
      </c>
      <c r="M434" s="2" t="inlineStr">
        <is>
          <t>Received</t>
        </is>
      </c>
      <c r="N434" s="2" t="inlineStr">
        <is>
          <t>Approved</t>
        </is>
      </c>
      <c r="O434" s="2" t="n"/>
      <c r="P434" s="2" t="n"/>
      <c r="Q434" s="2" t="n"/>
      <c r="R434" s="2" t="n"/>
    </row>
    <row r="435">
      <c r="A435" s="2" t="inlineStr">
        <is>
          <t>INV00432</t>
        </is>
      </c>
      <c r="B435" s="7" t="n">
        <v>46292</v>
      </c>
      <c r="C435" s="2" t="inlineStr">
        <is>
          <t>Deloitte</t>
        </is>
      </c>
      <c r="D435" s="2" t="inlineStr">
        <is>
          <t>Marketing</t>
        </is>
      </c>
      <c r="E435" s="2" t="inlineStr">
        <is>
          <t>Office Supplies</t>
        </is>
      </c>
      <c r="F435" s="8" t="n">
        <v>337600</v>
      </c>
      <c r="G435" s="2" t="n">
        <v>60</v>
      </c>
      <c r="H435" s="7" t="n">
        <v>46352</v>
      </c>
      <c r="I435" s="7" t="n">
        <v>46352</v>
      </c>
      <c r="J435" s="2" t="inlineStr">
        <is>
          <t>Paid</t>
        </is>
      </c>
      <c r="K435" s="2" t="inlineStr">
        <is>
          <t>Yes</t>
        </is>
      </c>
      <c r="L435" s="9" t="n">
        <v>0.02</v>
      </c>
      <c r="M435" s="2" t="inlineStr">
        <is>
          <t>Received</t>
        </is>
      </c>
      <c r="N435" s="2" t="inlineStr">
        <is>
          <t>Approved</t>
        </is>
      </c>
      <c r="O435" s="2" t="n"/>
      <c r="P435" s="2" t="n"/>
      <c r="Q435" s="2" t="n"/>
      <c r="R435" s="2" t="n"/>
    </row>
    <row r="436">
      <c r="A436" s="2" t="inlineStr">
        <is>
          <t>INV00433</t>
        </is>
      </c>
      <c r="B436" s="7" t="n">
        <v>46124</v>
      </c>
      <c r="C436" s="2" t="inlineStr">
        <is>
          <t>IBM</t>
        </is>
      </c>
      <c r="D436" s="2" t="inlineStr">
        <is>
          <t>HR</t>
        </is>
      </c>
      <c r="E436" s="2" t="inlineStr">
        <is>
          <t>Cloud</t>
        </is>
      </c>
      <c r="F436" s="8" t="n">
        <v>47900</v>
      </c>
      <c r="G436" s="2" t="n">
        <v>45</v>
      </c>
      <c r="H436" s="7" t="n">
        <v>46169</v>
      </c>
      <c r="I436" s="2" t="n"/>
      <c r="J436" s="2" t="inlineStr">
        <is>
          <t>Pending</t>
        </is>
      </c>
      <c r="K436" s="2" t="inlineStr">
        <is>
          <t>No</t>
        </is>
      </c>
      <c r="L436" s="9" t="n">
        <v>0</v>
      </c>
      <c r="M436" s="2" t="inlineStr">
        <is>
          <t>Received</t>
        </is>
      </c>
      <c r="N436" s="2" t="inlineStr">
        <is>
          <t>Approved</t>
        </is>
      </c>
      <c r="O436" s="2" t="n"/>
      <c r="P436" s="2" t="n"/>
      <c r="Q436" s="2" t="n"/>
      <c r="R436" s="2" t="n"/>
    </row>
    <row r="437">
      <c r="A437" s="2" t="inlineStr">
        <is>
          <t>INV00434</t>
        </is>
      </c>
      <c r="B437" s="7" t="n">
        <v>46251</v>
      </c>
      <c r="C437" s="2" t="inlineStr">
        <is>
          <t>Deloitte</t>
        </is>
      </c>
      <c r="D437" s="2" t="inlineStr">
        <is>
          <t>Finance</t>
        </is>
      </c>
      <c r="E437" s="2" t="inlineStr">
        <is>
          <t>Consulting</t>
        </is>
      </c>
      <c r="F437" s="8" t="n">
        <v>642700</v>
      </c>
      <c r="G437" s="2" t="n">
        <v>60</v>
      </c>
      <c r="H437" s="7" t="n">
        <v>46311</v>
      </c>
      <c r="I437" s="7" t="n">
        <v>46341</v>
      </c>
      <c r="J437" s="2" t="inlineStr">
        <is>
          <t>Paid</t>
        </is>
      </c>
      <c r="K437" s="2" t="inlineStr">
        <is>
          <t>No</t>
        </is>
      </c>
      <c r="L437" s="9" t="n">
        <v>0</v>
      </c>
      <c r="M437" s="2" t="inlineStr">
        <is>
          <t>Pending</t>
        </is>
      </c>
      <c r="N437" s="2" t="inlineStr">
        <is>
          <t>Approved</t>
        </is>
      </c>
      <c r="O437" s="2" t="n"/>
      <c r="P437" s="2" t="n"/>
      <c r="Q437" s="2" t="n"/>
      <c r="R437" s="2" t="n"/>
    </row>
    <row r="438">
      <c r="A438" s="2" t="inlineStr">
        <is>
          <t>INV00435</t>
        </is>
      </c>
      <c r="B438" s="7" t="n">
        <v>46088</v>
      </c>
      <c r="C438" s="2" t="inlineStr">
        <is>
          <t>Wipro</t>
        </is>
      </c>
      <c r="D438" s="2" t="inlineStr">
        <is>
          <t>IT</t>
        </is>
      </c>
      <c r="E438" s="2" t="inlineStr">
        <is>
          <t>Professional Services</t>
        </is>
      </c>
      <c r="F438" s="8" t="n">
        <v>179900</v>
      </c>
      <c r="G438" s="2" t="n">
        <v>60</v>
      </c>
      <c r="H438" s="7" t="n">
        <v>46148</v>
      </c>
      <c r="I438" s="7" t="n">
        <v>46148</v>
      </c>
      <c r="J438" s="2" t="inlineStr">
        <is>
          <t>Paid</t>
        </is>
      </c>
      <c r="K438" s="2" t="inlineStr">
        <is>
          <t>No</t>
        </is>
      </c>
      <c r="L438" s="9" t="n">
        <v>0</v>
      </c>
      <c r="M438" s="2" t="inlineStr">
        <is>
          <t>Received</t>
        </is>
      </c>
      <c r="N438" s="2" t="inlineStr">
        <is>
          <t>Approved</t>
        </is>
      </c>
      <c r="O438" s="2" t="n"/>
      <c r="P438" s="2" t="n"/>
      <c r="Q438" s="2" t="n"/>
      <c r="R438" s="2" t="n"/>
    </row>
    <row r="439">
      <c r="A439" s="2" t="inlineStr">
        <is>
          <t>INV00436</t>
        </is>
      </c>
      <c r="B439" s="7" t="n">
        <v>46026</v>
      </c>
      <c r="C439" s="2" t="inlineStr">
        <is>
          <t>Google Cloud</t>
        </is>
      </c>
      <c r="D439" s="2" t="inlineStr">
        <is>
          <t>Sales</t>
        </is>
      </c>
      <c r="E439" s="2" t="inlineStr">
        <is>
          <t>Travel</t>
        </is>
      </c>
      <c r="F439" s="8" t="n">
        <v>10500</v>
      </c>
      <c r="G439" s="2" t="n">
        <v>45</v>
      </c>
      <c r="H439" s="7" t="n">
        <v>46071</v>
      </c>
      <c r="I439" s="7" t="n">
        <v>46071</v>
      </c>
      <c r="J439" s="2" t="inlineStr">
        <is>
          <t>Paid</t>
        </is>
      </c>
      <c r="K439" s="2" t="inlineStr">
        <is>
          <t>Yes</t>
        </is>
      </c>
      <c r="L439" s="9" t="n">
        <v>0.02</v>
      </c>
      <c r="M439" s="2" t="inlineStr">
        <is>
          <t>Received</t>
        </is>
      </c>
      <c r="N439" s="2" t="inlineStr">
        <is>
          <t>Approved</t>
        </is>
      </c>
      <c r="O439" s="2" t="n"/>
      <c r="P439" s="2" t="n"/>
      <c r="Q439" s="2" t="n"/>
      <c r="R439" s="2" t="n"/>
    </row>
    <row r="440">
      <c r="A440" s="2" t="inlineStr">
        <is>
          <t>INV00437</t>
        </is>
      </c>
      <c r="B440" s="7" t="n">
        <v>46062</v>
      </c>
      <c r="C440" s="2" t="inlineStr">
        <is>
          <t>Deloitte</t>
        </is>
      </c>
      <c r="D440" s="2" t="inlineStr">
        <is>
          <t>Finance</t>
        </is>
      </c>
      <c r="E440" s="2" t="inlineStr">
        <is>
          <t>Consulting</t>
        </is>
      </c>
      <c r="F440" s="8" t="n">
        <v>8700</v>
      </c>
      <c r="G440" s="2" t="n">
        <v>15</v>
      </c>
      <c r="H440" s="7" t="n">
        <v>46077</v>
      </c>
      <c r="I440" s="7" t="n">
        <v>46077</v>
      </c>
      <c r="J440" s="2" t="inlineStr">
        <is>
          <t>Paid</t>
        </is>
      </c>
      <c r="K440" s="2" t="inlineStr">
        <is>
          <t>Yes</t>
        </is>
      </c>
      <c r="L440" s="9" t="n">
        <v>0.02</v>
      </c>
      <c r="M440" s="2" t="inlineStr">
        <is>
          <t>Received</t>
        </is>
      </c>
      <c r="N440" s="2" t="inlineStr">
        <is>
          <t>Approved</t>
        </is>
      </c>
      <c r="O440" s="2" t="n"/>
      <c r="P440" s="2" t="n"/>
      <c r="Q440" s="2" t="n"/>
      <c r="R440" s="2" t="n"/>
    </row>
    <row r="441">
      <c r="A441" s="2" t="inlineStr">
        <is>
          <t>INV00438</t>
        </is>
      </c>
      <c r="B441" s="7" t="n">
        <v>46161</v>
      </c>
      <c r="C441" s="2" t="inlineStr">
        <is>
          <t>TCS</t>
        </is>
      </c>
      <c r="D441" s="2" t="inlineStr">
        <is>
          <t>Finance</t>
        </is>
      </c>
      <c r="E441" s="2" t="inlineStr">
        <is>
          <t>Software</t>
        </is>
      </c>
      <c r="F441" s="8" t="n">
        <v>504100</v>
      </c>
      <c r="G441" s="2" t="n">
        <v>45</v>
      </c>
      <c r="H441" s="7" t="n">
        <v>46206</v>
      </c>
      <c r="I441" s="7" t="n">
        <v>46206</v>
      </c>
      <c r="J441" s="2" t="inlineStr">
        <is>
          <t>Paid</t>
        </is>
      </c>
      <c r="K441" s="2" t="inlineStr">
        <is>
          <t>No</t>
        </is>
      </c>
      <c r="L441" s="9" t="n">
        <v>0</v>
      </c>
      <c r="M441" s="2" t="inlineStr">
        <is>
          <t>Received</t>
        </is>
      </c>
      <c r="N441" s="2" t="inlineStr">
        <is>
          <t>Approved</t>
        </is>
      </c>
      <c r="O441" s="2" t="n"/>
      <c r="P441" s="2" t="n"/>
      <c r="Q441" s="2" t="n"/>
      <c r="R441" s="2" t="n"/>
    </row>
    <row r="442">
      <c r="A442" s="2" t="inlineStr">
        <is>
          <t>INV00439</t>
        </is>
      </c>
      <c r="B442" s="7" t="n">
        <v>46067</v>
      </c>
      <c r="C442" s="2" t="inlineStr">
        <is>
          <t>Adobe</t>
        </is>
      </c>
      <c r="D442" s="2" t="inlineStr">
        <is>
          <t>Finance</t>
        </is>
      </c>
      <c r="E442" s="2" t="inlineStr">
        <is>
          <t>Travel</t>
        </is>
      </c>
      <c r="F442" s="8" t="n">
        <v>156000</v>
      </c>
      <c r="G442" s="2" t="n">
        <v>60</v>
      </c>
      <c r="H442" s="7" t="n">
        <v>46127</v>
      </c>
      <c r="I442" s="7" t="n">
        <v>46132</v>
      </c>
      <c r="J442" s="2" t="inlineStr">
        <is>
          <t>Paid</t>
        </is>
      </c>
      <c r="K442" s="2" t="inlineStr">
        <is>
          <t>No</t>
        </is>
      </c>
      <c r="L442" s="9" t="n">
        <v>0</v>
      </c>
      <c r="M442" s="2" t="inlineStr">
        <is>
          <t>Pending</t>
        </is>
      </c>
      <c r="N442" s="2" t="inlineStr">
        <is>
          <t>Approved</t>
        </is>
      </c>
      <c r="O442" s="2" t="n"/>
      <c r="P442" s="2" t="n"/>
      <c r="Q442" s="2" t="n"/>
      <c r="R442" s="2" t="n"/>
    </row>
    <row r="443">
      <c r="A443" s="2" t="inlineStr">
        <is>
          <t>INV00440</t>
        </is>
      </c>
      <c r="B443" s="7" t="n">
        <v>46253</v>
      </c>
      <c r="C443" s="2" t="inlineStr">
        <is>
          <t>Deloitte</t>
        </is>
      </c>
      <c r="D443" s="2" t="inlineStr">
        <is>
          <t>IT</t>
        </is>
      </c>
      <c r="E443" s="2" t="inlineStr">
        <is>
          <t>Facilities</t>
        </is>
      </c>
      <c r="F443" s="8" t="n">
        <v>482800</v>
      </c>
      <c r="G443" s="2" t="n">
        <v>60</v>
      </c>
      <c r="H443" s="7" t="n">
        <v>46313</v>
      </c>
      <c r="I443" s="7" t="n">
        <v>46373</v>
      </c>
      <c r="J443" s="2" t="inlineStr">
        <is>
          <t>Paid</t>
        </is>
      </c>
      <c r="K443" s="2" t="inlineStr">
        <is>
          <t>Yes</t>
        </is>
      </c>
      <c r="L443" s="9" t="n">
        <v>0.02</v>
      </c>
      <c r="M443" s="2" t="inlineStr">
        <is>
          <t>Pending</t>
        </is>
      </c>
      <c r="N443" s="2" t="inlineStr">
        <is>
          <t>Approved</t>
        </is>
      </c>
      <c r="O443" s="2" t="n"/>
      <c r="P443" s="2" t="n"/>
      <c r="Q443" s="2" t="n"/>
      <c r="R443" s="2" t="n"/>
    </row>
    <row r="444">
      <c r="A444" s="2" t="inlineStr">
        <is>
          <t>INV00441</t>
        </is>
      </c>
      <c r="B444" s="7" t="n">
        <v>46186</v>
      </c>
      <c r="C444" s="2" t="inlineStr">
        <is>
          <t>Deloitte</t>
        </is>
      </c>
      <c r="D444" s="2" t="inlineStr">
        <is>
          <t>Sales</t>
        </is>
      </c>
      <c r="E444" s="2" t="inlineStr">
        <is>
          <t>Travel</t>
        </is>
      </c>
      <c r="F444" s="8" t="n">
        <v>911800</v>
      </c>
      <c r="G444" s="2" t="n">
        <v>45</v>
      </c>
      <c r="H444" s="7" t="n">
        <v>46231</v>
      </c>
      <c r="I444" s="7" t="n">
        <v>46231</v>
      </c>
      <c r="J444" s="2" t="inlineStr">
        <is>
          <t>Paid</t>
        </is>
      </c>
      <c r="K444" s="2" t="inlineStr">
        <is>
          <t>Yes</t>
        </is>
      </c>
      <c r="L444" s="9" t="n">
        <v>0.02</v>
      </c>
      <c r="M444" s="2" t="inlineStr">
        <is>
          <t>Received</t>
        </is>
      </c>
      <c r="N444" s="2" t="inlineStr">
        <is>
          <t>Approved</t>
        </is>
      </c>
      <c r="O444" s="2" t="n"/>
      <c r="P444" s="2" t="n"/>
      <c r="Q444" s="2" t="n"/>
      <c r="R444" s="2" t="n"/>
    </row>
    <row r="445">
      <c r="A445" s="2" t="inlineStr">
        <is>
          <t>INV00442</t>
        </is>
      </c>
      <c r="B445" s="7" t="n">
        <v>46167</v>
      </c>
      <c r="C445" s="2" t="inlineStr">
        <is>
          <t>Oracle</t>
        </is>
      </c>
      <c r="D445" s="2" t="inlineStr">
        <is>
          <t>Marketing</t>
        </is>
      </c>
      <c r="E445" s="2" t="inlineStr">
        <is>
          <t>Office Supplies</t>
        </is>
      </c>
      <c r="F445" s="8" t="n">
        <v>129400</v>
      </c>
      <c r="G445" s="2" t="n">
        <v>30</v>
      </c>
      <c r="H445" s="7" t="n">
        <v>46197</v>
      </c>
      <c r="I445" s="7" t="n">
        <v>46202</v>
      </c>
      <c r="J445" s="2" t="inlineStr">
        <is>
          <t>Paid</t>
        </is>
      </c>
      <c r="K445" s="2" t="inlineStr">
        <is>
          <t>No</t>
        </is>
      </c>
      <c r="L445" s="9" t="n">
        <v>0</v>
      </c>
      <c r="M445" s="2" t="inlineStr">
        <is>
          <t>Received</t>
        </is>
      </c>
      <c r="N445" s="2" t="inlineStr">
        <is>
          <t>Approved</t>
        </is>
      </c>
      <c r="O445" s="2" t="n"/>
      <c r="P445" s="2" t="n"/>
      <c r="Q445" s="2" t="n"/>
      <c r="R445" s="2" t="n"/>
    </row>
    <row r="446">
      <c r="A446" s="2" t="inlineStr">
        <is>
          <t>INV00443</t>
        </is>
      </c>
      <c r="B446" s="7" t="n">
        <v>46211</v>
      </c>
      <c r="C446" s="2" t="inlineStr">
        <is>
          <t>Accenture</t>
        </is>
      </c>
      <c r="D446" s="2" t="inlineStr">
        <is>
          <t>Finance</t>
        </is>
      </c>
      <c r="E446" s="2" t="inlineStr">
        <is>
          <t>Office Supplies</t>
        </is>
      </c>
      <c r="F446" s="8" t="n">
        <v>537900</v>
      </c>
      <c r="G446" s="2" t="n">
        <v>30</v>
      </c>
      <c r="H446" s="7" t="n">
        <v>46241</v>
      </c>
      <c r="I446" s="7" t="n">
        <v>46246</v>
      </c>
      <c r="J446" s="2" t="inlineStr">
        <is>
          <t>Paid</t>
        </is>
      </c>
      <c r="K446" s="2" t="inlineStr">
        <is>
          <t>No</t>
        </is>
      </c>
      <c r="L446" s="9" t="n">
        <v>0</v>
      </c>
      <c r="M446" s="2" t="inlineStr">
        <is>
          <t>Pending</t>
        </is>
      </c>
      <c r="N446" s="2" t="inlineStr">
        <is>
          <t>Approved</t>
        </is>
      </c>
      <c r="O446" s="2" t="n"/>
      <c r="P446" s="2" t="n"/>
      <c r="Q446" s="2" t="n"/>
      <c r="R446" s="2" t="n"/>
    </row>
    <row r="447">
      <c r="A447" s="2" t="inlineStr">
        <is>
          <t>INV00444</t>
        </is>
      </c>
      <c r="B447" s="7" t="n">
        <v>46191</v>
      </c>
      <c r="C447" s="2" t="inlineStr">
        <is>
          <t>Wipro</t>
        </is>
      </c>
      <c r="D447" s="2" t="inlineStr">
        <is>
          <t>Finance</t>
        </is>
      </c>
      <c r="E447" s="2" t="inlineStr">
        <is>
          <t>Cloud</t>
        </is>
      </c>
      <c r="F447" s="8" t="n">
        <v>783900</v>
      </c>
      <c r="G447" s="2" t="n">
        <v>15</v>
      </c>
      <c r="H447" s="7" t="n">
        <v>46206</v>
      </c>
      <c r="I447" s="7" t="n">
        <v>46211</v>
      </c>
      <c r="J447" s="2" t="inlineStr">
        <is>
          <t>Paid</t>
        </is>
      </c>
      <c r="K447" s="2" t="inlineStr">
        <is>
          <t>Yes</t>
        </is>
      </c>
      <c r="L447" s="9" t="n">
        <v>0.02</v>
      </c>
      <c r="M447" s="2" t="inlineStr">
        <is>
          <t>Received</t>
        </is>
      </c>
      <c r="N447" s="2" t="inlineStr">
        <is>
          <t>Approved</t>
        </is>
      </c>
      <c r="O447" s="2" t="n"/>
      <c r="P447" s="2" t="n"/>
      <c r="Q447" s="2" t="n"/>
      <c r="R447" s="2" t="n"/>
    </row>
    <row r="448">
      <c r="A448" s="2" t="inlineStr">
        <is>
          <t>INV00445</t>
        </is>
      </c>
      <c r="B448" s="7" t="n">
        <v>46155</v>
      </c>
      <c r="C448" s="2" t="inlineStr">
        <is>
          <t>Amazon Web Services</t>
        </is>
      </c>
      <c r="D448" s="2" t="inlineStr">
        <is>
          <t>Marketing</t>
        </is>
      </c>
      <c r="E448" s="2" t="inlineStr">
        <is>
          <t>Software</t>
        </is>
      </c>
      <c r="F448" s="8" t="n">
        <v>85200</v>
      </c>
      <c r="G448" s="2" t="n">
        <v>60</v>
      </c>
      <c r="H448" s="7" t="n">
        <v>46215</v>
      </c>
      <c r="I448" s="7" t="n">
        <v>46245</v>
      </c>
      <c r="J448" s="2" t="inlineStr">
        <is>
          <t>Paid</t>
        </is>
      </c>
      <c r="K448" s="2" t="inlineStr">
        <is>
          <t>No</t>
        </is>
      </c>
      <c r="L448" s="9" t="n">
        <v>0</v>
      </c>
      <c r="M448" s="2" t="inlineStr">
        <is>
          <t>Pending</t>
        </is>
      </c>
      <c r="N448" s="2" t="inlineStr">
        <is>
          <t>Approved</t>
        </is>
      </c>
      <c r="O448" s="2" t="n"/>
      <c r="P448" s="2" t="n"/>
      <c r="Q448" s="2" t="n"/>
      <c r="R448" s="2" t="n"/>
    </row>
    <row r="449">
      <c r="A449" s="2" t="inlineStr">
        <is>
          <t>INV00446</t>
        </is>
      </c>
      <c r="B449" s="7" t="n">
        <v>46047</v>
      </c>
      <c r="C449" s="2" t="inlineStr">
        <is>
          <t>Deloitte</t>
        </is>
      </c>
      <c r="D449" s="2" t="inlineStr">
        <is>
          <t>Sales</t>
        </is>
      </c>
      <c r="E449" s="2" t="inlineStr">
        <is>
          <t>Cloud</t>
        </is>
      </c>
      <c r="F449" s="8" t="n">
        <v>542500</v>
      </c>
      <c r="G449" s="2" t="n">
        <v>60</v>
      </c>
      <c r="H449" s="7" t="n">
        <v>46107</v>
      </c>
      <c r="I449" s="7" t="n">
        <v>46112</v>
      </c>
      <c r="J449" s="2" t="inlineStr">
        <is>
          <t>Paid</t>
        </is>
      </c>
      <c r="K449" s="2" t="inlineStr">
        <is>
          <t>Yes</t>
        </is>
      </c>
      <c r="L449" s="9" t="n">
        <v>0.02</v>
      </c>
      <c r="M449" s="2" t="inlineStr">
        <is>
          <t>Received</t>
        </is>
      </c>
      <c r="N449" s="2" t="inlineStr">
        <is>
          <t>Pending</t>
        </is>
      </c>
      <c r="O449" s="2" t="n"/>
      <c r="P449" s="2" t="n"/>
      <c r="Q449" s="2" t="n"/>
      <c r="R449" s="2" t="n"/>
    </row>
    <row r="450">
      <c r="A450" s="2" t="inlineStr">
        <is>
          <t>INV00447</t>
        </is>
      </c>
      <c r="B450" s="7" t="n">
        <v>46156</v>
      </c>
      <c r="C450" s="2" t="inlineStr">
        <is>
          <t>Wipro</t>
        </is>
      </c>
      <c r="D450" s="2" t="inlineStr">
        <is>
          <t>HR</t>
        </is>
      </c>
      <c r="E450" s="2" t="inlineStr">
        <is>
          <t>Software</t>
        </is>
      </c>
      <c r="F450" s="8" t="n">
        <v>154800</v>
      </c>
      <c r="G450" s="2" t="n">
        <v>15</v>
      </c>
      <c r="H450" s="7" t="n">
        <v>46171</v>
      </c>
      <c r="I450" s="2" t="n"/>
      <c r="J450" s="2" t="inlineStr">
        <is>
          <t>Pending</t>
        </is>
      </c>
      <c r="K450" s="2" t="inlineStr">
        <is>
          <t>Yes</t>
        </is>
      </c>
      <c r="L450" s="9" t="n">
        <v>0.02</v>
      </c>
      <c r="M450" s="2" t="inlineStr">
        <is>
          <t>Pending</t>
        </is>
      </c>
      <c r="N450" s="2" t="inlineStr">
        <is>
          <t>Pending</t>
        </is>
      </c>
      <c r="O450" s="2" t="n"/>
      <c r="P450" s="2" t="n"/>
      <c r="Q450" s="2" t="n"/>
      <c r="R450" s="2" t="n"/>
    </row>
    <row r="451">
      <c r="A451" s="2" t="inlineStr">
        <is>
          <t>INV00448</t>
        </is>
      </c>
      <c r="B451" s="7" t="n">
        <v>46045</v>
      </c>
      <c r="C451" s="2" t="inlineStr">
        <is>
          <t>Google Cloud</t>
        </is>
      </c>
      <c r="D451" s="2" t="inlineStr">
        <is>
          <t>HR</t>
        </is>
      </c>
      <c r="E451" s="2" t="inlineStr">
        <is>
          <t>Software</t>
        </is>
      </c>
      <c r="F451" s="8" t="n">
        <v>426400</v>
      </c>
      <c r="G451" s="2" t="n">
        <v>45</v>
      </c>
      <c r="H451" s="7" t="n">
        <v>46090</v>
      </c>
      <c r="I451" s="7" t="n">
        <v>46105</v>
      </c>
      <c r="J451" s="2" t="inlineStr">
        <is>
          <t>Paid</t>
        </is>
      </c>
      <c r="K451" s="2" t="inlineStr">
        <is>
          <t>No</t>
        </is>
      </c>
      <c r="L451" s="9" t="n">
        <v>0</v>
      </c>
      <c r="M451" s="2" t="inlineStr">
        <is>
          <t>Received</t>
        </is>
      </c>
      <c r="N451" s="2" t="inlineStr">
        <is>
          <t>Approved</t>
        </is>
      </c>
      <c r="O451" s="2" t="n"/>
      <c r="P451" s="2" t="n"/>
      <c r="Q451" s="2" t="n"/>
      <c r="R451" s="2" t="n"/>
    </row>
    <row r="452">
      <c r="A452" s="2" t="inlineStr">
        <is>
          <t>INV00449</t>
        </is>
      </c>
      <c r="B452" s="7" t="n">
        <v>46097</v>
      </c>
      <c r="C452" s="2" t="inlineStr">
        <is>
          <t>Deloitte</t>
        </is>
      </c>
      <c r="D452" s="2" t="inlineStr">
        <is>
          <t>Finance</t>
        </is>
      </c>
      <c r="E452" s="2" t="inlineStr">
        <is>
          <t>Office Supplies</t>
        </is>
      </c>
      <c r="F452" s="8" t="n">
        <v>520200</v>
      </c>
      <c r="G452" s="2" t="n">
        <v>60</v>
      </c>
      <c r="H452" s="7" t="n">
        <v>46157</v>
      </c>
      <c r="I452" s="7" t="n">
        <v>46247</v>
      </c>
      <c r="J452" s="2" t="inlineStr">
        <is>
          <t>Paid</t>
        </is>
      </c>
      <c r="K452" s="2" t="inlineStr">
        <is>
          <t>No</t>
        </is>
      </c>
      <c r="L452" s="9" t="n">
        <v>0</v>
      </c>
      <c r="M452" s="2" t="inlineStr">
        <is>
          <t>Received</t>
        </is>
      </c>
      <c r="N452" s="2" t="inlineStr">
        <is>
          <t>Approved</t>
        </is>
      </c>
      <c r="O452" s="2" t="n"/>
      <c r="P452" s="2" t="n"/>
      <c r="Q452" s="2" t="n"/>
      <c r="R452" s="2" t="n"/>
    </row>
    <row r="453">
      <c r="A453" s="2" t="inlineStr">
        <is>
          <t>INV00450</t>
        </is>
      </c>
      <c r="B453" s="7" t="n">
        <v>46027</v>
      </c>
      <c r="C453" s="2" t="inlineStr">
        <is>
          <t>Wipro</t>
        </is>
      </c>
      <c r="D453" s="2" t="inlineStr">
        <is>
          <t>Operations</t>
        </is>
      </c>
      <c r="E453" s="2" t="inlineStr">
        <is>
          <t>Travel</t>
        </is>
      </c>
      <c r="F453" s="8" t="n">
        <v>243900</v>
      </c>
      <c r="G453" s="2" t="n">
        <v>60</v>
      </c>
      <c r="H453" s="7" t="n">
        <v>46087</v>
      </c>
      <c r="I453" s="7" t="n">
        <v>46087</v>
      </c>
      <c r="J453" s="2" t="inlineStr">
        <is>
          <t>Paid</t>
        </is>
      </c>
      <c r="K453" s="2" t="inlineStr">
        <is>
          <t>No</t>
        </is>
      </c>
      <c r="L453" s="9" t="n">
        <v>0</v>
      </c>
      <c r="M453" s="2" t="inlineStr">
        <is>
          <t>Received</t>
        </is>
      </c>
      <c r="N453" s="2" t="inlineStr">
        <is>
          <t>Approved</t>
        </is>
      </c>
      <c r="O453" s="2" t="n"/>
      <c r="P453" s="2" t="n"/>
      <c r="Q453" s="2" t="n"/>
      <c r="R453" s="2" t="n"/>
    </row>
    <row r="454">
      <c r="A454" s="2" t="inlineStr">
        <is>
          <t>INV00451</t>
        </is>
      </c>
      <c r="B454" s="7" t="n">
        <v>46223</v>
      </c>
      <c r="C454" s="2" t="inlineStr">
        <is>
          <t>Deloitte</t>
        </is>
      </c>
      <c r="D454" s="2" t="inlineStr">
        <is>
          <t>Operations</t>
        </is>
      </c>
      <c r="E454" s="2" t="inlineStr">
        <is>
          <t>Office Supplies</t>
        </is>
      </c>
      <c r="F454" s="8" t="n">
        <v>587500</v>
      </c>
      <c r="G454" s="2" t="n">
        <v>60</v>
      </c>
      <c r="H454" s="7" t="n">
        <v>46283</v>
      </c>
      <c r="I454" s="7" t="n">
        <v>46283</v>
      </c>
      <c r="J454" s="2" t="inlineStr">
        <is>
          <t>Paid</t>
        </is>
      </c>
      <c r="K454" s="2" t="inlineStr">
        <is>
          <t>Yes</t>
        </is>
      </c>
      <c r="L454" s="9" t="n">
        <v>0.02</v>
      </c>
      <c r="M454" s="2" t="inlineStr">
        <is>
          <t>Received</t>
        </is>
      </c>
      <c r="N454" s="2" t="inlineStr">
        <is>
          <t>Approved</t>
        </is>
      </c>
      <c r="O454" s="2" t="n"/>
      <c r="P454" s="2" t="n"/>
      <c r="Q454" s="2" t="n"/>
      <c r="R454" s="2" t="n"/>
    </row>
    <row r="455">
      <c r="A455" s="2" t="inlineStr">
        <is>
          <t>INV00452</t>
        </is>
      </c>
      <c r="B455" s="7" t="n">
        <v>46373</v>
      </c>
      <c r="C455" s="2" t="inlineStr">
        <is>
          <t>Infosys</t>
        </is>
      </c>
      <c r="D455" s="2" t="inlineStr">
        <is>
          <t>Operations</t>
        </is>
      </c>
      <c r="E455" s="2" t="inlineStr">
        <is>
          <t>Office Supplies</t>
        </is>
      </c>
      <c r="F455" s="8" t="n">
        <v>278400</v>
      </c>
      <c r="G455" s="2" t="n">
        <v>45</v>
      </c>
      <c r="H455" s="7" t="n">
        <v>46418</v>
      </c>
      <c r="I455" s="7" t="n">
        <v>46418</v>
      </c>
      <c r="J455" s="2" t="inlineStr">
        <is>
          <t>Paid</t>
        </is>
      </c>
      <c r="K455" s="2" t="inlineStr">
        <is>
          <t>No</t>
        </is>
      </c>
      <c r="L455" s="9" t="n">
        <v>0</v>
      </c>
      <c r="M455" s="2" t="inlineStr">
        <is>
          <t>Received</t>
        </is>
      </c>
      <c r="N455" s="2" t="inlineStr">
        <is>
          <t>Approved</t>
        </is>
      </c>
      <c r="O455" s="2" t="n"/>
      <c r="P455" s="2" t="n"/>
      <c r="Q455" s="2" t="n"/>
      <c r="R455" s="2" t="n"/>
    </row>
    <row r="456">
      <c r="A456" s="2" t="inlineStr">
        <is>
          <t>INV00453</t>
        </is>
      </c>
      <c r="B456" s="7" t="n">
        <v>46373</v>
      </c>
      <c r="C456" s="2" t="inlineStr">
        <is>
          <t>HCLTech</t>
        </is>
      </c>
      <c r="D456" s="2" t="inlineStr">
        <is>
          <t>HR</t>
        </is>
      </c>
      <c r="E456" s="2" t="inlineStr">
        <is>
          <t>Professional Services</t>
        </is>
      </c>
      <c r="F456" s="8" t="n">
        <v>133200</v>
      </c>
      <c r="G456" s="2" t="n">
        <v>15</v>
      </c>
      <c r="H456" s="7" t="n">
        <v>46388</v>
      </c>
      <c r="I456" s="7" t="n">
        <v>46403</v>
      </c>
      <c r="J456" s="2" t="inlineStr">
        <is>
          <t>Paid</t>
        </is>
      </c>
      <c r="K456" s="2" t="inlineStr">
        <is>
          <t>No</t>
        </is>
      </c>
      <c r="L456" s="9" t="n">
        <v>0</v>
      </c>
      <c r="M456" s="2" t="inlineStr">
        <is>
          <t>Received</t>
        </is>
      </c>
      <c r="N456" s="2" t="inlineStr">
        <is>
          <t>Approved</t>
        </is>
      </c>
      <c r="O456" s="2" t="n"/>
      <c r="P456" s="2" t="n"/>
      <c r="Q456" s="2" t="n"/>
      <c r="R456" s="2" t="n"/>
    </row>
    <row r="457">
      <c r="A457" s="2" t="inlineStr">
        <is>
          <t>INV00454</t>
        </is>
      </c>
      <c r="B457" s="7" t="n">
        <v>46305</v>
      </c>
      <c r="C457" s="2" t="inlineStr">
        <is>
          <t>Accenture</t>
        </is>
      </c>
      <c r="D457" s="2" t="inlineStr">
        <is>
          <t>IT</t>
        </is>
      </c>
      <c r="E457" s="2" t="inlineStr">
        <is>
          <t>Consulting</t>
        </is>
      </c>
      <c r="F457" s="8" t="n">
        <v>634500</v>
      </c>
      <c r="G457" s="2" t="n">
        <v>15</v>
      </c>
      <c r="H457" s="7" t="n">
        <v>46320</v>
      </c>
      <c r="I457" s="7" t="n">
        <v>46320</v>
      </c>
      <c r="J457" s="2" t="inlineStr">
        <is>
          <t>Paid</t>
        </is>
      </c>
      <c r="K457" s="2" t="inlineStr">
        <is>
          <t>No</t>
        </is>
      </c>
      <c r="L457" s="9" t="n">
        <v>0</v>
      </c>
      <c r="M457" s="2" t="inlineStr">
        <is>
          <t>Pending</t>
        </is>
      </c>
      <c r="N457" s="2" t="inlineStr">
        <is>
          <t>Approved</t>
        </is>
      </c>
      <c r="O457" s="2" t="n"/>
      <c r="P457" s="2" t="n"/>
      <c r="Q457" s="2" t="n"/>
      <c r="R457" s="2" t="n"/>
    </row>
    <row r="458">
      <c r="A458" s="2" t="inlineStr">
        <is>
          <t>INV00455</t>
        </is>
      </c>
      <c r="B458" s="7" t="n">
        <v>46083</v>
      </c>
      <c r="C458" s="2" t="inlineStr">
        <is>
          <t>Wipro</t>
        </is>
      </c>
      <c r="D458" s="2" t="inlineStr">
        <is>
          <t>Marketing</t>
        </is>
      </c>
      <c r="E458" s="2" t="inlineStr">
        <is>
          <t>Travel</t>
        </is>
      </c>
      <c r="F458" s="8" t="n">
        <v>183100</v>
      </c>
      <c r="G458" s="2" t="n">
        <v>45</v>
      </c>
      <c r="H458" s="7" t="n">
        <v>46128</v>
      </c>
      <c r="I458" s="7" t="n">
        <v>46133</v>
      </c>
      <c r="J458" s="2" t="inlineStr">
        <is>
          <t>Paid</t>
        </is>
      </c>
      <c r="K458" s="2" t="inlineStr">
        <is>
          <t>No</t>
        </is>
      </c>
      <c r="L458" s="9" t="n">
        <v>0</v>
      </c>
      <c r="M458" s="2" t="inlineStr">
        <is>
          <t>Received</t>
        </is>
      </c>
      <c r="N458" s="2" t="inlineStr">
        <is>
          <t>Approved</t>
        </is>
      </c>
      <c r="O458" s="2" t="n"/>
      <c r="P458" s="2" t="n"/>
      <c r="Q458" s="2" t="n"/>
      <c r="R458" s="2" t="n"/>
    </row>
    <row r="459">
      <c r="A459" s="2" t="inlineStr">
        <is>
          <t>INV00456</t>
        </is>
      </c>
      <c r="B459" s="7" t="n">
        <v>46376</v>
      </c>
      <c r="C459" s="2" t="inlineStr">
        <is>
          <t>Microsoft</t>
        </is>
      </c>
      <c r="D459" s="2" t="inlineStr">
        <is>
          <t>HR</t>
        </is>
      </c>
      <c r="E459" s="2" t="inlineStr">
        <is>
          <t>Professional Services</t>
        </is>
      </c>
      <c r="F459" s="8" t="n">
        <v>307600</v>
      </c>
      <c r="G459" s="2" t="n">
        <v>15</v>
      </c>
      <c r="H459" s="7" t="n">
        <v>46391</v>
      </c>
      <c r="I459" s="7" t="n">
        <v>46396</v>
      </c>
      <c r="J459" s="2" t="inlineStr">
        <is>
          <t>Paid</t>
        </is>
      </c>
      <c r="K459" s="2" t="inlineStr">
        <is>
          <t>Yes</t>
        </is>
      </c>
      <c r="L459" s="9" t="n">
        <v>0.02</v>
      </c>
      <c r="M459" s="2" t="inlineStr">
        <is>
          <t>Received</t>
        </is>
      </c>
      <c r="N459" s="2" t="inlineStr">
        <is>
          <t>Approved</t>
        </is>
      </c>
      <c r="O459" s="2" t="n"/>
      <c r="P459" s="2" t="n"/>
      <c r="Q459" s="2" t="n"/>
      <c r="R459" s="2" t="n"/>
    </row>
    <row r="460">
      <c r="A460" s="2" t="inlineStr">
        <is>
          <t>INV00457</t>
        </is>
      </c>
      <c r="B460" s="7" t="n">
        <v>46301</v>
      </c>
      <c r="C460" s="2" t="inlineStr">
        <is>
          <t>Zoho</t>
        </is>
      </c>
      <c r="D460" s="2" t="inlineStr">
        <is>
          <t>Marketing</t>
        </is>
      </c>
      <c r="E460" s="2" t="inlineStr">
        <is>
          <t>Travel</t>
        </is>
      </c>
      <c r="F460" s="8" t="n">
        <v>166500</v>
      </c>
      <c r="G460" s="2" t="n">
        <v>30</v>
      </c>
      <c r="H460" s="7" t="n">
        <v>46331</v>
      </c>
      <c r="I460" s="7" t="n">
        <v>46346</v>
      </c>
      <c r="J460" s="2" t="inlineStr">
        <is>
          <t>Paid</t>
        </is>
      </c>
      <c r="K460" s="2" t="inlineStr">
        <is>
          <t>No</t>
        </is>
      </c>
      <c r="L460" s="9" t="n">
        <v>0</v>
      </c>
      <c r="M460" s="2" t="inlineStr">
        <is>
          <t>Received</t>
        </is>
      </c>
      <c r="N460" s="2" t="inlineStr">
        <is>
          <t>Approved</t>
        </is>
      </c>
      <c r="O460" s="2" t="n"/>
      <c r="P460" s="2" t="n"/>
      <c r="Q460" s="2" t="n"/>
      <c r="R460" s="2" t="n"/>
    </row>
    <row r="461">
      <c r="A461" s="2" t="inlineStr">
        <is>
          <t>INV00458</t>
        </is>
      </c>
      <c r="B461" s="7" t="n">
        <v>46176</v>
      </c>
      <c r="C461" s="2" t="inlineStr">
        <is>
          <t>Deloitte</t>
        </is>
      </c>
      <c r="D461" s="2" t="inlineStr">
        <is>
          <t>Marketing</t>
        </is>
      </c>
      <c r="E461" s="2" t="inlineStr">
        <is>
          <t>Facilities</t>
        </is>
      </c>
      <c r="F461" s="8" t="n">
        <v>814600</v>
      </c>
      <c r="G461" s="2" t="n">
        <v>30</v>
      </c>
      <c r="H461" s="7" t="n">
        <v>46206</v>
      </c>
      <c r="I461" s="2" t="n"/>
      <c r="J461" s="2" t="inlineStr">
        <is>
          <t>Pending</t>
        </is>
      </c>
      <c r="K461" s="2" t="inlineStr">
        <is>
          <t>Yes</t>
        </is>
      </c>
      <c r="L461" s="9" t="n">
        <v>0.02</v>
      </c>
      <c r="M461" s="2" t="inlineStr">
        <is>
          <t>Received</t>
        </is>
      </c>
      <c r="N461" s="2" t="inlineStr">
        <is>
          <t>Approved</t>
        </is>
      </c>
      <c r="O461" s="2" t="n"/>
      <c r="P461" s="2" t="n"/>
      <c r="Q461" s="2" t="n"/>
      <c r="R461" s="2" t="n"/>
    </row>
    <row r="462">
      <c r="A462" s="2" t="inlineStr">
        <is>
          <t>INV00459</t>
        </is>
      </c>
      <c r="B462" s="7" t="n">
        <v>46131</v>
      </c>
      <c r="C462" s="2" t="inlineStr">
        <is>
          <t>Wipro</t>
        </is>
      </c>
      <c r="D462" s="2" t="inlineStr">
        <is>
          <t>HR</t>
        </is>
      </c>
      <c r="E462" s="2" t="inlineStr">
        <is>
          <t>Software</t>
        </is>
      </c>
      <c r="F462" s="8" t="n">
        <v>190100</v>
      </c>
      <c r="G462" s="2" t="n">
        <v>45</v>
      </c>
      <c r="H462" s="7" t="n">
        <v>46176</v>
      </c>
      <c r="I462" s="7" t="n">
        <v>46176</v>
      </c>
      <c r="J462" s="2" t="inlineStr">
        <is>
          <t>Paid</t>
        </is>
      </c>
      <c r="K462" s="2" t="inlineStr">
        <is>
          <t>No</t>
        </is>
      </c>
      <c r="L462" s="9" t="n">
        <v>0</v>
      </c>
      <c r="M462" s="2" t="inlineStr">
        <is>
          <t>Pending</t>
        </is>
      </c>
      <c r="N462" s="2" t="inlineStr">
        <is>
          <t>Pending</t>
        </is>
      </c>
      <c r="O462" s="2" t="n"/>
      <c r="P462" s="2" t="n"/>
      <c r="Q462" s="2" t="n"/>
      <c r="R462" s="2" t="n"/>
    </row>
    <row r="463">
      <c r="A463" s="2" t="inlineStr">
        <is>
          <t>INV00460</t>
        </is>
      </c>
      <c r="B463" s="7" t="n">
        <v>46125</v>
      </c>
      <c r="C463" s="2" t="inlineStr">
        <is>
          <t>SAP</t>
        </is>
      </c>
      <c r="D463" s="2" t="inlineStr">
        <is>
          <t>Sales</t>
        </is>
      </c>
      <c r="E463" s="2" t="inlineStr">
        <is>
          <t>Professional Services</t>
        </is>
      </c>
      <c r="F463" s="8" t="n">
        <v>647800</v>
      </c>
      <c r="G463" s="2" t="n">
        <v>60</v>
      </c>
      <c r="H463" s="7" t="n">
        <v>46185</v>
      </c>
      <c r="I463" s="7" t="n">
        <v>46245</v>
      </c>
      <c r="J463" s="2" t="inlineStr">
        <is>
          <t>Paid</t>
        </is>
      </c>
      <c r="K463" s="2" t="inlineStr">
        <is>
          <t>No</t>
        </is>
      </c>
      <c r="L463" s="9" t="n">
        <v>0</v>
      </c>
      <c r="M463" s="2" t="inlineStr">
        <is>
          <t>Received</t>
        </is>
      </c>
      <c r="N463" s="2" t="inlineStr">
        <is>
          <t>Pending</t>
        </is>
      </c>
      <c r="O463" s="2" t="n"/>
      <c r="P463" s="2" t="n"/>
      <c r="Q463" s="2" t="n"/>
      <c r="R463" s="2" t="n"/>
    </row>
    <row r="464">
      <c r="A464" s="2" t="inlineStr">
        <is>
          <t>INV00461</t>
        </is>
      </c>
      <c r="B464" s="7" t="n">
        <v>46328</v>
      </c>
      <c r="C464" s="2" t="inlineStr">
        <is>
          <t>Amazon Web Services</t>
        </is>
      </c>
      <c r="D464" s="2" t="inlineStr">
        <is>
          <t>Marketing</t>
        </is>
      </c>
      <c r="E464" s="2" t="inlineStr">
        <is>
          <t>Travel</t>
        </is>
      </c>
      <c r="F464" s="8" t="n">
        <v>573800</v>
      </c>
      <c r="G464" s="2" t="n">
        <v>45</v>
      </c>
      <c r="H464" s="7" t="n">
        <v>46373</v>
      </c>
      <c r="I464" s="7" t="n">
        <v>46373</v>
      </c>
      <c r="J464" s="2" t="inlineStr">
        <is>
          <t>Paid</t>
        </is>
      </c>
      <c r="K464" s="2" t="inlineStr">
        <is>
          <t>Yes</t>
        </is>
      </c>
      <c r="L464" s="9" t="n">
        <v>0.02</v>
      </c>
      <c r="M464" s="2" t="inlineStr">
        <is>
          <t>Received</t>
        </is>
      </c>
      <c r="N464" s="2" t="inlineStr">
        <is>
          <t>Approved</t>
        </is>
      </c>
      <c r="O464" s="2" t="n"/>
      <c r="P464" s="2" t="n"/>
      <c r="Q464" s="2" t="n"/>
      <c r="R464" s="2" t="n"/>
    </row>
    <row r="465">
      <c r="A465" s="2" t="inlineStr">
        <is>
          <t>INV00462</t>
        </is>
      </c>
      <c r="B465" s="7" t="n">
        <v>46350</v>
      </c>
      <c r="C465" s="2" t="inlineStr">
        <is>
          <t>TCS</t>
        </is>
      </c>
      <c r="D465" s="2" t="inlineStr">
        <is>
          <t>Sales</t>
        </is>
      </c>
      <c r="E465" s="2" t="inlineStr">
        <is>
          <t>Travel</t>
        </is>
      </c>
      <c r="F465" s="8" t="n">
        <v>132400</v>
      </c>
      <c r="G465" s="2" t="n">
        <v>30</v>
      </c>
      <c r="H465" s="7" t="n">
        <v>46380</v>
      </c>
      <c r="I465" s="7" t="n">
        <v>46380</v>
      </c>
      <c r="J465" s="2" t="inlineStr">
        <is>
          <t>Paid</t>
        </is>
      </c>
      <c r="K465" s="2" t="inlineStr">
        <is>
          <t>Yes</t>
        </is>
      </c>
      <c r="L465" s="9" t="n">
        <v>0.02</v>
      </c>
      <c r="M465" s="2" t="inlineStr">
        <is>
          <t>Received</t>
        </is>
      </c>
      <c r="N465" s="2" t="inlineStr">
        <is>
          <t>Approved</t>
        </is>
      </c>
      <c r="O465" s="2" t="n"/>
      <c r="P465" s="2" t="n"/>
      <c r="Q465" s="2" t="n"/>
      <c r="R465" s="2" t="n"/>
    </row>
    <row r="466">
      <c r="A466" s="2" t="inlineStr">
        <is>
          <t>INV00463</t>
        </is>
      </c>
      <c r="B466" s="7" t="n">
        <v>46269</v>
      </c>
      <c r="C466" s="2" t="inlineStr">
        <is>
          <t>SAP</t>
        </is>
      </c>
      <c r="D466" s="2" t="inlineStr">
        <is>
          <t>Operations</t>
        </is>
      </c>
      <c r="E466" s="2" t="inlineStr">
        <is>
          <t>Consulting</t>
        </is>
      </c>
      <c r="F466" s="8" t="n">
        <v>182700</v>
      </c>
      <c r="G466" s="2" t="n">
        <v>30</v>
      </c>
      <c r="H466" s="7" t="n">
        <v>46299</v>
      </c>
      <c r="I466" s="7" t="n">
        <v>46299</v>
      </c>
      <c r="J466" s="2" t="inlineStr">
        <is>
          <t>Paid</t>
        </is>
      </c>
      <c r="K466" s="2" t="inlineStr">
        <is>
          <t>No</t>
        </is>
      </c>
      <c r="L466" s="9" t="n">
        <v>0</v>
      </c>
      <c r="M466" s="2" t="inlineStr">
        <is>
          <t>Received</t>
        </is>
      </c>
      <c r="N466" s="2" t="inlineStr">
        <is>
          <t>Approved</t>
        </is>
      </c>
      <c r="O466" s="2" t="n"/>
      <c r="P466" s="2" t="n"/>
      <c r="Q466" s="2" t="n"/>
      <c r="R466" s="2" t="n"/>
    </row>
    <row r="467">
      <c r="A467" s="2" t="inlineStr">
        <is>
          <t>INV00464</t>
        </is>
      </c>
      <c r="B467" s="7" t="n">
        <v>46316</v>
      </c>
      <c r="C467" s="2" t="inlineStr">
        <is>
          <t>Amazon Web Services</t>
        </is>
      </c>
      <c r="D467" s="2" t="inlineStr">
        <is>
          <t>Sales</t>
        </is>
      </c>
      <c r="E467" s="2" t="inlineStr">
        <is>
          <t>Software</t>
        </is>
      </c>
      <c r="F467" s="8" t="n">
        <v>214800</v>
      </c>
      <c r="G467" s="2" t="n">
        <v>15</v>
      </c>
      <c r="H467" s="7" t="n">
        <v>46331</v>
      </c>
      <c r="I467" s="2" t="n"/>
      <c r="J467" s="2" t="inlineStr">
        <is>
          <t>Pending</t>
        </is>
      </c>
      <c r="K467" s="2" t="inlineStr">
        <is>
          <t>No</t>
        </is>
      </c>
      <c r="L467" s="9" t="n">
        <v>0</v>
      </c>
      <c r="M467" s="2" t="inlineStr">
        <is>
          <t>Received</t>
        </is>
      </c>
      <c r="N467" s="2" t="inlineStr">
        <is>
          <t>Approved</t>
        </is>
      </c>
      <c r="O467" s="2" t="n"/>
      <c r="P467" s="2" t="n"/>
      <c r="Q467" s="2" t="n"/>
      <c r="R467" s="2" t="n"/>
    </row>
    <row r="468">
      <c r="A468" s="2" t="inlineStr">
        <is>
          <t>INV00465</t>
        </is>
      </c>
      <c r="B468" s="7" t="n">
        <v>46074</v>
      </c>
      <c r="C468" s="2" t="inlineStr">
        <is>
          <t>IBM</t>
        </is>
      </c>
      <c r="D468" s="2" t="inlineStr">
        <is>
          <t>HR</t>
        </is>
      </c>
      <c r="E468" s="2" t="inlineStr">
        <is>
          <t>Facilities</t>
        </is>
      </c>
      <c r="F468" s="8" t="n">
        <v>750700</v>
      </c>
      <c r="G468" s="2" t="n">
        <v>60</v>
      </c>
      <c r="H468" s="7" t="n">
        <v>46134</v>
      </c>
      <c r="I468" s="7" t="n">
        <v>46149</v>
      </c>
      <c r="J468" s="2" t="inlineStr">
        <is>
          <t>Paid</t>
        </is>
      </c>
      <c r="K468" s="2" t="inlineStr">
        <is>
          <t>Yes</t>
        </is>
      </c>
      <c r="L468" s="9" t="n">
        <v>0.02</v>
      </c>
      <c r="M468" s="2" t="inlineStr">
        <is>
          <t>Received</t>
        </is>
      </c>
      <c r="N468" s="2" t="inlineStr">
        <is>
          <t>Approved</t>
        </is>
      </c>
      <c r="O468" s="2" t="n"/>
      <c r="P468" s="2" t="n"/>
      <c r="Q468" s="2" t="n"/>
      <c r="R468" s="2" t="n"/>
    </row>
    <row r="469">
      <c r="A469" s="2" t="inlineStr">
        <is>
          <t>INV00466</t>
        </is>
      </c>
      <c r="B469" s="7" t="n">
        <v>46031</v>
      </c>
      <c r="C469" s="2" t="inlineStr">
        <is>
          <t>HCLTech</t>
        </is>
      </c>
      <c r="D469" s="2" t="inlineStr">
        <is>
          <t>HR</t>
        </is>
      </c>
      <c r="E469" s="2" t="inlineStr">
        <is>
          <t>Cloud</t>
        </is>
      </c>
      <c r="F469" s="8" t="n">
        <v>22000</v>
      </c>
      <c r="G469" s="2" t="n">
        <v>60</v>
      </c>
      <c r="H469" s="7" t="n">
        <v>46091</v>
      </c>
      <c r="I469" s="7" t="n">
        <v>46091</v>
      </c>
      <c r="J469" s="2" t="inlineStr">
        <is>
          <t>Paid</t>
        </is>
      </c>
      <c r="K469" s="2" t="inlineStr">
        <is>
          <t>No</t>
        </is>
      </c>
      <c r="L469" s="9" t="n">
        <v>0</v>
      </c>
      <c r="M469" s="2" t="inlineStr">
        <is>
          <t>Received</t>
        </is>
      </c>
      <c r="N469" s="2" t="inlineStr">
        <is>
          <t>Approved</t>
        </is>
      </c>
      <c r="O469" s="2" t="n"/>
      <c r="P469" s="2" t="n"/>
      <c r="Q469" s="2" t="n"/>
      <c r="R469" s="2" t="n"/>
    </row>
    <row r="470">
      <c r="A470" s="2" t="inlineStr">
        <is>
          <t>INV00467</t>
        </is>
      </c>
      <c r="B470" s="7" t="n">
        <v>46132</v>
      </c>
      <c r="C470" s="2" t="inlineStr">
        <is>
          <t>SAP</t>
        </is>
      </c>
      <c r="D470" s="2" t="inlineStr">
        <is>
          <t>IT</t>
        </is>
      </c>
      <c r="E470" s="2" t="inlineStr">
        <is>
          <t>Professional Services</t>
        </is>
      </c>
      <c r="F470" s="8" t="n">
        <v>304700</v>
      </c>
      <c r="G470" s="2" t="n">
        <v>45</v>
      </c>
      <c r="H470" s="7" t="n">
        <v>46177</v>
      </c>
      <c r="I470" s="2" t="n"/>
      <c r="J470" s="2" t="inlineStr">
        <is>
          <t>Pending</t>
        </is>
      </c>
      <c r="K470" s="2" t="inlineStr">
        <is>
          <t>Yes</t>
        </is>
      </c>
      <c r="L470" s="9" t="n">
        <v>0.02</v>
      </c>
      <c r="M470" s="2" t="inlineStr">
        <is>
          <t>Received</t>
        </is>
      </c>
      <c r="N470" s="2" t="inlineStr">
        <is>
          <t>Approved</t>
        </is>
      </c>
      <c r="O470" s="2" t="n"/>
      <c r="P470" s="2" t="n"/>
      <c r="Q470" s="2" t="n"/>
      <c r="R470" s="2" t="n"/>
    </row>
    <row r="471">
      <c r="A471" s="2" t="inlineStr">
        <is>
          <t>INV00468</t>
        </is>
      </c>
      <c r="B471" s="7" t="n">
        <v>46024</v>
      </c>
      <c r="C471" s="2" t="inlineStr">
        <is>
          <t>SAP</t>
        </is>
      </c>
      <c r="D471" s="2" t="inlineStr">
        <is>
          <t>Operations</t>
        </is>
      </c>
      <c r="E471" s="2" t="inlineStr">
        <is>
          <t>Consulting</t>
        </is>
      </c>
      <c r="F471" s="8" t="n">
        <v>176500</v>
      </c>
      <c r="G471" s="2" t="n">
        <v>30</v>
      </c>
      <c r="H471" s="7" t="n">
        <v>46054</v>
      </c>
      <c r="I471" s="7" t="n">
        <v>46114</v>
      </c>
      <c r="J471" s="2" t="inlineStr">
        <is>
          <t>Paid</t>
        </is>
      </c>
      <c r="K471" s="2" t="inlineStr">
        <is>
          <t>No</t>
        </is>
      </c>
      <c r="L471" s="9" t="n">
        <v>0</v>
      </c>
      <c r="M471" s="2" t="inlineStr">
        <is>
          <t>Received</t>
        </is>
      </c>
      <c r="N471" s="2" t="inlineStr">
        <is>
          <t>Approved</t>
        </is>
      </c>
      <c r="O471" s="2" t="n"/>
      <c r="P471" s="2" t="n"/>
      <c r="Q471" s="2" t="n"/>
      <c r="R471" s="2" t="n"/>
    </row>
    <row r="472">
      <c r="A472" s="2" t="inlineStr">
        <is>
          <t>INV00469</t>
        </is>
      </c>
      <c r="B472" s="7" t="n">
        <v>46071</v>
      </c>
      <c r="C472" s="2" t="inlineStr">
        <is>
          <t>TCS</t>
        </is>
      </c>
      <c r="D472" s="2" t="inlineStr">
        <is>
          <t>IT</t>
        </is>
      </c>
      <c r="E472" s="2" t="inlineStr">
        <is>
          <t>Professional Services</t>
        </is>
      </c>
      <c r="F472" s="8" t="n">
        <v>651500</v>
      </c>
      <c r="G472" s="2" t="n">
        <v>60</v>
      </c>
      <c r="H472" s="7" t="n">
        <v>46131</v>
      </c>
      <c r="I472" s="7" t="n">
        <v>46131</v>
      </c>
      <c r="J472" s="2" t="inlineStr">
        <is>
          <t>Paid</t>
        </is>
      </c>
      <c r="K472" s="2" t="inlineStr">
        <is>
          <t>Yes</t>
        </is>
      </c>
      <c r="L472" s="9" t="n">
        <v>0.02</v>
      </c>
      <c r="M472" s="2" t="inlineStr">
        <is>
          <t>Pending</t>
        </is>
      </c>
      <c r="N472" s="2" t="inlineStr">
        <is>
          <t>Approved</t>
        </is>
      </c>
      <c r="O472" s="2" t="n"/>
      <c r="P472" s="2" t="n"/>
      <c r="Q472" s="2" t="n"/>
      <c r="R472" s="2" t="n"/>
    </row>
    <row r="473">
      <c r="A473" s="2" t="inlineStr">
        <is>
          <t>INV00470</t>
        </is>
      </c>
      <c r="B473" s="7" t="n">
        <v>46191</v>
      </c>
      <c r="C473" s="2" t="inlineStr">
        <is>
          <t>HCLTech</t>
        </is>
      </c>
      <c r="D473" s="2" t="inlineStr">
        <is>
          <t>HR</t>
        </is>
      </c>
      <c r="E473" s="2" t="inlineStr">
        <is>
          <t>Software</t>
        </is>
      </c>
      <c r="F473" s="8" t="n">
        <v>191300</v>
      </c>
      <c r="G473" s="2" t="n">
        <v>60</v>
      </c>
      <c r="H473" s="7" t="n">
        <v>46251</v>
      </c>
      <c r="I473" s="7" t="n">
        <v>46251</v>
      </c>
      <c r="J473" s="2" t="inlineStr">
        <is>
          <t>Paid</t>
        </is>
      </c>
      <c r="K473" s="2" t="inlineStr">
        <is>
          <t>No</t>
        </is>
      </c>
      <c r="L473" s="9" t="n">
        <v>0</v>
      </c>
      <c r="M473" s="2" t="inlineStr">
        <is>
          <t>Received</t>
        </is>
      </c>
      <c r="N473" s="2" t="inlineStr">
        <is>
          <t>Approved</t>
        </is>
      </c>
      <c r="O473" s="2" t="n"/>
      <c r="P473" s="2" t="n"/>
      <c r="Q473" s="2" t="n"/>
      <c r="R473" s="2" t="n"/>
    </row>
    <row r="474">
      <c r="A474" s="2" t="inlineStr">
        <is>
          <t>INV00471</t>
        </is>
      </c>
      <c r="B474" s="7" t="n">
        <v>46074</v>
      </c>
      <c r="C474" s="2" t="inlineStr">
        <is>
          <t>Wipro</t>
        </is>
      </c>
      <c r="D474" s="2" t="inlineStr">
        <is>
          <t>HR</t>
        </is>
      </c>
      <c r="E474" s="2" t="inlineStr">
        <is>
          <t>Professional Services</t>
        </is>
      </c>
      <c r="F474" s="8" t="n">
        <v>221900</v>
      </c>
      <c r="G474" s="2" t="n">
        <v>15</v>
      </c>
      <c r="H474" s="7" t="n">
        <v>46089</v>
      </c>
      <c r="I474" s="7" t="n">
        <v>46089</v>
      </c>
      <c r="J474" s="2" t="inlineStr">
        <is>
          <t>Paid</t>
        </is>
      </c>
      <c r="K474" s="2" t="inlineStr">
        <is>
          <t>No</t>
        </is>
      </c>
      <c r="L474" s="9" t="n">
        <v>0</v>
      </c>
      <c r="M474" s="2" t="inlineStr">
        <is>
          <t>Received</t>
        </is>
      </c>
      <c r="N474" s="2" t="inlineStr">
        <is>
          <t>Approved</t>
        </is>
      </c>
      <c r="O474" s="2" t="n"/>
      <c r="P474" s="2" t="n"/>
      <c r="Q474" s="2" t="n"/>
      <c r="R474" s="2" t="n"/>
    </row>
    <row r="475">
      <c r="A475" s="2" t="inlineStr">
        <is>
          <t>INV00472</t>
        </is>
      </c>
      <c r="B475" s="7" t="n">
        <v>46079</v>
      </c>
      <c r="C475" s="2" t="inlineStr">
        <is>
          <t>Google Cloud</t>
        </is>
      </c>
      <c r="D475" s="2" t="inlineStr">
        <is>
          <t>Sales</t>
        </is>
      </c>
      <c r="E475" s="2" t="inlineStr">
        <is>
          <t>Consulting</t>
        </is>
      </c>
      <c r="F475" s="8" t="n">
        <v>875700</v>
      </c>
      <c r="G475" s="2" t="n">
        <v>60</v>
      </c>
      <c r="H475" s="7" t="n">
        <v>46139</v>
      </c>
      <c r="I475" s="2" t="n"/>
      <c r="J475" s="2" t="inlineStr">
        <is>
          <t>Pending</t>
        </is>
      </c>
      <c r="K475" s="2" t="inlineStr">
        <is>
          <t>Yes</t>
        </is>
      </c>
      <c r="L475" s="9" t="n">
        <v>0.02</v>
      </c>
      <c r="M475" s="2" t="inlineStr">
        <is>
          <t>Received</t>
        </is>
      </c>
      <c r="N475" s="2" t="inlineStr">
        <is>
          <t>Approved</t>
        </is>
      </c>
      <c r="O475" s="2" t="n"/>
      <c r="P475" s="2" t="n"/>
      <c r="Q475" s="2" t="n"/>
      <c r="R475" s="2" t="n"/>
    </row>
    <row r="476">
      <c r="A476" s="2" t="inlineStr">
        <is>
          <t>INV00473</t>
        </is>
      </c>
      <c r="B476" s="7" t="n">
        <v>46358</v>
      </c>
      <c r="C476" s="2" t="inlineStr">
        <is>
          <t>Adobe</t>
        </is>
      </c>
      <c r="D476" s="2" t="inlineStr">
        <is>
          <t>IT</t>
        </is>
      </c>
      <c r="E476" s="2" t="inlineStr">
        <is>
          <t>Cloud</t>
        </is>
      </c>
      <c r="F476" s="8" t="n">
        <v>235300</v>
      </c>
      <c r="G476" s="2" t="n">
        <v>60</v>
      </c>
      <c r="H476" s="7" t="n">
        <v>46418</v>
      </c>
      <c r="I476" s="2" t="n"/>
      <c r="J476" s="2" t="inlineStr">
        <is>
          <t>Pending</t>
        </is>
      </c>
      <c r="K476" s="2" t="inlineStr">
        <is>
          <t>Yes</t>
        </is>
      </c>
      <c r="L476" s="9" t="n">
        <v>0.02</v>
      </c>
      <c r="M476" s="2" t="inlineStr">
        <is>
          <t>Received</t>
        </is>
      </c>
      <c r="N476" s="2" t="inlineStr">
        <is>
          <t>Approved</t>
        </is>
      </c>
      <c r="O476" s="2" t="n"/>
      <c r="P476" s="2" t="n"/>
      <c r="Q476" s="2" t="n"/>
      <c r="R476" s="2" t="n"/>
    </row>
    <row r="477">
      <c r="A477" s="2" t="inlineStr">
        <is>
          <t>INV00474</t>
        </is>
      </c>
      <c r="B477" s="7" t="n">
        <v>46255</v>
      </c>
      <c r="C477" s="2" t="inlineStr">
        <is>
          <t>Microsoft</t>
        </is>
      </c>
      <c r="D477" s="2" t="inlineStr">
        <is>
          <t>Operations</t>
        </is>
      </c>
      <c r="E477" s="2" t="inlineStr">
        <is>
          <t>Office Supplies</t>
        </is>
      </c>
      <c r="F477" s="8" t="n">
        <v>64500</v>
      </c>
      <c r="G477" s="2" t="n">
        <v>15</v>
      </c>
      <c r="H477" s="7" t="n">
        <v>46270</v>
      </c>
      <c r="I477" s="7" t="n">
        <v>46270</v>
      </c>
      <c r="J477" s="2" t="inlineStr">
        <is>
          <t>Paid</t>
        </is>
      </c>
      <c r="K477" s="2" t="inlineStr">
        <is>
          <t>Yes</t>
        </is>
      </c>
      <c r="L477" s="9" t="n">
        <v>0.02</v>
      </c>
      <c r="M477" s="2" t="inlineStr">
        <is>
          <t>Received</t>
        </is>
      </c>
      <c r="N477" s="2" t="inlineStr">
        <is>
          <t>Approved</t>
        </is>
      </c>
      <c r="O477" s="2" t="n"/>
      <c r="P477" s="2" t="n"/>
      <c r="Q477" s="2" t="n"/>
      <c r="R477" s="2" t="n"/>
    </row>
    <row r="478">
      <c r="A478" s="2" t="inlineStr">
        <is>
          <t>INV00475</t>
        </is>
      </c>
      <c r="B478" s="7" t="n">
        <v>46108</v>
      </c>
      <c r="C478" s="2" t="inlineStr">
        <is>
          <t>Accenture</t>
        </is>
      </c>
      <c r="D478" s="2" t="inlineStr">
        <is>
          <t>IT</t>
        </is>
      </c>
      <c r="E478" s="2" t="inlineStr">
        <is>
          <t>Facilities</t>
        </is>
      </c>
      <c r="F478" s="8" t="n">
        <v>33000</v>
      </c>
      <c r="G478" s="2" t="n">
        <v>15</v>
      </c>
      <c r="H478" s="7" t="n">
        <v>46123</v>
      </c>
      <c r="I478" s="7" t="n">
        <v>46123</v>
      </c>
      <c r="J478" s="2" t="inlineStr">
        <is>
          <t>Paid</t>
        </is>
      </c>
      <c r="K478" s="2" t="inlineStr">
        <is>
          <t>Yes</t>
        </is>
      </c>
      <c r="L478" s="9" t="n">
        <v>0.02</v>
      </c>
      <c r="M478" s="2" t="inlineStr">
        <is>
          <t>Received</t>
        </is>
      </c>
      <c r="N478" s="2" t="inlineStr">
        <is>
          <t>Approved</t>
        </is>
      </c>
      <c r="O478" s="2" t="n"/>
      <c r="P478" s="2" t="n"/>
      <c r="Q478" s="2" t="n"/>
      <c r="R478" s="2" t="n"/>
    </row>
    <row r="479">
      <c r="A479" s="2" t="inlineStr">
        <is>
          <t>INV00476</t>
        </is>
      </c>
      <c r="B479" s="7" t="n">
        <v>46214</v>
      </c>
      <c r="C479" s="2" t="inlineStr">
        <is>
          <t>Amazon Web Services</t>
        </is>
      </c>
      <c r="D479" s="2" t="inlineStr">
        <is>
          <t>Sales</t>
        </is>
      </c>
      <c r="E479" s="2" t="inlineStr">
        <is>
          <t>Office Supplies</t>
        </is>
      </c>
      <c r="F479" s="8" t="n">
        <v>83800</v>
      </c>
      <c r="G479" s="2" t="n">
        <v>30</v>
      </c>
      <c r="H479" s="7" t="n">
        <v>46244</v>
      </c>
      <c r="I479" s="2" t="n"/>
      <c r="J479" s="2" t="inlineStr">
        <is>
          <t>Pending</t>
        </is>
      </c>
      <c r="K479" s="2" t="inlineStr">
        <is>
          <t>No</t>
        </is>
      </c>
      <c r="L479" s="9" t="n">
        <v>0</v>
      </c>
      <c r="M479" s="2" t="inlineStr">
        <is>
          <t>Received</t>
        </is>
      </c>
      <c r="N479" s="2" t="inlineStr">
        <is>
          <t>Approved</t>
        </is>
      </c>
      <c r="O479" s="2" t="n"/>
      <c r="P479" s="2" t="n"/>
      <c r="Q479" s="2" t="n"/>
      <c r="R479" s="2" t="n"/>
    </row>
    <row r="480">
      <c r="A480" s="2" t="inlineStr">
        <is>
          <t>INV00477</t>
        </is>
      </c>
      <c r="B480" s="7" t="n">
        <v>46106</v>
      </c>
      <c r="C480" s="2" t="inlineStr">
        <is>
          <t>Adobe</t>
        </is>
      </c>
      <c r="D480" s="2" t="inlineStr">
        <is>
          <t>Finance</t>
        </is>
      </c>
      <c r="E480" s="2" t="inlineStr">
        <is>
          <t>Travel</t>
        </is>
      </c>
      <c r="F480" s="8" t="n">
        <v>140600</v>
      </c>
      <c r="G480" s="2" t="n">
        <v>45</v>
      </c>
      <c r="H480" s="7" t="n">
        <v>46151</v>
      </c>
      <c r="I480" s="7" t="n">
        <v>46166</v>
      </c>
      <c r="J480" s="2" t="inlineStr">
        <is>
          <t>Paid</t>
        </is>
      </c>
      <c r="K480" s="2" t="inlineStr">
        <is>
          <t>No</t>
        </is>
      </c>
      <c r="L480" s="9" t="n">
        <v>0</v>
      </c>
      <c r="M480" s="2" t="inlineStr">
        <is>
          <t>Received</t>
        </is>
      </c>
      <c r="N480" s="2" t="inlineStr">
        <is>
          <t>Approved</t>
        </is>
      </c>
      <c r="O480" s="2" t="n"/>
      <c r="P480" s="2" t="n"/>
      <c r="Q480" s="2" t="n"/>
      <c r="R480" s="2" t="n"/>
    </row>
    <row r="481">
      <c r="A481" s="2" t="inlineStr">
        <is>
          <t>INV00478</t>
        </is>
      </c>
      <c r="B481" s="7" t="n">
        <v>46237</v>
      </c>
      <c r="C481" s="2" t="inlineStr">
        <is>
          <t>Microsoft</t>
        </is>
      </c>
      <c r="D481" s="2" t="inlineStr">
        <is>
          <t>IT</t>
        </is>
      </c>
      <c r="E481" s="2" t="inlineStr">
        <is>
          <t>Cloud</t>
        </is>
      </c>
      <c r="F481" s="8" t="n">
        <v>695300</v>
      </c>
      <c r="G481" s="2" t="n">
        <v>15</v>
      </c>
      <c r="H481" s="7" t="n">
        <v>46252</v>
      </c>
      <c r="I481" s="7" t="n">
        <v>46282</v>
      </c>
      <c r="J481" s="2" t="inlineStr">
        <is>
          <t>Paid</t>
        </is>
      </c>
      <c r="K481" s="2" t="inlineStr">
        <is>
          <t>No</t>
        </is>
      </c>
      <c r="L481" s="9" t="n">
        <v>0</v>
      </c>
      <c r="M481" s="2" t="inlineStr">
        <is>
          <t>Received</t>
        </is>
      </c>
      <c r="N481" s="2" t="inlineStr">
        <is>
          <t>Approved</t>
        </is>
      </c>
      <c r="O481" s="2" t="n"/>
      <c r="P481" s="2" t="n"/>
      <c r="Q481" s="2" t="n"/>
      <c r="R481" s="2" t="n"/>
    </row>
    <row r="482">
      <c r="A482" s="2" t="inlineStr">
        <is>
          <t>INV00479</t>
        </is>
      </c>
      <c r="B482" s="7" t="n">
        <v>46335</v>
      </c>
      <c r="C482" s="2" t="inlineStr">
        <is>
          <t>Google Cloud</t>
        </is>
      </c>
      <c r="D482" s="2" t="inlineStr">
        <is>
          <t>Operations</t>
        </is>
      </c>
      <c r="E482" s="2" t="inlineStr">
        <is>
          <t>Professional Services</t>
        </is>
      </c>
      <c r="F482" s="8" t="n">
        <v>234800</v>
      </c>
      <c r="G482" s="2" t="n">
        <v>30</v>
      </c>
      <c r="H482" s="7" t="n">
        <v>46365</v>
      </c>
      <c r="I482" s="7" t="n">
        <v>46380</v>
      </c>
      <c r="J482" s="2" t="inlineStr">
        <is>
          <t>Paid</t>
        </is>
      </c>
      <c r="K482" s="2" t="inlineStr">
        <is>
          <t>No</t>
        </is>
      </c>
      <c r="L482" s="9" t="n">
        <v>0</v>
      </c>
      <c r="M482" s="2" t="inlineStr">
        <is>
          <t>Received</t>
        </is>
      </c>
      <c r="N482" s="2" t="inlineStr">
        <is>
          <t>Approved</t>
        </is>
      </c>
      <c r="O482" s="2" t="n"/>
      <c r="P482" s="2" t="n"/>
      <c r="Q482" s="2" t="n"/>
      <c r="R482" s="2" t="n"/>
    </row>
    <row r="483">
      <c r="A483" s="2" t="inlineStr">
        <is>
          <t>INV00480</t>
        </is>
      </c>
      <c r="B483" s="7" t="n">
        <v>46154</v>
      </c>
      <c r="C483" s="2" t="inlineStr">
        <is>
          <t>Adobe</t>
        </is>
      </c>
      <c r="D483" s="2" t="inlineStr">
        <is>
          <t>IT</t>
        </is>
      </c>
      <c r="E483" s="2" t="inlineStr">
        <is>
          <t>Office Supplies</t>
        </is>
      </c>
      <c r="F483" s="8" t="n">
        <v>52000</v>
      </c>
      <c r="G483" s="2" t="n">
        <v>30</v>
      </c>
      <c r="H483" s="7" t="n">
        <v>46184</v>
      </c>
      <c r="I483" s="7" t="n">
        <v>46214</v>
      </c>
      <c r="J483" s="2" t="inlineStr">
        <is>
          <t>Paid</t>
        </is>
      </c>
      <c r="K483" s="2" t="inlineStr">
        <is>
          <t>No</t>
        </is>
      </c>
      <c r="L483" s="9" t="n">
        <v>0</v>
      </c>
      <c r="M483" s="2" t="inlineStr">
        <is>
          <t>Received</t>
        </is>
      </c>
      <c r="N483" s="2" t="inlineStr">
        <is>
          <t>Approved</t>
        </is>
      </c>
      <c r="O483" s="2" t="n"/>
      <c r="P483" s="2" t="n"/>
      <c r="Q483" s="2" t="n"/>
      <c r="R483" s="2" t="n"/>
    </row>
    <row r="484">
      <c r="A484" s="2" t="inlineStr">
        <is>
          <t>INV00481</t>
        </is>
      </c>
      <c r="B484" s="7" t="n">
        <v>46348</v>
      </c>
      <c r="C484" s="2" t="inlineStr">
        <is>
          <t>TCS</t>
        </is>
      </c>
      <c r="D484" s="2" t="inlineStr">
        <is>
          <t>HR</t>
        </is>
      </c>
      <c r="E484" s="2" t="inlineStr">
        <is>
          <t>Software</t>
        </is>
      </c>
      <c r="F484" s="8" t="n">
        <v>361900</v>
      </c>
      <c r="G484" s="2" t="n">
        <v>30</v>
      </c>
      <c r="H484" s="7" t="n">
        <v>46378</v>
      </c>
      <c r="I484" s="7" t="n">
        <v>46378</v>
      </c>
      <c r="J484" s="2" t="inlineStr">
        <is>
          <t>Paid</t>
        </is>
      </c>
      <c r="K484" s="2" t="inlineStr">
        <is>
          <t>No</t>
        </is>
      </c>
      <c r="L484" s="9" t="n">
        <v>0</v>
      </c>
      <c r="M484" s="2" t="inlineStr">
        <is>
          <t>Received</t>
        </is>
      </c>
      <c r="N484" s="2" t="inlineStr">
        <is>
          <t>Approved</t>
        </is>
      </c>
      <c r="O484" s="2" t="n"/>
      <c r="P484" s="2" t="n"/>
      <c r="Q484" s="2" t="n"/>
      <c r="R484" s="2" t="n"/>
    </row>
    <row r="485">
      <c r="A485" s="2" t="inlineStr">
        <is>
          <t>INV00482</t>
        </is>
      </c>
      <c r="B485" s="7" t="n">
        <v>46126</v>
      </c>
      <c r="C485" s="2" t="inlineStr">
        <is>
          <t>Infosys</t>
        </is>
      </c>
      <c r="D485" s="2" t="inlineStr">
        <is>
          <t>HR</t>
        </is>
      </c>
      <c r="E485" s="2" t="inlineStr">
        <is>
          <t>Office Supplies</t>
        </is>
      </c>
      <c r="F485" s="8" t="n">
        <v>15600</v>
      </c>
      <c r="G485" s="2" t="n">
        <v>60</v>
      </c>
      <c r="H485" s="7" t="n">
        <v>46186</v>
      </c>
      <c r="I485" s="7" t="n">
        <v>46186</v>
      </c>
      <c r="J485" s="2" t="inlineStr">
        <is>
          <t>Paid</t>
        </is>
      </c>
      <c r="K485" s="2" t="inlineStr">
        <is>
          <t>No</t>
        </is>
      </c>
      <c r="L485" s="9" t="n">
        <v>0</v>
      </c>
      <c r="M485" s="2" t="inlineStr">
        <is>
          <t>Received</t>
        </is>
      </c>
      <c r="N485" s="2" t="inlineStr">
        <is>
          <t>Approved</t>
        </is>
      </c>
      <c r="O485" s="2" t="n"/>
      <c r="P485" s="2" t="n"/>
      <c r="Q485" s="2" t="n"/>
      <c r="R485" s="2" t="n"/>
    </row>
    <row r="486">
      <c r="A486" s="2" t="inlineStr">
        <is>
          <t>INV00483</t>
        </is>
      </c>
      <c r="B486" s="7" t="n">
        <v>46253</v>
      </c>
      <c r="C486" s="2" t="inlineStr">
        <is>
          <t>Accenture</t>
        </is>
      </c>
      <c r="D486" s="2" t="inlineStr">
        <is>
          <t>HR</t>
        </is>
      </c>
      <c r="E486" s="2" t="inlineStr">
        <is>
          <t>Professional Services</t>
        </is>
      </c>
      <c r="F486" s="8" t="n">
        <v>188000</v>
      </c>
      <c r="G486" s="2" t="n">
        <v>30</v>
      </c>
      <c r="H486" s="7" t="n">
        <v>46283</v>
      </c>
      <c r="I486" s="2" t="n"/>
      <c r="J486" s="2" t="inlineStr">
        <is>
          <t>Pending</t>
        </is>
      </c>
      <c r="K486" s="2" t="inlineStr">
        <is>
          <t>Yes</t>
        </is>
      </c>
      <c r="L486" s="9" t="n">
        <v>0.02</v>
      </c>
      <c r="M486" s="2" t="inlineStr">
        <is>
          <t>Received</t>
        </is>
      </c>
      <c r="N486" s="2" t="inlineStr">
        <is>
          <t>Approved</t>
        </is>
      </c>
      <c r="O486" s="2" t="n"/>
      <c r="P486" s="2" t="n"/>
      <c r="Q486" s="2" t="n"/>
      <c r="R486" s="2" t="n"/>
    </row>
    <row r="487">
      <c r="A487" s="2" t="inlineStr">
        <is>
          <t>INV00484</t>
        </is>
      </c>
      <c r="B487" s="7" t="n">
        <v>46125</v>
      </c>
      <c r="C487" s="2" t="inlineStr">
        <is>
          <t>Zoho</t>
        </is>
      </c>
      <c r="D487" s="2" t="inlineStr">
        <is>
          <t>Finance</t>
        </is>
      </c>
      <c r="E487" s="2" t="inlineStr">
        <is>
          <t>Software</t>
        </is>
      </c>
      <c r="F487" s="8" t="n">
        <v>290800</v>
      </c>
      <c r="G487" s="2" t="n">
        <v>60</v>
      </c>
      <c r="H487" s="7" t="n">
        <v>46185</v>
      </c>
      <c r="I487" s="7" t="n">
        <v>46245</v>
      </c>
      <c r="J487" s="2" t="inlineStr">
        <is>
          <t>Paid</t>
        </is>
      </c>
      <c r="K487" s="2" t="inlineStr">
        <is>
          <t>No</t>
        </is>
      </c>
      <c r="L487" s="9" t="n">
        <v>0</v>
      </c>
      <c r="M487" s="2" t="inlineStr">
        <is>
          <t>Received</t>
        </is>
      </c>
      <c r="N487" s="2" t="inlineStr">
        <is>
          <t>Approved</t>
        </is>
      </c>
      <c r="O487" s="2" t="n"/>
      <c r="P487" s="2" t="n"/>
      <c r="Q487" s="2" t="n"/>
      <c r="R487" s="2" t="n"/>
    </row>
    <row r="488">
      <c r="A488" s="2" t="inlineStr">
        <is>
          <t>INV00485</t>
        </is>
      </c>
      <c r="B488" s="7" t="n">
        <v>46363</v>
      </c>
      <c r="C488" s="2" t="inlineStr">
        <is>
          <t>SAP</t>
        </is>
      </c>
      <c r="D488" s="2" t="inlineStr">
        <is>
          <t>HR</t>
        </is>
      </c>
      <c r="E488" s="2" t="inlineStr">
        <is>
          <t>Consulting</t>
        </is>
      </c>
      <c r="F488" s="8" t="n">
        <v>87300</v>
      </c>
      <c r="G488" s="2" t="n">
        <v>30</v>
      </c>
      <c r="H488" s="7" t="n">
        <v>46393</v>
      </c>
      <c r="I488" s="7" t="n">
        <v>46393</v>
      </c>
      <c r="J488" s="2" t="inlineStr">
        <is>
          <t>Paid</t>
        </is>
      </c>
      <c r="K488" s="2" t="inlineStr">
        <is>
          <t>No</t>
        </is>
      </c>
      <c r="L488" s="9" t="n">
        <v>0</v>
      </c>
      <c r="M488" s="2" t="inlineStr">
        <is>
          <t>Received</t>
        </is>
      </c>
      <c r="N488" s="2" t="inlineStr">
        <is>
          <t>Approved</t>
        </is>
      </c>
      <c r="O488" s="2" t="n"/>
      <c r="P488" s="2" t="n"/>
      <c r="Q488" s="2" t="n"/>
      <c r="R488" s="2" t="n"/>
    </row>
    <row r="489">
      <c r="A489" s="2" t="inlineStr">
        <is>
          <t>INV00486</t>
        </is>
      </c>
      <c r="B489" s="7" t="n">
        <v>46122</v>
      </c>
      <c r="C489" s="2" t="inlineStr">
        <is>
          <t>Accenture</t>
        </is>
      </c>
      <c r="D489" s="2" t="inlineStr">
        <is>
          <t>Finance</t>
        </is>
      </c>
      <c r="E489" s="2" t="inlineStr">
        <is>
          <t>Facilities</t>
        </is>
      </c>
      <c r="F489" s="8" t="n">
        <v>146600</v>
      </c>
      <c r="G489" s="2" t="n">
        <v>30</v>
      </c>
      <c r="H489" s="7" t="n">
        <v>46152</v>
      </c>
      <c r="I489" s="7" t="n">
        <v>46182</v>
      </c>
      <c r="J489" s="2" t="inlineStr">
        <is>
          <t>Paid</t>
        </is>
      </c>
      <c r="K489" s="2" t="inlineStr">
        <is>
          <t>No</t>
        </is>
      </c>
      <c r="L489" s="9" t="n">
        <v>0</v>
      </c>
      <c r="M489" s="2" t="inlineStr">
        <is>
          <t>Pending</t>
        </is>
      </c>
      <c r="N489" s="2" t="inlineStr">
        <is>
          <t>Approved</t>
        </is>
      </c>
      <c r="O489" s="2" t="n"/>
      <c r="P489" s="2" t="n"/>
      <c r="Q489" s="2" t="n"/>
      <c r="R489" s="2" t="n"/>
    </row>
    <row r="490">
      <c r="A490" s="2" t="inlineStr">
        <is>
          <t>INV00487</t>
        </is>
      </c>
      <c r="B490" s="7" t="n">
        <v>46243</v>
      </c>
      <c r="C490" s="2" t="inlineStr">
        <is>
          <t>Microsoft</t>
        </is>
      </c>
      <c r="D490" s="2" t="inlineStr">
        <is>
          <t>Sales</t>
        </is>
      </c>
      <c r="E490" s="2" t="inlineStr">
        <is>
          <t>Professional Services</t>
        </is>
      </c>
      <c r="F490" s="8" t="n">
        <v>65700</v>
      </c>
      <c r="G490" s="2" t="n">
        <v>30</v>
      </c>
      <c r="H490" s="7" t="n">
        <v>46273</v>
      </c>
      <c r="I490" s="2" t="n"/>
      <c r="J490" s="2" t="inlineStr">
        <is>
          <t>Pending</t>
        </is>
      </c>
      <c r="K490" s="2" t="inlineStr">
        <is>
          <t>No</t>
        </is>
      </c>
      <c r="L490" s="9" t="n">
        <v>0</v>
      </c>
      <c r="M490" s="2" t="inlineStr">
        <is>
          <t>Received</t>
        </is>
      </c>
      <c r="N490" s="2" t="inlineStr">
        <is>
          <t>Approved</t>
        </is>
      </c>
      <c r="O490" s="2" t="n"/>
      <c r="P490" s="2" t="n"/>
      <c r="Q490" s="2" t="n"/>
      <c r="R490" s="2" t="n"/>
    </row>
    <row r="491">
      <c r="A491" s="2" t="inlineStr">
        <is>
          <t>INV00488</t>
        </is>
      </c>
      <c r="B491" s="7" t="n">
        <v>46036</v>
      </c>
      <c r="C491" s="2" t="inlineStr">
        <is>
          <t>Microsoft</t>
        </is>
      </c>
      <c r="D491" s="2" t="inlineStr">
        <is>
          <t>IT</t>
        </is>
      </c>
      <c r="E491" s="2" t="inlineStr">
        <is>
          <t>Professional Services</t>
        </is>
      </c>
      <c r="F491" s="8" t="n">
        <v>109300</v>
      </c>
      <c r="G491" s="2" t="n">
        <v>15</v>
      </c>
      <c r="H491" s="7" t="n">
        <v>46051</v>
      </c>
      <c r="I491" s="7" t="n">
        <v>46051</v>
      </c>
      <c r="J491" s="2" t="inlineStr">
        <is>
          <t>Paid</t>
        </is>
      </c>
      <c r="K491" s="2" t="inlineStr">
        <is>
          <t>No</t>
        </is>
      </c>
      <c r="L491" s="9" t="n">
        <v>0</v>
      </c>
      <c r="M491" s="2" t="inlineStr">
        <is>
          <t>Received</t>
        </is>
      </c>
      <c r="N491" s="2" t="inlineStr">
        <is>
          <t>Approved</t>
        </is>
      </c>
      <c r="O491" s="2" t="n"/>
      <c r="P491" s="2" t="n"/>
      <c r="Q491" s="2" t="n"/>
      <c r="R491" s="2" t="n"/>
    </row>
    <row r="492">
      <c r="A492" s="2" t="inlineStr">
        <is>
          <t>INV00489</t>
        </is>
      </c>
      <c r="B492" s="7" t="n">
        <v>46117</v>
      </c>
      <c r="C492" s="2" t="inlineStr">
        <is>
          <t>Oracle</t>
        </is>
      </c>
      <c r="D492" s="2" t="inlineStr">
        <is>
          <t>HR</t>
        </is>
      </c>
      <c r="E492" s="2" t="inlineStr">
        <is>
          <t>Cloud</t>
        </is>
      </c>
      <c r="F492" s="8" t="n">
        <v>8900</v>
      </c>
      <c r="G492" s="2" t="n">
        <v>15</v>
      </c>
      <c r="H492" s="7" t="n">
        <v>46132</v>
      </c>
      <c r="I492" s="7" t="n">
        <v>46162</v>
      </c>
      <c r="J492" s="2" t="inlineStr">
        <is>
          <t>Paid</t>
        </is>
      </c>
      <c r="K492" s="2" t="inlineStr">
        <is>
          <t>No</t>
        </is>
      </c>
      <c r="L492" s="9" t="n">
        <v>0</v>
      </c>
      <c r="M492" s="2" t="inlineStr">
        <is>
          <t>Received</t>
        </is>
      </c>
      <c r="N492" s="2" t="inlineStr">
        <is>
          <t>Approved</t>
        </is>
      </c>
      <c r="O492" s="2" t="n"/>
      <c r="P492" s="2" t="n"/>
      <c r="Q492" s="2" t="n"/>
      <c r="R492" s="2" t="n"/>
    </row>
    <row r="493">
      <c r="A493" s="2" t="inlineStr">
        <is>
          <t>INV00490</t>
        </is>
      </c>
      <c r="B493" s="7" t="n">
        <v>46109</v>
      </c>
      <c r="C493" s="2" t="inlineStr">
        <is>
          <t>Wipro</t>
        </is>
      </c>
      <c r="D493" s="2" t="inlineStr">
        <is>
          <t>Operations</t>
        </is>
      </c>
      <c r="E493" s="2" t="inlineStr">
        <is>
          <t>Cloud</t>
        </is>
      </c>
      <c r="F493" s="8" t="n">
        <v>158600</v>
      </c>
      <c r="G493" s="2" t="n">
        <v>45</v>
      </c>
      <c r="H493" s="7" t="n">
        <v>46154</v>
      </c>
      <c r="I493" s="2" t="n"/>
      <c r="J493" s="2" t="inlineStr">
        <is>
          <t>Pending</t>
        </is>
      </c>
      <c r="K493" s="2" t="inlineStr">
        <is>
          <t>Yes</t>
        </is>
      </c>
      <c r="L493" s="9" t="n">
        <v>0.02</v>
      </c>
      <c r="M493" s="2" t="inlineStr">
        <is>
          <t>Pending</t>
        </is>
      </c>
      <c r="N493" s="2" t="inlineStr">
        <is>
          <t>Approved</t>
        </is>
      </c>
      <c r="O493" s="2" t="n"/>
      <c r="P493" s="2" t="n"/>
      <c r="Q493" s="2" t="n"/>
      <c r="R493" s="2" t="n"/>
    </row>
    <row r="494">
      <c r="A494" s="2" t="inlineStr">
        <is>
          <t>INV00491</t>
        </is>
      </c>
      <c r="B494" s="7" t="n">
        <v>46032</v>
      </c>
      <c r="C494" s="2" t="inlineStr">
        <is>
          <t>Adobe</t>
        </is>
      </c>
      <c r="D494" s="2" t="inlineStr">
        <is>
          <t>HR</t>
        </is>
      </c>
      <c r="E494" s="2" t="inlineStr">
        <is>
          <t>Travel</t>
        </is>
      </c>
      <c r="F494" s="8" t="n">
        <v>310700</v>
      </c>
      <c r="G494" s="2" t="n">
        <v>30</v>
      </c>
      <c r="H494" s="7" t="n">
        <v>46062</v>
      </c>
      <c r="I494" s="2" t="n"/>
      <c r="J494" s="2" t="inlineStr">
        <is>
          <t>Pending</t>
        </is>
      </c>
      <c r="K494" s="2" t="inlineStr">
        <is>
          <t>Yes</t>
        </is>
      </c>
      <c r="L494" s="9" t="n">
        <v>0.02</v>
      </c>
      <c r="M494" s="2" t="inlineStr">
        <is>
          <t>Pending</t>
        </is>
      </c>
      <c r="N494" s="2" t="inlineStr">
        <is>
          <t>Approved</t>
        </is>
      </c>
      <c r="O494" s="2" t="n"/>
      <c r="P494" s="2" t="n"/>
      <c r="Q494" s="2" t="n"/>
      <c r="R494" s="2" t="n"/>
    </row>
    <row r="495">
      <c r="A495" s="2" t="inlineStr">
        <is>
          <t>INV00492</t>
        </is>
      </c>
      <c r="B495" s="7" t="n">
        <v>46026</v>
      </c>
      <c r="C495" s="2" t="inlineStr">
        <is>
          <t>Adobe</t>
        </is>
      </c>
      <c r="D495" s="2" t="inlineStr">
        <is>
          <t>HR</t>
        </is>
      </c>
      <c r="E495" s="2" t="inlineStr">
        <is>
          <t>Professional Services</t>
        </is>
      </c>
      <c r="F495" s="8" t="n">
        <v>94600</v>
      </c>
      <c r="G495" s="2" t="n">
        <v>15</v>
      </c>
      <c r="H495" s="7" t="n">
        <v>46041</v>
      </c>
      <c r="I495" s="7" t="n">
        <v>46056</v>
      </c>
      <c r="J495" s="2" t="inlineStr">
        <is>
          <t>Paid</t>
        </is>
      </c>
      <c r="K495" s="2" t="inlineStr">
        <is>
          <t>Yes</t>
        </is>
      </c>
      <c r="L495" s="9" t="n">
        <v>0.02</v>
      </c>
      <c r="M495" s="2" t="inlineStr">
        <is>
          <t>Received</t>
        </is>
      </c>
      <c r="N495" s="2" t="inlineStr">
        <is>
          <t>Approved</t>
        </is>
      </c>
      <c r="O495" s="2" t="n"/>
      <c r="P495" s="2" t="n"/>
      <c r="Q495" s="2" t="n"/>
      <c r="R495" s="2" t="n"/>
    </row>
    <row r="496">
      <c r="A496" s="2" t="inlineStr">
        <is>
          <t>INV00493</t>
        </is>
      </c>
      <c r="B496" s="7" t="n">
        <v>46342</v>
      </c>
      <c r="C496" s="2" t="inlineStr">
        <is>
          <t>Wipro</t>
        </is>
      </c>
      <c r="D496" s="2" t="inlineStr">
        <is>
          <t>Marketing</t>
        </is>
      </c>
      <c r="E496" s="2" t="inlineStr">
        <is>
          <t>Facilities</t>
        </is>
      </c>
      <c r="F496" s="8" t="n">
        <v>820700</v>
      </c>
      <c r="G496" s="2" t="n">
        <v>30</v>
      </c>
      <c r="H496" s="7" t="n">
        <v>46372</v>
      </c>
      <c r="I496" s="7" t="n">
        <v>46372</v>
      </c>
      <c r="J496" s="2" t="inlineStr">
        <is>
          <t>Paid</t>
        </is>
      </c>
      <c r="K496" s="2" t="inlineStr">
        <is>
          <t>No</t>
        </is>
      </c>
      <c r="L496" s="9" t="n">
        <v>0</v>
      </c>
      <c r="M496" s="2" t="inlineStr">
        <is>
          <t>Received</t>
        </is>
      </c>
      <c r="N496" s="2" t="inlineStr">
        <is>
          <t>Approved</t>
        </is>
      </c>
      <c r="O496" s="2" t="n"/>
      <c r="P496" s="2" t="n"/>
      <c r="Q496" s="2" t="n"/>
      <c r="R496" s="2" t="n"/>
    </row>
    <row r="497">
      <c r="A497" s="2" t="inlineStr">
        <is>
          <t>INV00494</t>
        </is>
      </c>
      <c r="B497" s="7" t="n">
        <v>46188</v>
      </c>
      <c r="C497" s="2" t="inlineStr">
        <is>
          <t>IBM</t>
        </is>
      </c>
      <c r="D497" s="2" t="inlineStr">
        <is>
          <t>Marketing</t>
        </is>
      </c>
      <c r="E497" s="2" t="inlineStr">
        <is>
          <t>Office Supplies</t>
        </is>
      </c>
      <c r="F497" s="8" t="n">
        <v>648900</v>
      </c>
      <c r="G497" s="2" t="n">
        <v>15</v>
      </c>
      <c r="H497" s="7" t="n">
        <v>46203</v>
      </c>
      <c r="I497" s="7" t="n">
        <v>46203</v>
      </c>
      <c r="J497" s="2" t="inlineStr">
        <is>
          <t>Paid</t>
        </is>
      </c>
      <c r="K497" s="2" t="inlineStr">
        <is>
          <t>No</t>
        </is>
      </c>
      <c r="L497" s="9" t="n">
        <v>0</v>
      </c>
      <c r="M497" s="2" t="inlineStr">
        <is>
          <t>Received</t>
        </is>
      </c>
      <c r="N497" s="2" t="inlineStr">
        <is>
          <t>Pending</t>
        </is>
      </c>
      <c r="O497" s="2" t="n"/>
      <c r="P497" s="2" t="n"/>
      <c r="Q497" s="2" t="n"/>
      <c r="R497" s="2" t="n"/>
    </row>
    <row r="498">
      <c r="A498" s="2" t="inlineStr">
        <is>
          <t>INV00495</t>
        </is>
      </c>
      <c r="B498" s="7" t="n">
        <v>46060</v>
      </c>
      <c r="C498" s="2" t="inlineStr">
        <is>
          <t>Zoho</t>
        </is>
      </c>
      <c r="D498" s="2" t="inlineStr">
        <is>
          <t>Operations</t>
        </is>
      </c>
      <c r="E498" s="2" t="inlineStr">
        <is>
          <t>Software</t>
        </is>
      </c>
      <c r="F498" s="8" t="n">
        <v>100700</v>
      </c>
      <c r="G498" s="2" t="n">
        <v>15</v>
      </c>
      <c r="H498" s="7" t="n">
        <v>46075</v>
      </c>
      <c r="I498" s="7" t="n">
        <v>46075</v>
      </c>
      <c r="J498" s="2" t="inlineStr">
        <is>
          <t>Paid</t>
        </is>
      </c>
      <c r="K498" s="2" t="inlineStr">
        <is>
          <t>No</t>
        </is>
      </c>
      <c r="L498" s="9" t="n">
        <v>0</v>
      </c>
      <c r="M498" s="2" t="inlineStr">
        <is>
          <t>Received</t>
        </is>
      </c>
      <c r="N498" s="2" t="inlineStr">
        <is>
          <t>Approved</t>
        </is>
      </c>
      <c r="O498" s="2" t="n"/>
      <c r="P498" s="2" t="n"/>
      <c r="Q498" s="2" t="n"/>
      <c r="R498" s="2" t="n"/>
    </row>
    <row r="499">
      <c r="A499" s="2" t="inlineStr">
        <is>
          <t>INV00496</t>
        </is>
      </c>
      <c r="B499" s="7" t="n">
        <v>46286</v>
      </c>
      <c r="C499" s="2" t="inlineStr">
        <is>
          <t>Microsoft</t>
        </is>
      </c>
      <c r="D499" s="2" t="inlineStr">
        <is>
          <t>HR</t>
        </is>
      </c>
      <c r="E499" s="2" t="inlineStr">
        <is>
          <t>Professional Services</t>
        </is>
      </c>
      <c r="F499" s="8" t="n">
        <v>121100</v>
      </c>
      <c r="G499" s="2" t="n">
        <v>30</v>
      </c>
      <c r="H499" s="7" t="n">
        <v>46316</v>
      </c>
      <c r="I499" s="7" t="n">
        <v>46316</v>
      </c>
      <c r="J499" s="2" t="inlineStr">
        <is>
          <t>Paid</t>
        </is>
      </c>
      <c r="K499" s="2" t="inlineStr">
        <is>
          <t>No</t>
        </is>
      </c>
      <c r="L499" s="9" t="n">
        <v>0</v>
      </c>
      <c r="M499" s="2" t="inlineStr">
        <is>
          <t>Received</t>
        </is>
      </c>
      <c r="N499" s="2" t="inlineStr">
        <is>
          <t>Pending</t>
        </is>
      </c>
      <c r="O499" s="2" t="n"/>
      <c r="P499" s="2" t="n"/>
      <c r="Q499" s="2" t="n"/>
      <c r="R499" s="2" t="n"/>
    </row>
    <row r="500">
      <c r="A500" s="2" t="inlineStr">
        <is>
          <t>INV00497</t>
        </is>
      </c>
      <c r="B500" s="7" t="n">
        <v>46337</v>
      </c>
      <c r="C500" s="2" t="inlineStr">
        <is>
          <t>Adobe</t>
        </is>
      </c>
      <c r="D500" s="2" t="inlineStr">
        <is>
          <t>Marketing</t>
        </is>
      </c>
      <c r="E500" s="2" t="inlineStr">
        <is>
          <t>Consulting</t>
        </is>
      </c>
      <c r="F500" s="8" t="n">
        <v>749400</v>
      </c>
      <c r="G500" s="2" t="n">
        <v>45</v>
      </c>
      <c r="H500" s="7" t="n">
        <v>46382</v>
      </c>
      <c r="I500" s="7" t="n">
        <v>46387</v>
      </c>
      <c r="J500" s="2" t="inlineStr">
        <is>
          <t>Paid</t>
        </is>
      </c>
      <c r="K500" s="2" t="inlineStr">
        <is>
          <t>No</t>
        </is>
      </c>
      <c r="L500" s="9" t="n">
        <v>0</v>
      </c>
      <c r="M500" s="2" t="inlineStr">
        <is>
          <t>Received</t>
        </is>
      </c>
      <c r="N500" s="2" t="inlineStr">
        <is>
          <t>Approved</t>
        </is>
      </c>
      <c r="O500" s="2" t="n"/>
      <c r="P500" s="2" t="n"/>
      <c r="Q500" s="2" t="n"/>
      <c r="R500" s="2" t="n"/>
    </row>
    <row r="501">
      <c r="A501" s="2" t="inlineStr">
        <is>
          <t>INV00498</t>
        </is>
      </c>
      <c r="B501" s="7" t="n">
        <v>46128</v>
      </c>
      <c r="C501" s="2" t="inlineStr">
        <is>
          <t>Oracle</t>
        </is>
      </c>
      <c r="D501" s="2" t="inlineStr">
        <is>
          <t>HR</t>
        </is>
      </c>
      <c r="E501" s="2" t="inlineStr">
        <is>
          <t>Facilities</t>
        </is>
      </c>
      <c r="F501" s="8" t="n">
        <v>41300</v>
      </c>
      <c r="G501" s="2" t="n">
        <v>15</v>
      </c>
      <c r="H501" s="7" t="n">
        <v>46143</v>
      </c>
      <c r="I501" s="7" t="n">
        <v>46143</v>
      </c>
      <c r="J501" s="2" t="inlineStr">
        <is>
          <t>Paid</t>
        </is>
      </c>
      <c r="K501" s="2" t="inlineStr">
        <is>
          <t>No</t>
        </is>
      </c>
      <c r="L501" s="9" t="n">
        <v>0</v>
      </c>
      <c r="M501" s="2" t="inlineStr">
        <is>
          <t>Received</t>
        </is>
      </c>
      <c r="N501" s="2" t="inlineStr">
        <is>
          <t>Approved</t>
        </is>
      </c>
      <c r="O501" s="2" t="n"/>
      <c r="P501" s="2" t="n"/>
      <c r="Q501" s="2" t="n"/>
      <c r="R501" s="2" t="n"/>
    </row>
    <row r="502">
      <c r="A502" s="2" t="inlineStr">
        <is>
          <t>INV00499</t>
        </is>
      </c>
      <c r="B502" s="7" t="n">
        <v>46379</v>
      </c>
      <c r="C502" s="2" t="inlineStr">
        <is>
          <t>Zoho</t>
        </is>
      </c>
      <c r="D502" s="2" t="inlineStr">
        <is>
          <t>Sales</t>
        </is>
      </c>
      <c r="E502" s="2" t="inlineStr">
        <is>
          <t>Facilities</t>
        </is>
      </c>
      <c r="F502" s="8" t="n">
        <v>337700</v>
      </c>
      <c r="G502" s="2" t="n">
        <v>30</v>
      </c>
      <c r="H502" s="7" t="n">
        <v>46409</v>
      </c>
      <c r="I502" s="7" t="n">
        <v>46409</v>
      </c>
      <c r="J502" s="2" t="inlineStr">
        <is>
          <t>Paid</t>
        </is>
      </c>
      <c r="K502" s="2" t="inlineStr">
        <is>
          <t>No</t>
        </is>
      </c>
      <c r="L502" s="9" t="n">
        <v>0</v>
      </c>
      <c r="M502" s="2" t="inlineStr">
        <is>
          <t>Received</t>
        </is>
      </c>
      <c r="N502" s="2" t="inlineStr">
        <is>
          <t>Approved</t>
        </is>
      </c>
      <c r="O502" s="2" t="n"/>
      <c r="P502" s="2" t="n"/>
      <c r="Q502" s="2" t="n"/>
      <c r="R502" s="2" t="n"/>
    </row>
    <row r="503">
      <c r="A503" s="2" t="inlineStr">
        <is>
          <t>INV00500</t>
        </is>
      </c>
      <c r="B503" s="7" t="n">
        <v>46337</v>
      </c>
      <c r="C503" s="2" t="inlineStr">
        <is>
          <t>Oracle</t>
        </is>
      </c>
      <c r="D503" s="2" t="inlineStr">
        <is>
          <t>Finance</t>
        </is>
      </c>
      <c r="E503" s="2" t="inlineStr">
        <is>
          <t>Consulting</t>
        </is>
      </c>
      <c r="F503" s="8" t="n">
        <v>371900</v>
      </c>
      <c r="G503" s="2" t="n">
        <v>60</v>
      </c>
      <c r="H503" s="7" t="n">
        <v>46397</v>
      </c>
      <c r="I503" s="7" t="n">
        <v>46397</v>
      </c>
      <c r="J503" s="2" t="inlineStr">
        <is>
          <t>Paid</t>
        </is>
      </c>
      <c r="K503" s="2" t="inlineStr">
        <is>
          <t>No</t>
        </is>
      </c>
      <c r="L503" s="9" t="n">
        <v>0</v>
      </c>
      <c r="M503" s="2" t="inlineStr">
        <is>
          <t>Received</t>
        </is>
      </c>
      <c r="N503" s="2" t="inlineStr">
        <is>
          <t>Pending</t>
        </is>
      </c>
      <c r="O503" s="2" t="n"/>
      <c r="P503" s="2" t="n"/>
      <c r="Q503" s="2" t="n"/>
      <c r="R503" s="2" t="n"/>
    </row>
    <row r="504">
      <c r="A504" s="2" t="inlineStr">
        <is>
          <t>INV00501</t>
        </is>
      </c>
      <c r="B504" s="7" t="n">
        <v>46178</v>
      </c>
      <c r="C504" s="2" t="inlineStr">
        <is>
          <t>Microsoft</t>
        </is>
      </c>
      <c r="D504" s="2" t="inlineStr">
        <is>
          <t>Sales</t>
        </is>
      </c>
      <c r="E504" s="2" t="inlineStr">
        <is>
          <t>Office Supplies</t>
        </is>
      </c>
      <c r="F504" s="8" t="n">
        <v>471700</v>
      </c>
      <c r="G504" s="2" t="n">
        <v>45</v>
      </c>
      <c r="H504" s="7" t="n">
        <v>46223</v>
      </c>
      <c r="I504" s="2" t="n"/>
      <c r="J504" s="2" t="inlineStr">
        <is>
          <t>Pending</t>
        </is>
      </c>
      <c r="K504" s="2" t="inlineStr">
        <is>
          <t>No</t>
        </is>
      </c>
      <c r="L504" s="9" t="n">
        <v>0</v>
      </c>
      <c r="M504" s="2" t="inlineStr">
        <is>
          <t>Pending</t>
        </is>
      </c>
      <c r="N504" s="2" t="inlineStr">
        <is>
          <t>Approved</t>
        </is>
      </c>
      <c r="O504" s="2" t="n"/>
      <c r="P504" s="2" t="n"/>
      <c r="Q504" s="2" t="n"/>
      <c r="R504" s="2" t="n"/>
    </row>
    <row r="505">
      <c r="A505" s="2" t="inlineStr">
        <is>
          <t>INV00502</t>
        </is>
      </c>
      <c r="B505" s="7" t="n">
        <v>46319</v>
      </c>
      <c r="C505" s="2" t="inlineStr">
        <is>
          <t>Zoho</t>
        </is>
      </c>
      <c r="D505" s="2" t="inlineStr">
        <is>
          <t>Operations</t>
        </is>
      </c>
      <c r="E505" s="2" t="inlineStr">
        <is>
          <t>Consulting</t>
        </is>
      </c>
      <c r="F505" s="8" t="n">
        <v>184300</v>
      </c>
      <c r="G505" s="2" t="n">
        <v>15</v>
      </c>
      <c r="H505" s="7" t="n">
        <v>46334</v>
      </c>
      <c r="I505" s="7" t="n">
        <v>46334</v>
      </c>
      <c r="J505" s="2" t="inlineStr">
        <is>
          <t>Paid</t>
        </is>
      </c>
      <c r="K505" s="2" t="inlineStr">
        <is>
          <t>Yes</t>
        </is>
      </c>
      <c r="L505" s="9" t="n">
        <v>0.02</v>
      </c>
      <c r="M505" s="2" t="inlineStr">
        <is>
          <t>Received</t>
        </is>
      </c>
      <c r="N505" s="2" t="inlineStr">
        <is>
          <t>Approved</t>
        </is>
      </c>
      <c r="O505" s="2" t="n"/>
      <c r="P505" s="2" t="n"/>
      <c r="Q505" s="2" t="n"/>
      <c r="R505" s="2" t="n"/>
    </row>
    <row r="506">
      <c r="A506" s="2" t="inlineStr">
        <is>
          <t>INV00503</t>
        </is>
      </c>
      <c r="B506" s="7" t="n">
        <v>46176</v>
      </c>
      <c r="C506" s="2" t="inlineStr">
        <is>
          <t>Oracle</t>
        </is>
      </c>
      <c r="D506" s="2" t="inlineStr">
        <is>
          <t>IT</t>
        </is>
      </c>
      <c r="E506" s="2" t="inlineStr">
        <is>
          <t>Office Supplies</t>
        </is>
      </c>
      <c r="F506" s="8" t="n">
        <v>416600</v>
      </c>
      <c r="G506" s="2" t="n">
        <v>30</v>
      </c>
      <c r="H506" s="7" t="n">
        <v>46206</v>
      </c>
      <c r="I506" s="7" t="n">
        <v>46206</v>
      </c>
      <c r="J506" s="2" t="inlineStr">
        <is>
          <t>Paid</t>
        </is>
      </c>
      <c r="K506" s="2" t="inlineStr">
        <is>
          <t>No</t>
        </is>
      </c>
      <c r="L506" s="9" t="n">
        <v>0</v>
      </c>
      <c r="M506" s="2" t="inlineStr">
        <is>
          <t>Received</t>
        </is>
      </c>
      <c r="N506" s="2" t="inlineStr">
        <is>
          <t>Pending</t>
        </is>
      </c>
      <c r="O506" s="2" t="n"/>
      <c r="P506" s="2" t="n"/>
      <c r="Q506" s="2" t="n"/>
      <c r="R506" s="2" t="n"/>
    </row>
    <row r="507">
      <c r="A507" s="2" t="inlineStr">
        <is>
          <t>INV00504</t>
        </is>
      </c>
      <c r="B507" s="7" t="n">
        <v>46278</v>
      </c>
      <c r="C507" s="2" t="inlineStr">
        <is>
          <t>TCS</t>
        </is>
      </c>
      <c r="D507" s="2" t="inlineStr">
        <is>
          <t>Operations</t>
        </is>
      </c>
      <c r="E507" s="2" t="inlineStr">
        <is>
          <t>Consulting</t>
        </is>
      </c>
      <c r="F507" s="8" t="n">
        <v>227600</v>
      </c>
      <c r="G507" s="2" t="n">
        <v>15</v>
      </c>
      <c r="H507" s="7" t="n">
        <v>46293</v>
      </c>
      <c r="I507" s="7" t="n">
        <v>46293</v>
      </c>
      <c r="J507" s="2" t="inlineStr">
        <is>
          <t>Paid</t>
        </is>
      </c>
      <c r="K507" s="2" t="inlineStr">
        <is>
          <t>No</t>
        </is>
      </c>
      <c r="L507" s="9" t="n">
        <v>0</v>
      </c>
      <c r="M507" s="2" t="inlineStr">
        <is>
          <t>Received</t>
        </is>
      </c>
      <c r="N507" s="2" t="inlineStr">
        <is>
          <t>Approved</t>
        </is>
      </c>
      <c r="O507" s="2" t="n"/>
      <c r="P507" s="2" t="n"/>
      <c r="Q507" s="2" t="n"/>
      <c r="R507" s="2" t="n"/>
    </row>
    <row r="508">
      <c r="A508" s="2" t="inlineStr">
        <is>
          <t>INV00505</t>
        </is>
      </c>
      <c r="B508" s="7" t="n">
        <v>46157</v>
      </c>
      <c r="C508" s="2" t="inlineStr">
        <is>
          <t>HCLTech</t>
        </is>
      </c>
      <c r="D508" s="2" t="inlineStr">
        <is>
          <t>Marketing</t>
        </is>
      </c>
      <c r="E508" s="2" t="inlineStr">
        <is>
          <t>Software</t>
        </is>
      </c>
      <c r="F508" s="8" t="n">
        <v>583200</v>
      </c>
      <c r="G508" s="2" t="n">
        <v>30</v>
      </c>
      <c r="H508" s="7" t="n">
        <v>46187</v>
      </c>
      <c r="I508" s="2" t="n"/>
      <c r="J508" s="2" t="inlineStr">
        <is>
          <t>Pending</t>
        </is>
      </c>
      <c r="K508" s="2" t="inlineStr">
        <is>
          <t>Yes</t>
        </is>
      </c>
      <c r="L508" s="9" t="n">
        <v>0.02</v>
      </c>
      <c r="M508" s="2" t="inlineStr">
        <is>
          <t>Received</t>
        </is>
      </c>
      <c r="N508" s="2" t="inlineStr">
        <is>
          <t>Pending</t>
        </is>
      </c>
      <c r="O508" s="2" t="n"/>
      <c r="P508" s="2" t="n"/>
      <c r="Q508" s="2" t="n"/>
      <c r="R508" s="2" t="n"/>
    </row>
    <row r="509">
      <c r="A509" s="2" t="inlineStr">
        <is>
          <t>INV00506</t>
        </is>
      </c>
      <c r="B509" s="7" t="n">
        <v>46227</v>
      </c>
      <c r="C509" s="2" t="inlineStr">
        <is>
          <t>Zoho</t>
        </is>
      </c>
      <c r="D509" s="2" t="inlineStr">
        <is>
          <t>Operations</t>
        </is>
      </c>
      <c r="E509" s="2" t="inlineStr">
        <is>
          <t>Cloud</t>
        </is>
      </c>
      <c r="F509" s="8" t="n">
        <v>477400</v>
      </c>
      <c r="G509" s="2" t="n">
        <v>15</v>
      </c>
      <c r="H509" s="7" t="n">
        <v>46242</v>
      </c>
      <c r="I509" s="7" t="n">
        <v>46332</v>
      </c>
      <c r="J509" s="2" t="inlineStr">
        <is>
          <t>Paid</t>
        </is>
      </c>
      <c r="K509" s="2" t="inlineStr">
        <is>
          <t>No</t>
        </is>
      </c>
      <c r="L509" s="9" t="n">
        <v>0</v>
      </c>
      <c r="M509" s="2" t="inlineStr">
        <is>
          <t>Received</t>
        </is>
      </c>
      <c r="N509" s="2" t="inlineStr">
        <is>
          <t>Approved</t>
        </is>
      </c>
      <c r="O509" s="2" t="n"/>
      <c r="P509" s="2" t="n"/>
      <c r="Q509" s="2" t="n"/>
      <c r="R509" s="2" t="n"/>
    </row>
    <row r="510">
      <c r="A510" s="2" t="inlineStr">
        <is>
          <t>INV00507</t>
        </is>
      </c>
      <c r="B510" s="7" t="n">
        <v>46156</v>
      </c>
      <c r="C510" s="2" t="inlineStr">
        <is>
          <t>Deloitte</t>
        </is>
      </c>
      <c r="D510" s="2" t="inlineStr">
        <is>
          <t>Marketing</t>
        </is>
      </c>
      <c r="E510" s="2" t="inlineStr">
        <is>
          <t>Professional Services</t>
        </is>
      </c>
      <c r="F510" s="8" t="n">
        <v>874200</v>
      </c>
      <c r="G510" s="2" t="n">
        <v>30</v>
      </c>
      <c r="H510" s="7" t="n">
        <v>46186</v>
      </c>
      <c r="I510" s="7" t="n">
        <v>46186</v>
      </c>
      <c r="J510" s="2" t="inlineStr">
        <is>
          <t>Paid</t>
        </is>
      </c>
      <c r="K510" s="2" t="inlineStr">
        <is>
          <t>No</t>
        </is>
      </c>
      <c r="L510" s="9" t="n">
        <v>0</v>
      </c>
      <c r="M510" s="2" t="inlineStr">
        <is>
          <t>Received</t>
        </is>
      </c>
      <c r="N510" s="2" t="inlineStr">
        <is>
          <t>Approved</t>
        </is>
      </c>
      <c r="O510" s="2" t="n"/>
      <c r="P510" s="2" t="n"/>
      <c r="Q510" s="2" t="n"/>
      <c r="R510" s="2" t="n"/>
    </row>
    <row r="511">
      <c r="A511" s="2" t="inlineStr">
        <is>
          <t>INV00508</t>
        </is>
      </c>
      <c r="B511" s="7" t="n">
        <v>46289</v>
      </c>
      <c r="C511" s="2" t="inlineStr">
        <is>
          <t>IBM</t>
        </is>
      </c>
      <c r="D511" s="2" t="inlineStr">
        <is>
          <t>Finance</t>
        </is>
      </c>
      <c r="E511" s="2" t="inlineStr">
        <is>
          <t>Software</t>
        </is>
      </c>
      <c r="F511" s="8" t="n">
        <v>475100</v>
      </c>
      <c r="G511" s="2" t="n">
        <v>15</v>
      </c>
      <c r="H511" s="7" t="n">
        <v>46304</v>
      </c>
      <c r="I511" s="7" t="n">
        <v>46309</v>
      </c>
      <c r="J511" s="2" t="inlineStr">
        <is>
          <t>Paid</t>
        </is>
      </c>
      <c r="K511" s="2" t="inlineStr">
        <is>
          <t>Yes</t>
        </is>
      </c>
      <c r="L511" s="9" t="n">
        <v>0.02</v>
      </c>
      <c r="M511" s="2" t="inlineStr">
        <is>
          <t>Received</t>
        </is>
      </c>
      <c r="N511" s="2" t="inlineStr">
        <is>
          <t>Pending</t>
        </is>
      </c>
      <c r="O511" s="2" t="n"/>
      <c r="P511" s="2" t="n"/>
      <c r="Q511" s="2" t="n"/>
      <c r="R511" s="2" t="n"/>
    </row>
    <row r="512">
      <c r="A512" s="2" t="inlineStr">
        <is>
          <t>INV00509</t>
        </is>
      </c>
      <c r="B512" s="7" t="n">
        <v>46334</v>
      </c>
      <c r="C512" s="2" t="inlineStr">
        <is>
          <t>Microsoft</t>
        </is>
      </c>
      <c r="D512" s="2" t="inlineStr">
        <is>
          <t>IT</t>
        </is>
      </c>
      <c r="E512" s="2" t="inlineStr">
        <is>
          <t>Facilities</t>
        </is>
      </c>
      <c r="F512" s="8" t="n">
        <v>978000</v>
      </c>
      <c r="G512" s="2" t="n">
        <v>45</v>
      </c>
      <c r="H512" s="7" t="n">
        <v>46379</v>
      </c>
      <c r="I512" s="7" t="n">
        <v>46384</v>
      </c>
      <c r="J512" s="2" t="inlineStr">
        <is>
          <t>Paid</t>
        </is>
      </c>
      <c r="K512" s="2" t="inlineStr">
        <is>
          <t>No</t>
        </is>
      </c>
      <c r="L512" s="9" t="n">
        <v>0</v>
      </c>
      <c r="M512" s="2" t="inlineStr">
        <is>
          <t>Received</t>
        </is>
      </c>
      <c r="N512" s="2" t="inlineStr">
        <is>
          <t>Approved</t>
        </is>
      </c>
      <c r="O512" s="2" t="n"/>
      <c r="P512" s="2" t="n"/>
      <c r="Q512" s="2" t="n"/>
      <c r="R512" s="2" t="n"/>
    </row>
    <row r="513">
      <c r="A513" s="2" t="inlineStr">
        <is>
          <t>INV00510</t>
        </is>
      </c>
      <c r="B513" s="7" t="n">
        <v>46383</v>
      </c>
      <c r="C513" s="2" t="inlineStr">
        <is>
          <t>Amazon Web Services</t>
        </is>
      </c>
      <c r="D513" s="2" t="inlineStr">
        <is>
          <t>HR</t>
        </is>
      </c>
      <c r="E513" s="2" t="inlineStr">
        <is>
          <t>Office Supplies</t>
        </is>
      </c>
      <c r="F513" s="8" t="n">
        <v>212100</v>
      </c>
      <c r="G513" s="2" t="n">
        <v>15</v>
      </c>
      <c r="H513" s="7" t="n">
        <v>46398</v>
      </c>
      <c r="I513" s="7" t="n">
        <v>46398</v>
      </c>
      <c r="J513" s="2" t="inlineStr">
        <is>
          <t>Paid</t>
        </is>
      </c>
      <c r="K513" s="2" t="inlineStr">
        <is>
          <t>No</t>
        </is>
      </c>
      <c r="L513" s="9" t="n">
        <v>0</v>
      </c>
      <c r="M513" s="2" t="inlineStr">
        <is>
          <t>Received</t>
        </is>
      </c>
      <c r="N513" s="2" t="inlineStr">
        <is>
          <t>Approved</t>
        </is>
      </c>
      <c r="O513" s="2" t="n"/>
      <c r="P513" s="2" t="n"/>
      <c r="Q513" s="2" t="n"/>
      <c r="R513" s="2" t="n"/>
    </row>
    <row r="514">
      <c r="A514" s="2" t="inlineStr">
        <is>
          <t>INV00511</t>
        </is>
      </c>
      <c r="B514" s="7" t="n">
        <v>46187</v>
      </c>
      <c r="C514" s="2" t="inlineStr">
        <is>
          <t>SAP</t>
        </is>
      </c>
      <c r="D514" s="2" t="inlineStr">
        <is>
          <t>HR</t>
        </is>
      </c>
      <c r="E514" s="2" t="inlineStr">
        <is>
          <t>Software</t>
        </is>
      </c>
      <c r="F514" s="8" t="n">
        <v>76500</v>
      </c>
      <c r="G514" s="2" t="n">
        <v>45</v>
      </c>
      <c r="H514" s="7" t="n">
        <v>46232</v>
      </c>
      <c r="I514" s="7" t="n">
        <v>46247</v>
      </c>
      <c r="J514" s="2" t="inlineStr">
        <is>
          <t>Paid</t>
        </is>
      </c>
      <c r="K514" s="2" t="inlineStr">
        <is>
          <t>Yes</t>
        </is>
      </c>
      <c r="L514" s="9" t="n">
        <v>0.02</v>
      </c>
      <c r="M514" s="2" t="inlineStr">
        <is>
          <t>Received</t>
        </is>
      </c>
      <c r="N514" s="2" t="inlineStr">
        <is>
          <t>Approved</t>
        </is>
      </c>
      <c r="O514" s="2" t="n"/>
      <c r="P514" s="2" t="n"/>
      <c r="Q514" s="2" t="n"/>
      <c r="R514" s="2" t="n"/>
    </row>
    <row r="515">
      <c r="A515" s="2" t="inlineStr">
        <is>
          <t>INV00512</t>
        </is>
      </c>
      <c r="B515" s="7" t="n">
        <v>46276</v>
      </c>
      <c r="C515" s="2" t="inlineStr">
        <is>
          <t>HCLTech</t>
        </is>
      </c>
      <c r="D515" s="2" t="inlineStr">
        <is>
          <t>HR</t>
        </is>
      </c>
      <c r="E515" s="2" t="inlineStr">
        <is>
          <t>Facilities</t>
        </is>
      </c>
      <c r="F515" s="8" t="n">
        <v>773500</v>
      </c>
      <c r="G515" s="2" t="n">
        <v>45</v>
      </c>
      <c r="H515" s="7" t="n">
        <v>46321</v>
      </c>
      <c r="I515" s="7" t="n">
        <v>46326</v>
      </c>
      <c r="J515" s="2" t="inlineStr">
        <is>
          <t>Paid</t>
        </is>
      </c>
      <c r="K515" s="2" t="inlineStr">
        <is>
          <t>No</t>
        </is>
      </c>
      <c r="L515" s="9" t="n">
        <v>0</v>
      </c>
      <c r="M515" s="2" t="inlineStr">
        <is>
          <t>Received</t>
        </is>
      </c>
      <c r="N515" s="2" t="inlineStr">
        <is>
          <t>Approved</t>
        </is>
      </c>
      <c r="O515" s="2" t="n"/>
      <c r="P515" s="2" t="n"/>
      <c r="Q515" s="2" t="n"/>
      <c r="R515" s="2" t="n"/>
    </row>
    <row r="516">
      <c r="A516" s="2" t="inlineStr">
        <is>
          <t>INV00513</t>
        </is>
      </c>
      <c r="B516" s="7" t="n">
        <v>46198</v>
      </c>
      <c r="C516" s="2" t="inlineStr">
        <is>
          <t>IBM</t>
        </is>
      </c>
      <c r="D516" s="2" t="inlineStr">
        <is>
          <t>Operations</t>
        </is>
      </c>
      <c r="E516" s="2" t="inlineStr">
        <is>
          <t>Consulting</t>
        </is>
      </c>
      <c r="F516" s="8" t="n">
        <v>30100</v>
      </c>
      <c r="G516" s="2" t="n">
        <v>30</v>
      </c>
      <c r="H516" s="7" t="n">
        <v>46228</v>
      </c>
      <c r="I516" s="2" t="n"/>
      <c r="J516" s="2" t="inlineStr">
        <is>
          <t>Pending</t>
        </is>
      </c>
      <c r="K516" s="2" t="inlineStr">
        <is>
          <t>No</t>
        </is>
      </c>
      <c r="L516" s="9" t="n">
        <v>0</v>
      </c>
      <c r="M516" s="2" t="inlineStr">
        <is>
          <t>Received</t>
        </is>
      </c>
      <c r="N516" s="2" t="inlineStr">
        <is>
          <t>Approved</t>
        </is>
      </c>
      <c r="O516" s="2" t="n"/>
      <c r="P516" s="2" t="n"/>
      <c r="Q516" s="2" t="n"/>
      <c r="R516" s="2" t="n"/>
    </row>
    <row r="517">
      <c r="A517" s="2" t="inlineStr">
        <is>
          <t>INV00514</t>
        </is>
      </c>
      <c r="B517" s="7" t="n">
        <v>46293</v>
      </c>
      <c r="C517" s="2" t="inlineStr">
        <is>
          <t>Google Cloud</t>
        </is>
      </c>
      <c r="D517" s="2" t="inlineStr">
        <is>
          <t>Sales</t>
        </is>
      </c>
      <c r="E517" s="2" t="inlineStr">
        <is>
          <t>Office Supplies</t>
        </is>
      </c>
      <c r="F517" s="8" t="n">
        <v>107200</v>
      </c>
      <c r="G517" s="2" t="n">
        <v>15</v>
      </c>
      <c r="H517" s="7" t="n">
        <v>46308</v>
      </c>
      <c r="I517" s="2" t="n"/>
      <c r="J517" s="2" t="inlineStr">
        <is>
          <t>Pending</t>
        </is>
      </c>
      <c r="K517" s="2" t="inlineStr">
        <is>
          <t>No</t>
        </is>
      </c>
      <c r="L517" s="9" t="n">
        <v>0</v>
      </c>
      <c r="M517" s="2" t="inlineStr">
        <is>
          <t>Received</t>
        </is>
      </c>
      <c r="N517" s="2" t="inlineStr">
        <is>
          <t>Approved</t>
        </is>
      </c>
      <c r="O517" s="2" t="n"/>
      <c r="P517" s="2" t="n"/>
      <c r="Q517" s="2" t="n"/>
      <c r="R517" s="2" t="n"/>
    </row>
    <row r="518">
      <c r="A518" s="2" t="inlineStr">
        <is>
          <t>INV00515</t>
        </is>
      </c>
      <c r="B518" s="7" t="n">
        <v>46178</v>
      </c>
      <c r="C518" s="2" t="inlineStr">
        <is>
          <t>HCLTech</t>
        </is>
      </c>
      <c r="D518" s="2" t="inlineStr">
        <is>
          <t>Operations</t>
        </is>
      </c>
      <c r="E518" s="2" t="inlineStr">
        <is>
          <t>Office Supplies</t>
        </is>
      </c>
      <c r="F518" s="8" t="n">
        <v>47200</v>
      </c>
      <c r="G518" s="2" t="n">
        <v>45</v>
      </c>
      <c r="H518" s="7" t="n">
        <v>46223</v>
      </c>
      <c r="I518" s="7" t="n">
        <v>46253</v>
      </c>
      <c r="J518" s="2" t="inlineStr">
        <is>
          <t>Paid</t>
        </is>
      </c>
      <c r="K518" s="2" t="inlineStr">
        <is>
          <t>Yes</t>
        </is>
      </c>
      <c r="L518" s="9" t="n">
        <v>0.02</v>
      </c>
      <c r="M518" s="2" t="inlineStr">
        <is>
          <t>Received</t>
        </is>
      </c>
      <c r="N518" s="2" t="inlineStr">
        <is>
          <t>Approved</t>
        </is>
      </c>
      <c r="O518" s="2" t="n"/>
      <c r="P518" s="2" t="n"/>
      <c r="Q518" s="2" t="n"/>
      <c r="R518" s="2" t="n"/>
    </row>
    <row r="519">
      <c r="A519" s="2" t="inlineStr">
        <is>
          <t>INV00516</t>
        </is>
      </c>
      <c r="B519" s="7" t="n">
        <v>46084</v>
      </c>
      <c r="C519" s="2" t="inlineStr">
        <is>
          <t>Adobe</t>
        </is>
      </c>
      <c r="D519" s="2" t="inlineStr">
        <is>
          <t>Sales</t>
        </is>
      </c>
      <c r="E519" s="2" t="inlineStr">
        <is>
          <t>Facilities</t>
        </is>
      </c>
      <c r="F519" s="8" t="n">
        <v>831000</v>
      </c>
      <c r="G519" s="2" t="n">
        <v>15</v>
      </c>
      <c r="H519" s="7" t="n">
        <v>46099</v>
      </c>
      <c r="I519" s="7" t="n">
        <v>46099</v>
      </c>
      <c r="J519" s="2" t="inlineStr">
        <is>
          <t>Paid</t>
        </is>
      </c>
      <c r="K519" s="2" t="inlineStr">
        <is>
          <t>No</t>
        </is>
      </c>
      <c r="L519" s="9" t="n">
        <v>0</v>
      </c>
      <c r="M519" s="2" t="inlineStr">
        <is>
          <t>Received</t>
        </is>
      </c>
      <c r="N519" s="2" t="inlineStr">
        <is>
          <t>Approved</t>
        </is>
      </c>
      <c r="O519" s="2" t="n"/>
      <c r="P519" s="2" t="n"/>
      <c r="Q519" s="2" t="n"/>
      <c r="R519" s="2" t="n"/>
    </row>
    <row r="520">
      <c r="A520" s="2" t="inlineStr">
        <is>
          <t>INV00517</t>
        </is>
      </c>
      <c r="B520" s="7" t="n">
        <v>46062</v>
      </c>
      <c r="C520" s="2" t="inlineStr">
        <is>
          <t>Microsoft</t>
        </is>
      </c>
      <c r="D520" s="2" t="inlineStr">
        <is>
          <t>IT</t>
        </is>
      </c>
      <c r="E520" s="2" t="inlineStr">
        <is>
          <t>Consulting</t>
        </is>
      </c>
      <c r="F520" s="8" t="n">
        <v>189900</v>
      </c>
      <c r="G520" s="2" t="n">
        <v>15</v>
      </c>
      <c r="H520" s="7" t="n">
        <v>46077</v>
      </c>
      <c r="I520" s="7" t="n">
        <v>46077</v>
      </c>
      <c r="J520" s="2" t="inlineStr">
        <is>
          <t>Paid</t>
        </is>
      </c>
      <c r="K520" s="2" t="inlineStr">
        <is>
          <t>No</t>
        </is>
      </c>
      <c r="L520" s="9" t="n">
        <v>0</v>
      </c>
      <c r="M520" s="2" t="inlineStr">
        <is>
          <t>Received</t>
        </is>
      </c>
      <c r="N520" s="2" t="inlineStr">
        <is>
          <t>Approved</t>
        </is>
      </c>
      <c r="O520" s="2" t="n"/>
      <c r="P520" s="2" t="n"/>
      <c r="Q520" s="2" t="n"/>
      <c r="R520" s="2" t="n"/>
    </row>
    <row r="521">
      <c r="A521" s="2" t="inlineStr">
        <is>
          <t>INV00518</t>
        </is>
      </c>
      <c r="B521" s="7" t="n">
        <v>46365</v>
      </c>
      <c r="C521" s="2" t="inlineStr">
        <is>
          <t>Accenture</t>
        </is>
      </c>
      <c r="D521" s="2" t="inlineStr">
        <is>
          <t>HR</t>
        </is>
      </c>
      <c r="E521" s="2" t="inlineStr">
        <is>
          <t>Consulting</t>
        </is>
      </c>
      <c r="F521" s="8" t="n">
        <v>214500</v>
      </c>
      <c r="G521" s="2" t="n">
        <v>30</v>
      </c>
      <c r="H521" s="7" t="n">
        <v>46395</v>
      </c>
      <c r="I521" s="7" t="n">
        <v>46395</v>
      </c>
      <c r="J521" s="2" t="inlineStr">
        <is>
          <t>Paid</t>
        </is>
      </c>
      <c r="K521" s="2" t="inlineStr">
        <is>
          <t>No</t>
        </is>
      </c>
      <c r="L521" s="9" t="n">
        <v>0</v>
      </c>
      <c r="M521" s="2" t="inlineStr">
        <is>
          <t>Received</t>
        </is>
      </c>
      <c r="N521" s="2" t="inlineStr">
        <is>
          <t>Approved</t>
        </is>
      </c>
      <c r="O521" s="2" t="n"/>
      <c r="P521" s="2" t="n"/>
      <c r="Q521" s="2" t="n"/>
      <c r="R521" s="2" t="n"/>
    </row>
    <row r="522">
      <c r="A522" s="2" t="inlineStr">
        <is>
          <t>INV00519</t>
        </is>
      </c>
      <c r="B522" s="7" t="n">
        <v>46363</v>
      </c>
      <c r="C522" s="2" t="inlineStr">
        <is>
          <t>Infosys</t>
        </is>
      </c>
      <c r="D522" s="2" t="inlineStr">
        <is>
          <t>Finance</t>
        </is>
      </c>
      <c r="E522" s="2" t="inlineStr">
        <is>
          <t>Facilities</t>
        </is>
      </c>
      <c r="F522" s="8" t="n">
        <v>243500</v>
      </c>
      <c r="G522" s="2" t="n">
        <v>15</v>
      </c>
      <c r="H522" s="7" t="n">
        <v>46378</v>
      </c>
      <c r="I522" s="2" t="n"/>
      <c r="J522" s="2" t="inlineStr">
        <is>
          <t>Pending</t>
        </is>
      </c>
      <c r="K522" s="2" t="inlineStr">
        <is>
          <t>No</t>
        </is>
      </c>
      <c r="L522" s="9" t="n">
        <v>0</v>
      </c>
      <c r="M522" s="2" t="inlineStr">
        <is>
          <t>Received</t>
        </is>
      </c>
      <c r="N522" s="2" t="inlineStr">
        <is>
          <t>Approved</t>
        </is>
      </c>
      <c r="O522" s="2" t="n"/>
      <c r="P522" s="2" t="n"/>
      <c r="Q522" s="2" t="n"/>
      <c r="R522" s="2" t="n"/>
    </row>
    <row r="523">
      <c r="A523" s="2" t="inlineStr">
        <is>
          <t>INV00520</t>
        </is>
      </c>
      <c r="B523" s="7" t="n">
        <v>46096</v>
      </c>
      <c r="C523" s="2" t="inlineStr">
        <is>
          <t>SAP</t>
        </is>
      </c>
      <c r="D523" s="2" t="inlineStr">
        <is>
          <t>IT</t>
        </is>
      </c>
      <c r="E523" s="2" t="inlineStr">
        <is>
          <t>Cloud</t>
        </is>
      </c>
      <c r="F523" s="8" t="n">
        <v>245400</v>
      </c>
      <c r="G523" s="2" t="n">
        <v>45</v>
      </c>
      <c r="H523" s="7" t="n">
        <v>46141</v>
      </c>
      <c r="I523" s="7" t="n">
        <v>46156</v>
      </c>
      <c r="J523" s="2" t="inlineStr">
        <is>
          <t>Paid</t>
        </is>
      </c>
      <c r="K523" s="2" t="inlineStr">
        <is>
          <t>Yes</t>
        </is>
      </c>
      <c r="L523" s="9" t="n">
        <v>0.02</v>
      </c>
      <c r="M523" s="2" t="inlineStr">
        <is>
          <t>Received</t>
        </is>
      </c>
      <c r="N523" s="2" t="inlineStr">
        <is>
          <t>Approved</t>
        </is>
      </c>
      <c r="O523" s="2" t="n"/>
      <c r="P523" s="2" t="n"/>
      <c r="Q523" s="2" t="n"/>
      <c r="R523" s="2" t="n"/>
    </row>
    <row r="524">
      <c r="A524" s="2" t="inlineStr">
        <is>
          <t>INV00521</t>
        </is>
      </c>
      <c r="B524" s="7" t="n">
        <v>46259</v>
      </c>
      <c r="C524" s="2" t="inlineStr">
        <is>
          <t>Oracle</t>
        </is>
      </c>
      <c r="D524" s="2" t="inlineStr">
        <is>
          <t>Sales</t>
        </is>
      </c>
      <c r="E524" s="2" t="inlineStr">
        <is>
          <t>Consulting</t>
        </is>
      </c>
      <c r="F524" s="8" t="n">
        <v>620300</v>
      </c>
      <c r="G524" s="2" t="n">
        <v>15</v>
      </c>
      <c r="H524" s="7" t="n">
        <v>46274</v>
      </c>
      <c r="I524" s="7" t="n">
        <v>46279</v>
      </c>
      <c r="J524" s="2" t="inlineStr">
        <is>
          <t>Paid</t>
        </is>
      </c>
      <c r="K524" s="2" t="inlineStr">
        <is>
          <t>Yes</t>
        </is>
      </c>
      <c r="L524" s="9" t="n">
        <v>0.02</v>
      </c>
      <c r="M524" s="2" t="inlineStr">
        <is>
          <t>Pending</t>
        </is>
      </c>
      <c r="N524" s="2" t="inlineStr">
        <is>
          <t>Approved</t>
        </is>
      </c>
      <c r="O524" s="2" t="n"/>
      <c r="P524" s="2" t="n"/>
      <c r="Q524" s="2" t="n"/>
      <c r="R524" s="2" t="n"/>
    </row>
    <row r="525">
      <c r="A525" s="2" t="inlineStr">
        <is>
          <t>INV00522</t>
        </is>
      </c>
      <c r="B525" s="7" t="n">
        <v>46279</v>
      </c>
      <c r="C525" s="2" t="inlineStr">
        <is>
          <t>Infosys</t>
        </is>
      </c>
      <c r="D525" s="2" t="inlineStr">
        <is>
          <t>Operations</t>
        </is>
      </c>
      <c r="E525" s="2" t="inlineStr">
        <is>
          <t>Cloud</t>
        </is>
      </c>
      <c r="F525" s="8" t="n">
        <v>851800</v>
      </c>
      <c r="G525" s="2" t="n">
        <v>15</v>
      </c>
      <c r="H525" s="7" t="n">
        <v>46294</v>
      </c>
      <c r="I525" s="7" t="n">
        <v>46384</v>
      </c>
      <c r="J525" s="2" t="inlineStr">
        <is>
          <t>Paid</t>
        </is>
      </c>
      <c r="K525" s="2" t="inlineStr">
        <is>
          <t>No</t>
        </is>
      </c>
      <c r="L525" s="9" t="n">
        <v>0</v>
      </c>
      <c r="M525" s="2" t="inlineStr">
        <is>
          <t>Received</t>
        </is>
      </c>
      <c r="N525" s="2" t="inlineStr">
        <is>
          <t>Approved</t>
        </is>
      </c>
      <c r="O525" s="2" t="n"/>
      <c r="P525" s="2" t="n"/>
      <c r="Q525" s="2" t="n"/>
      <c r="R525" s="2" t="n"/>
    </row>
    <row r="526">
      <c r="A526" s="2" t="inlineStr">
        <is>
          <t>INV00523</t>
        </is>
      </c>
      <c r="B526" s="7" t="n">
        <v>46348</v>
      </c>
      <c r="C526" s="2" t="inlineStr">
        <is>
          <t>Amazon Web Services</t>
        </is>
      </c>
      <c r="D526" s="2" t="inlineStr">
        <is>
          <t>IT</t>
        </is>
      </c>
      <c r="E526" s="2" t="inlineStr">
        <is>
          <t>Cloud</t>
        </is>
      </c>
      <c r="F526" s="8" t="n">
        <v>103200</v>
      </c>
      <c r="G526" s="2" t="n">
        <v>60</v>
      </c>
      <c r="H526" s="7" t="n">
        <v>46408</v>
      </c>
      <c r="I526" s="2" t="n"/>
      <c r="J526" s="2" t="inlineStr">
        <is>
          <t>Pending</t>
        </is>
      </c>
      <c r="K526" s="2" t="inlineStr">
        <is>
          <t>No</t>
        </is>
      </c>
      <c r="L526" s="9" t="n">
        <v>0</v>
      </c>
      <c r="M526" s="2" t="inlineStr">
        <is>
          <t>Received</t>
        </is>
      </c>
      <c r="N526" s="2" t="inlineStr">
        <is>
          <t>Approved</t>
        </is>
      </c>
      <c r="O526" s="2" t="n"/>
      <c r="P526" s="2" t="n"/>
      <c r="Q526" s="2" t="n"/>
      <c r="R526" s="2" t="n"/>
    </row>
    <row r="527">
      <c r="A527" s="2" t="inlineStr">
        <is>
          <t>INV00524</t>
        </is>
      </c>
      <c r="B527" s="7" t="n">
        <v>46123</v>
      </c>
      <c r="C527" s="2" t="inlineStr">
        <is>
          <t>TCS</t>
        </is>
      </c>
      <c r="D527" s="2" t="inlineStr">
        <is>
          <t>Marketing</t>
        </is>
      </c>
      <c r="E527" s="2" t="inlineStr">
        <is>
          <t>Facilities</t>
        </is>
      </c>
      <c r="F527" s="8" t="n">
        <v>878600</v>
      </c>
      <c r="G527" s="2" t="n">
        <v>60</v>
      </c>
      <c r="H527" s="7" t="n">
        <v>46183</v>
      </c>
      <c r="I527" s="7" t="n">
        <v>46198</v>
      </c>
      <c r="J527" s="2" t="inlineStr">
        <is>
          <t>Paid</t>
        </is>
      </c>
      <c r="K527" s="2" t="inlineStr">
        <is>
          <t>No</t>
        </is>
      </c>
      <c r="L527" s="9" t="n">
        <v>0</v>
      </c>
      <c r="M527" s="2" t="inlineStr">
        <is>
          <t>Received</t>
        </is>
      </c>
      <c r="N527" s="2" t="inlineStr">
        <is>
          <t>Approved</t>
        </is>
      </c>
      <c r="O527" s="2" t="n"/>
      <c r="P527" s="2" t="n"/>
      <c r="Q527" s="2" t="n"/>
      <c r="R527" s="2" t="n"/>
    </row>
    <row r="528">
      <c r="A528" s="2" t="inlineStr">
        <is>
          <t>INV00525</t>
        </is>
      </c>
      <c r="B528" s="7" t="n">
        <v>46339</v>
      </c>
      <c r="C528" s="2" t="inlineStr">
        <is>
          <t>Oracle</t>
        </is>
      </c>
      <c r="D528" s="2" t="inlineStr">
        <is>
          <t>Operations</t>
        </is>
      </c>
      <c r="E528" s="2" t="inlineStr">
        <is>
          <t>Travel</t>
        </is>
      </c>
      <c r="F528" s="8" t="n">
        <v>246900</v>
      </c>
      <c r="G528" s="2" t="n">
        <v>60</v>
      </c>
      <c r="H528" s="7" t="n">
        <v>46399</v>
      </c>
      <c r="I528" s="2" t="n"/>
      <c r="J528" s="2" t="inlineStr">
        <is>
          <t>Pending</t>
        </is>
      </c>
      <c r="K528" s="2" t="inlineStr">
        <is>
          <t>Yes</t>
        </is>
      </c>
      <c r="L528" s="9" t="n">
        <v>0.02</v>
      </c>
      <c r="M528" s="2" t="inlineStr">
        <is>
          <t>Received</t>
        </is>
      </c>
      <c r="N528" s="2" t="inlineStr">
        <is>
          <t>Approved</t>
        </is>
      </c>
      <c r="O528" s="2" t="n"/>
      <c r="P528" s="2" t="n"/>
      <c r="Q528" s="2" t="n"/>
      <c r="R528" s="2" t="n"/>
    </row>
    <row r="529">
      <c r="A529" s="2" t="inlineStr">
        <is>
          <t>INV00526</t>
        </is>
      </c>
      <c r="B529" s="7" t="n">
        <v>46331</v>
      </c>
      <c r="C529" s="2" t="inlineStr">
        <is>
          <t>Microsoft</t>
        </is>
      </c>
      <c r="D529" s="2" t="inlineStr">
        <is>
          <t>IT</t>
        </is>
      </c>
      <c r="E529" s="2" t="inlineStr">
        <is>
          <t>Travel</t>
        </is>
      </c>
      <c r="F529" s="8" t="n">
        <v>208400</v>
      </c>
      <c r="G529" s="2" t="n">
        <v>15</v>
      </c>
      <c r="H529" s="7" t="n">
        <v>46346</v>
      </c>
      <c r="I529" s="2" t="n"/>
      <c r="J529" s="2" t="inlineStr">
        <is>
          <t>Pending</t>
        </is>
      </c>
      <c r="K529" s="2" t="inlineStr">
        <is>
          <t>No</t>
        </is>
      </c>
      <c r="L529" s="9" t="n">
        <v>0</v>
      </c>
      <c r="M529" s="2" t="inlineStr">
        <is>
          <t>Received</t>
        </is>
      </c>
      <c r="N529" s="2" t="inlineStr">
        <is>
          <t>Approved</t>
        </is>
      </c>
      <c r="O529" s="2" t="n"/>
      <c r="P529" s="2" t="n"/>
      <c r="Q529" s="2" t="n"/>
      <c r="R529" s="2" t="n"/>
    </row>
    <row r="530">
      <c r="A530" s="2" t="inlineStr">
        <is>
          <t>INV00527</t>
        </is>
      </c>
      <c r="B530" s="7" t="n">
        <v>46315</v>
      </c>
      <c r="C530" s="2" t="inlineStr">
        <is>
          <t>Amazon Web Services</t>
        </is>
      </c>
      <c r="D530" s="2" t="inlineStr">
        <is>
          <t>IT</t>
        </is>
      </c>
      <c r="E530" s="2" t="inlineStr">
        <is>
          <t>Travel</t>
        </is>
      </c>
      <c r="F530" s="8" t="n">
        <v>401400</v>
      </c>
      <c r="G530" s="2" t="n">
        <v>60</v>
      </c>
      <c r="H530" s="7" t="n">
        <v>46375</v>
      </c>
      <c r="I530" s="7" t="n">
        <v>46375</v>
      </c>
      <c r="J530" s="2" t="inlineStr">
        <is>
          <t>Paid</t>
        </is>
      </c>
      <c r="K530" s="2" t="inlineStr">
        <is>
          <t>Yes</t>
        </is>
      </c>
      <c r="L530" s="9" t="n">
        <v>0.02</v>
      </c>
      <c r="M530" s="2" t="inlineStr">
        <is>
          <t>Received</t>
        </is>
      </c>
      <c r="N530" s="2" t="inlineStr">
        <is>
          <t>Approved</t>
        </is>
      </c>
      <c r="O530" s="2" t="n"/>
      <c r="P530" s="2" t="n"/>
      <c r="Q530" s="2" t="n"/>
      <c r="R530" s="2" t="n"/>
    </row>
    <row r="531">
      <c r="A531" s="2" t="inlineStr">
        <is>
          <t>INV00528</t>
        </is>
      </c>
      <c r="B531" s="7" t="n">
        <v>46036</v>
      </c>
      <c r="C531" s="2" t="inlineStr">
        <is>
          <t>Zoho</t>
        </is>
      </c>
      <c r="D531" s="2" t="inlineStr">
        <is>
          <t>IT</t>
        </is>
      </c>
      <c r="E531" s="2" t="inlineStr">
        <is>
          <t>Professional Services</t>
        </is>
      </c>
      <c r="F531" s="8" t="n">
        <v>532300</v>
      </c>
      <c r="G531" s="2" t="n">
        <v>60</v>
      </c>
      <c r="H531" s="7" t="n">
        <v>46096</v>
      </c>
      <c r="I531" s="7" t="n">
        <v>46096</v>
      </c>
      <c r="J531" s="2" t="inlineStr">
        <is>
          <t>Paid</t>
        </is>
      </c>
      <c r="K531" s="2" t="inlineStr">
        <is>
          <t>No</t>
        </is>
      </c>
      <c r="L531" s="9" t="n">
        <v>0</v>
      </c>
      <c r="M531" s="2" t="inlineStr">
        <is>
          <t>Received</t>
        </is>
      </c>
      <c r="N531" s="2" t="inlineStr">
        <is>
          <t>Approved</t>
        </is>
      </c>
      <c r="O531" s="2" t="n"/>
      <c r="P531" s="2" t="n"/>
      <c r="Q531" s="2" t="n"/>
      <c r="R531" s="2" t="n"/>
    </row>
    <row r="532">
      <c r="A532" s="2" t="inlineStr">
        <is>
          <t>INV00529</t>
        </is>
      </c>
      <c r="B532" s="7" t="n">
        <v>46097</v>
      </c>
      <c r="C532" s="2" t="inlineStr">
        <is>
          <t>Adobe</t>
        </is>
      </c>
      <c r="D532" s="2" t="inlineStr">
        <is>
          <t>Finance</t>
        </is>
      </c>
      <c r="E532" s="2" t="inlineStr">
        <is>
          <t>Consulting</t>
        </is>
      </c>
      <c r="F532" s="8" t="n">
        <v>332000</v>
      </c>
      <c r="G532" s="2" t="n">
        <v>60</v>
      </c>
      <c r="H532" s="7" t="n">
        <v>46157</v>
      </c>
      <c r="I532" s="7" t="n">
        <v>46162</v>
      </c>
      <c r="J532" s="2" t="inlineStr">
        <is>
          <t>Paid</t>
        </is>
      </c>
      <c r="K532" s="2" t="inlineStr">
        <is>
          <t>No</t>
        </is>
      </c>
      <c r="L532" s="9" t="n">
        <v>0</v>
      </c>
      <c r="M532" s="2" t="inlineStr">
        <is>
          <t>Received</t>
        </is>
      </c>
      <c r="N532" s="2" t="inlineStr">
        <is>
          <t>Approved</t>
        </is>
      </c>
      <c r="O532" s="2" t="n"/>
      <c r="P532" s="2" t="n"/>
      <c r="Q532" s="2" t="n"/>
      <c r="R532" s="2" t="n"/>
    </row>
    <row r="533">
      <c r="A533" s="2" t="inlineStr">
        <is>
          <t>INV00530</t>
        </is>
      </c>
      <c r="B533" s="7" t="n">
        <v>46267</v>
      </c>
      <c r="C533" s="2" t="inlineStr">
        <is>
          <t>Adobe</t>
        </is>
      </c>
      <c r="D533" s="2" t="inlineStr">
        <is>
          <t>HR</t>
        </is>
      </c>
      <c r="E533" s="2" t="inlineStr">
        <is>
          <t>Professional Services</t>
        </is>
      </c>
      <c r="F533" s="8" t="n">
        <v>514600</v>
      </c>
      <c r="G533" s="2" t="n">
        <v>60</v>
      </c>
      <c r="H533" s="7" t="n">
        <v>46327</v>
      </c>
      <c r="I533" s="7" t="n">
        <v>46327</v>
      </c>
      <c r="J533" s="2" t="inlineStr">
        <is>
          <t>Paid</t>
        </is>
      </c>
      <c r="K533" s="2" t="inlineStr">
        <is>
          <t>Yes</t>
        </is>
      </c>
      <c r="L533" s="9" t="n">
        <v>0.02</v>
      </c>
      <c r="M533" s="2" t="inlineStr">
        <is>
          <t>Received</t>
        </is>
      </c>
      <c r="N533" s="2" t="inlineStr">
        <is>
          <t>Approved</t>
        </is>
      </c>
      <c r="O533" s="2" t="n"/>
      <c r="P533" s="2" t="n"/>
      <c r="Q533" s="2" t="n"/>
      <c r="R533" s="2" t="n"/>
    </row>
    <row r="534">
      <c r="A534" s="2" t="inlineStr">
        <is>
          <t>INV00531</t>
        </is>
      </c>
      <c r="B534" s="7" t="n">
        <v>46375</v>
      </c>
      <c r="C534" s="2" t="inlineStr">
        <is>
          <t>Microsoft</t>
        </is>
      </c>
      <c r="D534" s="2" t="inlineStr">
        <is>
          <t>Sales</t>
        </is>
      </c>
      <c r="E534" s="2" t="inlineStr">
        <is>
          <t>Consulting</t>
        </is>
      </c>
      <c r="F534" s="8" t="n">
        <v>508900</v>
      </c>
      <c r="G534" s="2" t="n">
        <v>60</v>
      </c>
      <c r="H534" s="7" t="n">
        <v>46435</v>
      </c>
      <c r="I534" s="7" t="n">
        <v>46435</v>
      </c>
      <c r="J534" s="2" t="inlineStr">
        <is>
          <t>Paid</t>
        </is>
      </c>
      <c r="K534" s="2" t="inlineStr">
        <is>
          <t>Yes</t>
        </is>
      </c>
      <c r="L534" s="9" t="n">
        <v>0.02</v>
      </c>
      <c r="M534" s="2" t="inlineStr">
        <is>
          <t>Received</t>
        </is>
      </c>
      <c r="N534" s="2" t="inlineStr">
        <is>
          <t>Approved</t>
        </is>
      </c>
      <c r="O534" s="2" t="n"/>
      <c r="P534" s="2" t="n"/>
      <c r="Q534" s="2" t="n"/>
      <c r="R534" s="2" t="n"/>
    </row>
    <row r="535">
      <c r="A535" s="2" t="inlineStr">
        <is>
          <t>INV00532</t>
        </is>
      </c>
      <c r="B535" s="7" t="n">
        <v>46076</v>
      </c>
      <c r="C535" s="2" t="inlineStr">
        <is>
          <t>Amazon Web Services</t>
        </is>
      </c>
      <c r="D535" s="2" t="inlineStr">
        <is>
          <t>HR</t>
        </is>
      </c>
      <c r="E535" s="2" t="inlineStr">
        <is>
          <t>Software</t>
        </is>
      </c>
      <c r="F535" s="8" t="n">
        <v>46600</v>
      </c>
      <c r="G535" s="2" t="n">
        <v>45</v>
      </c>
      <c r="H535" s="7" t="n">
        <v>46121</v>
      </c>
      <c r="I535" s="7" t="n">
        <v>46151</v>
      </c>
      <c r="J535" s="2" t="inlineStr">
        <is>
          <t>Paid</t>
        </is>
      </c>
      <c r="K535" s="2" t="inlineStr">
        <is>
          <t>No</t>
        </is>
      </c>
      <c r="L535" s="9" t="n">
        <v>0</v>
      </c>
      <c r="M535" s="2" t="inlineStr">
        <is>
          <t>Pending</t>
        </is>
      </c>
      <c r="N535" s="2" t="inlineStr">
        <is>
          <t>Approved</t>
        </is>
      </c>
      <c r="O535" s="2" t="n"/>
      <c r="P535" s="2" t="n"/>
      <c r="Q535" s="2" t="n"/>
      <c r="R535" s="2" t="n"/>
    </row>
    <row r="536">
      <c r="A536" s="2" t="inlineStr">
        <is>
          <t>INV00533</t>
        </is>
      </c>
      <c r="B536" s="7" t="n">
        <v>46372</v>
      </c>
      <c r="C536" s="2" t="inlineStr">
        <is>
          <t>Accenture</t>
        </is>
      </c>
      <c r="D536" s="2" t="inlineStr">
        <is>
          <t>IT</t>
        </is>
      </c>
      <c r="E536" s="2" t="inlineStr">
        <is>
          <t>Consulting</t>
        </is>
      </c>
      <c r="F536" s="8" t="n">
        <v>144700</v>
      </c>
      <c r="G536" s="2" t="n">
        <v>60</v>
      </c>
      <c r="H536" s="7" t="n">
        <v>46432</v>
      </c>
      <c r="I536" s="2" t="n"/>
      <c r="J536" s="2" t="inlineStr">
        <is>
          <t>Pending</t>
        </is>
      </c>
      <c r="K536" s="2" t="inlineStr">
        <is>
          <t>Yes</t>
        </is>
      </c>
      <c r="L536" s="9" t="n">
        <v>0.02</v>
      </c>
      <c r="M536" s="2" t="inlineStr">
        <is>
          <t>Received</t>
        </is>
      </c>
      <c r="N536" s="2" t="inlineStr">
        <is>
          <t>Approved</t>
        </is>
      </c>
      <c r="O536" s="2" t="n"/>
      <c r="P536" s="2" t="n"/>
      <c r="Q536" s="2" t="n"/>
      <c r="R536" s="2" t="n"/>
    </row>
    <row r="537">
      <c r="A537" s="2" t="inlineStr">
        <is>
          <t>INV00534</t>
        </is>
      </c>
      <c r="B537" s="7" t="n">
        <v>46291</v>
      </c>
      <c r="C537" s="2" t="inlineStr">
        <is>
          <t>Cognizant</t>
        </is>
      </c>
      <c r="D537" s="2" t="inlineStr">
        <is>
          <t>Sales</t>
        </is>
      </c>
      <c r="E537" s="2" t="inlineStr">
        <is>
          <t>Consulting</t>
        </is>
      </c>
      <c r="F537" s="8" t="n">
        <v>522500</v>
      </c>
      <c r="G537" s="2" t="n">
        <v>30</v>
      </c>
      <c r="H537" s="7" t="n">
        <v>46321</v>
      </c>
      <c r="I537" s="7" t="n">
        <v>46326</v>
      </c>
      <c r="J537" s="2" t="inlineStr">
        <is>
          <t>Paid</t>
        </is>
      </c>
      <c r="K537" s="2" t="inlineStr">
        <is>
          <t>No</t>
        </is>
      </c>
      <c r="L537" s="9" t="n">
        <v>0</v>
      </c>
      <c r="M537" s="2" t="inlineStr">
        <is>
          <t>Received</t>
        </is>
      </c>
      <c r="N537" s="2" t="inlineStr">
        <is>
          <t>Approved</t>
        </is>
      </c>
      <c r="O537" s="2" t="n"/>
      <c r="P537" s="2" t="n"/>
      <c r="Q537" s="2" t="n"/>
      <c r="R537" s="2" t="n"/>
    </row>
    <row r="538">
      <c r="A538" s="2" t="inlineStr">
        <is>
          <t>INV00535</t>
        </is>
      </c>
      <c r="B538" s="7" t="n">
        <v>46122</v>
      </c>
      <c r="C538" s="2" t="inlineStr">
        <is>
          <t>Infosys</t>
        </is>
      </c>
      <c r="D538" s="2" t="inlineStr">
        <is>
          <t>IT</t>
        </is>
      </c>
      <c r="E538" s="2" t="inlineStr">
        <is>
          <t>Consulting</t>
        </is>
      </c>
      <c r="F538" s="8" t="n">
        <v>202100</v>
      </c>
      <c r="G538" s="2" t="n">
        <v>60</v>
      </c>
      <c r="H538" s="7" t="n">
        <v>46182</v>
      </c>
      <c r="I538" s="7" t="n">
        <v>46187</v>
      </c>
      <c r="J538" s="2" t="inlineStr">
        <is>
          <t>Paid</t>
        </is>
      </c>
      <c r="K538" s="2" t="inlineStr">
        <is>
          <t>No</t>
        </is>
      </c>
      <c r="L538" s="9" t="n">
        <v>0</v>
      </c>
      <c r="M538" s="2" t="inlineStr">
        <is>
          <t>Received</t>
        </is>
      </c>
      <c r="N538" s="2" t="inlineStr">
        <is>
          <t>Approved</t>
        </is>
      </c>
      <c r="O538" s="2" t="n"/>
      <c r="P538" s="2" t="n"/>
      <c r="Q538" s="2" t="n"/>
      <c r="R538" s="2" t="n"/>
    </row>
    <row r="539">
      <c r="A539" s="2" t="inlineStr">
        <is>
          <t>INV00536</t>
        </is>
      </c>
      <c r="B539" s="7" t="n">
        <v>46281</v>
      </c>
      <c r="C539" s="2" t="inlineStr">
        <is>
          <t>Adobe</t>
        </is>
      </c>
      <c r="D539" s="2" t="inlineStr">
        <is>
          <t>Finance</t>
        </is>
      </c>
      <c r="E539" s="2" t="inlineStr">
        <is>
          <t>Consulting</t>
        </is>
      </c>
      <c r="F539" s="8" t="n">
        <v>476400</v>
      </c>
      <c r="G539" s="2" t="n">
        <v>15</v>
      </c>
      <c r="H539" s="7" t="n">
        <v>46296</v>
      </c>
      <c r="I539" s="7" t="n">
        <v>46296</v>
      </c>
      <c r="J539" s="2" t="inlineStr">
        <is>
          <t>Paid</t>
        </is>
      </c>
      <c r="K539" s="2" t="inlineStr">
        <is>
          <t>Yes</t>
        </is>
      </c>
      <c r="L539" s="9" t="n">
        <v>0.02</v>
      </c>
      <c r="M539" s="2" t="inlineStr">
        <is>
          <t>Received</t>
        </is>
      </c>
      <c r="N539" s="2" t="inlineStr">
        <is>
          <t>Approved</t>
        </is>
      </c>
      <c r="O539" s="2" t="n"/>
      <c r="P539" s="2" t="n"/>
      <c r="Q539" s="2" t="n"/>
      <c r="R539" s="2" t="n"/>
    </row>
    <row r="540">
      <c r="A540" s="2" t="inlineStr">
        <is>
          <t>INV00537</t>
        </is>
      </c>
      <c r="B540" s="7" t="n">
        <v>46256</v>
      </c>
      <c r="C540" s="2" t="inlineStr">
        <is>
          <t>Cognizant</t>
        </is>
      </c>
      <c r="D540" s="2" t="inlineStr">
        <is>
          <t>Marketing</t>
        </is>
      </c>
      <c r="E540" s="2" t="inlineStr">
        <is>
          <t>Cloud</t>
        </is>
      </c>
      <c r="F540" s="8" t="n">
        <v>158800</v>
      </c>
      <c r="G540" s="2" t="n">
        <v>15</v>
      </c>
      <c r="H540" s="7" t="n">
        <v>46271</v>
      </c>
      <c r="I540" s="7" t="n">
        <v>46271</v>
      </c>
      <c r="J540" s="2" t="inlineStr">
        <is>
          <t>Paid</t>
        </is>
      </c>
      <c r="K540" s="2" t="inlineStr">
        <is>
          <t>No</t>
        </is>
      </c>
      <c r="L540" s="9" t="n">
        <v>0</v>
      </c>
      <c r="M540" s="2" t="inlineStr">
        <is>
          <t>Received</t>
        </is>
      </c>
      <c r="N540" s="2" t="inlineStr">
        <is>
          <t>Approved</t>
        </is>
      </c>
      <c r="O540" s="2" t="n"/>
      <c r="P540" s="2" t="n"/>
      <c r="Q540" s="2" t="n"/>
      <c r="R540" s="2" t="n"/>
    </row>
    <row r="541">
      <c r="A541" s="2" t="inlineStr">
        <is>
          <t>INV00538</t>
        </is>
      </c>
      <c r="B541" s="7" t="n">
        <v>46344</v>
      </c>
      <c r="C541" s="2" t="inlineStr">
        <is>
          <t>Cognizant</t>
        </is>
      </c>
      <c r="D541" s="2" t="inlineStr">
        <is>
          <t>Marketing</t>
        </is>
      </c>
      <c r="E541" s="2" t="inlineStr">
        <is>
          <t>Facilities</t>
        </is>
      </c>
      <c r="F541" s="8" t="n">
        <v>234000</v>
      </c>
      <c r="G541" s="2" t="n">
        <v>60</v>
      </c>
      <c r="H541" s="7" t="n">
        <v>46404</v>
      </c>
      <c r="I541" s="7" t="n">
        <v>46404</v>
      </c>
      <c r="J541" s="2" t="inlineStr">
        <is>
          <t>Paid</t>
        </is>
      </c>
      <c r="K541" s="2" t="inlineStr">
        <is>
          <t>Yes</t>
        </is>
      </c>
      <c r="L541" s="9" t="n">
        <v>0.02</v>
      </c>
      <c r="M541" s="2" t="inlineStr">
        <is>
          <t>Received</t>
        </is>
      </c>
      <c r="N541" s="2" t="inlineStr">
        <is>
          <t>Approved</t>
        </is>
      </c>
      <c r="O541" s="2" t="n"/>
      <c r="P541" s="2" t="n"/>
      <c r="Q541" s="2" t="n"/>
      <c r="R541" s="2" t="n"/>
    </row>
    <row r="542">
      <c r="A542" s="2" t="inlineStr">
        <is>
          <t>INV00539</t>
        </is>
      </c>
      <c r="B542" s="7" t="n">
        <v>46170</v>
      </c>
      <c r="C542" s="2" t="inlineStr">
        <is>
          <t>Adobe</t>
        </is>
      </c>
      <c r="D542" s="2" t="inlineStr">
        <is>
          <t>Operations</t>
        </is>
      </c>
      <c r="E542" s="2" t="inlineStr">
        <is>
          <t>Consulting</t>
        </is>
      </c>
      <c r="F542" s="8" t="n">
        <v>884500</v>
      </c>
      <c r="G542" s="2" t="n">
        <v>15</v>
      </c>
      <c r="H542" s="7" t="n">
        <v>46185</v>
      </c>
      <c r="I542" s="2" t="n"/>
      <c r="J542" s="2" t="inlineStr">
        <is>
          <t>Pending</t>
        </is>
      </c>
      <c r="K542" s="2" t="inlineStr">
        <is>
          <t>No</t>
        </is>
      </c>
      <c r="L542" s="9" t="n">
        <v>0</v>
      </c>
      <c r="M542" s="2" t="inlineStr">
        <is>
          <t>Received</t>
        </is>
      </c>
      <c r="N542" s="2" t="inlineStr">
        <is>
          <t>Approved</t>
        </is>
      </c>
      <c r="O542" s="2" t="n"/>
      <c r="P542" s="2" t="n"/>
      <c r="Q542" s="2" t="n"/>
      <c r="R542" s="2" t="n"/>
    </row>
    <row r="543">
      <c r="A543" s="2" t="inlineStr">
        <is>
          <t>INV00540</t>
        </is>
      </c>
      <c r="B543" s="7" t="n">
        <v>46211</v>
      </c>
      <c r="C543" s="2" t="inlineStr">
        <is>
          <t>Amazon Web Services</t>
        </is>
      </c>
      <c r="D543" s="2" t="inlineStr">
        <is>
          <t>Finance</t>
        </is>
      </c>
      <c r="E543" s="2" t="inlineStr">
        <is>
          <t>Cloud</t>
        </is>
      </c>
      <c r="F543" s="8" t="n">
        <v>870400</v>
      </c>
      <c r="G543" s="2" t="n">
        <v>15</v>
      </c>
      <c r="H543" s="7" t="n">
        <v>46226</v>
      </c>
      <c r="I543" s="7" t="n">
        <v>46316</v>
      </c>
      <c r="J543" s="2" t="inlineStr">
        <is>
          <t>Paid</t>
        </is>
      </c>
      <c r="K543" s="2" t="inlineStr">
        <is>
          <t>No</t>
        </is>
      </c>
      <c r="L543" s="9" t="n">
        <v>0</v>
      </c>
      <c r="M543" s="2" t="inlineStr">
        <is>
          <t>Pending</t>
        </is>
      </c>
      <c r="N543" s="2" t="inlineStr">
        <is>
          <t>Approved</t>
        </is>
      </c>
      <c r="O543" s="2" t="n"/>
      <c r="P543" s="2" t="n"/>
      <c r="Q543" s="2" t="n"/>
      <c r="R543" s="2" t="n"/>
    </row>
    <row r="544">
      <c r="A544" s="2" t="inlineStr">
        <is>
          <t>INV00541</t>
        </is>
      </c>
      <c r="B544" s="7" t="n">
        <v>46147</v>
      </c>
      <c r="C544" s="2" t="inlineStr">
        <is>
          <t>Microsoft</t>
        </is>
      </c>
      <c r="D544" s="2" t="inlineStr">
        <is>
          <t>HR</t>
        </is>
      </c>
      <c r="E544" s="2" t="inlineStr">
        <is>
          <t>Facilities</t>
        </is>
      </c>
      <c r="F544" s="8" t="n">
        <v>166400</v>
      </c>
      <c r="G544" s="2" t="n">
        <v>45</v>
      </c>
      <c r="H544" s="7" t="n">
        <v>46192</v>
      </c>
      <c r="I544" s="2" t="n"/>
      <c r="J544" s="2" t="inlineStr">
        <is>
          <t>Pending</t>
        </is>
      </c>
      <c r="K544" s="2" t="inlineStr">
        <is>
          <t>No</t>
        </is>
      </c>
      <c r="L544" s="9" t="n">
        <v>0</v>
      </c>
      <c r="M544" s="2" t="inlineStr">
        <is>
          <t>Received</t>
        </is>
      </c>
      <c r="N544" s="2" t="inlineStr">
        <is>
          <t>Approved</t>
        </is>
      </c>
      <c r="O544" s="2" t="n"/>
      <c r="P544" s="2" t="n"/>
      <c r="Q544" s="2" t="n"/>
      <c r="R544" s="2" t="n"/>
    </row>
    <row r="545">
      <c r="A545" s="2" t="inlineStr">
        <is>
          <t>INV00542</t>
        </is>
      </c>
      <c r="B545" s="7" t="n">
        <v>46064</v>
      </c>
      <c r="C545" s="2" t="inlineStr">
        <is>
          <t>Accenture</t>
        </is>
      </c>
      <c r="D545" s="2" t="inlineStr">
        <is>
          <t>HR</t>
        </is>
      </c>
      <c r="E545" s="2" t="inlineStr">
        <is>
          <t>Facilities</t>
        </is>
      </c>
      <c r="F545" s="8" t="n">
        <v>555300</v>
      </c>
      <c r="G545" s="2" t="n">
        <v>15</v>
      </c>
      <c r="H545" s="7" t="n">
        <v>46079</v>
      </c>
      <c r="I545" s="7" t="n">
        <v>46139</v>
      </c>
      <c r="J545" s="2" t="inlineStr">
        <is>
          <t>Paid</t>
        </is>
      </c>
      <c r="K545" s="2" t="inlineStr">
        <is>
          <t>No</t>
        </is>
      </c>
      <c r="L545" s="9" t="n">
        <v>0</v>
      </c>
      <c r="M545" s="2" t="inlineStr">
        <is>
          <t>Received</t>
        </is>
      </c>
      <c r="N545" s="2" t="inlineStr">
        <is>
          <t>Approved</t>
        </is>
      </c>
      <c r="O545" s="2" t="n"/>
      <c r="P545" s="2" t="n"/>
      <c r="Q545" s="2" t="n"/>
      <c r="R545" s="2" t="n"/>
    </row>
    <row r="546">
      <c r="A546" s="2" t="inlineStr">
        <is>
          <t>INV00543</t>
        </is>
      </c>
      <c r="B546" s="7" t="n">
        <v>46116</v>
      </c>
      <c r="C546" s="2" t="inlineStr">
        <is>
          <t>Accenture</t>
        </is>
      </c>
      <c r="D546" s="2" t="inlineStr">
        <is>
          <t>Sales</t>
        </is>
      </c>
      <c r="E546" s="2" t="inlineStr">
        <is>
          <t>Office Supplies</t>
        </is>
      </c>
      <c r="F546" s="8" t="n">
        <v>871700</v>
      </c>
      <c r="G546" s="2" t="n">
        <v>15</v>
      </c>
      <c r="H546" s="7" t="n">
        <v>46131</v>
      </c>
      <c r="I546" s="7" t="n">
        <v>46131</v>
      </c>
      <c r="J546" s="2" t="inlineStr">
        <is>
          <t>Paid</t>
        </is>
      </c>
      <c r="K546" s="2" t="inlineStr">
        <is>
          <t>No</t>
        </is>
      </c>
      <c r="L546" s="9" t="n">
        <v>0</v>
      </c>
      <c r="M546" s="2" t="inlineStr">
        <is>
          <t>Received</t>
        </is>
      </c>
      <c r="N546" s="2" t="inlineStr">
        <is>
          <t>Approved</t>
        </is>
      </c>
      <c r="O546" s="2" t="n"/>
      <c r="P546" s="2" t="n"/>
      <c r="Q546" s="2" t="n"/>
      <c r="R546" s="2" t="n"/>
    </row>
    <row r="547">
      <c r="A547" s="2" t="inlineStr">
        <is>
          <t>INV00544</t>
        </is>
      </c>
      <c r="B547" s="7" t="n">
        <v>46319</v>
      </c>
      <c r="C547" s="2" t="inlineStr">
        <is>
          <t>Adobe</t>
        </is>
      </c>
      <c r="D547" s="2" t="inlineStr">
        <is>
          <t>Sales</t>
        </is>
      </c>
      <c r="E547" s="2" t="inlineStr">
        <is>
          <t>Travel</t>
        </is>
      </c>
      <c r="F547" s="8" t="n">
        <v>234200</v>
      </c>
      <c r="G547" s="2" t="n">
        <v>30</v>
      </c>
      <c r="H547" s="7" t="n">
        <v>46349</v>
      </c>
      <c r="I547" s="7" t="n">
        <v>46439</v>
      </c>
      <c r="J547" s="2" t="inlineStr">
        <is>
          <t>Paid</t>
        </is>
      </c>
      <c r="K547" s="2" t="inlineStr">
        <is>
          <t>No</t>
        </is>
      </c>
      <c r="L547" s="9" t="n">
        <v>0</v>
      </c>
      <c r="M547" s="2" t="inlineStr">
        <is>
          <t>Received</t>
        </is>
      </c>
      <c r="N547" s="2" t="inlineStr">
        <is>
          <t>Approved</t>
        </is>
      </c>
      <c r="O547" s="2" t="n"/>
      <c r="P547" s="2" t="n"/>
      <c r="Q547" s="2" t="n"/>
      <c r="R547" s="2" t="n"/>
    </row>
    <row r="548">
      <c r="A548" s="2" t="inlineStr">
        <is>
          <t>INV00545</t>
        </is>
      </c>
      <c r="B548" s="7" t="n">
        <v>46252</v>
      </c>
      <c r="C548" s="2" t="inlineStr">
        <is>
          <t>Oracle</t>
        </is>
      </c>
      <c r="D548" s="2" t="inlineStr">
        <is>
          <t>Sales</t>
        </is>
      </c>
      <c r="E548" s="2" t="inlineStr">
        <is>
          <t>Software</t>
        </is>
      </c>
      <c r="F548" s="8" t="n">
        <v>138700</v>
      </c>
      <c r="G548" s="2" t="n">
        <v>45</v>
      </c>
      <c r="H548" s="7" t="n">
        <v>46297</v>
      </c>
      <c r="I548" s="2" t="n"/>
      <c r="J548" s="2" t="inlineStr">
        <is>
          <t>Pending</t>
        </is>
      </c>
      <c r="K548" s="2" t="inlineStr">
        <is>
          <t>No</t>
        </is>
      </c>
      <c r="L548" s="9" t="n">
        <v>0</v>
      </c>
      <c r="M548" s="2" t="inlineStr">
        <is>
          <t>Pending</t>
        </is>
      </c>
      <c r="N548" s="2" t="inlineStr">
        <is>
          <t>Approved</t>
        </is>
      </c>
      <c r="O548" s="2" t="n"/>
      <c r="P548" s="2" t="n"/>
      <c r="Q548" s="2" t="n"/>
      <c r="R548" s="2" t="n"/>
    </row>
    <row r="549">
      <c r="A549" s="2" t="inlineStr">
        <is>
          <t>INV00546</t>
        </is>
      </c>
      <c r="B549" s="7" t="n">
        <v>46368</v>
      </c>
      <c r="C549" s="2" t="inlineStr">
        <is>
          <t>HCLTech</t>
        </is>
      </c>
      <c r="D549" s="2" t="inlineStr">
        <is>
          <t>HR</t>
        </is>
      </c>
      <c r="E549" s="2" t="inlineStr">
        <is>
          <t>Software</t>
        </is>
      </c>
      <c r="F549" s="8" t="n">
        <v>211200</v>
      </c>
      <c r="G549" s="2" t="n">
        <v>15</v>
      </c>
      <c r="H549" s="7" t="n">
        <v>46383</v>
      </c>
      <c r="I549" s="7" t="n">
        <v>46398</v>
      </c>
      <c r="J549" s="2" t="inlineStr">
        <is>
          <t>Paid</t>
        </is>
      </c>
      <c r="K549" s="2" t="inlineStr">
        <is>
          <t>Yes</t>
        </is>
      </c>
      <c r="L549" s="9" t="n">
        <v>0.02</v>
      </c>
      <c r="M549" s="2" t="inlineStr">
        <is>
          <t>Received</t>
        </is>
      </c>
      <c r="N549" s="2" t="inlineStr">
        <is>
          <t>Approved</t>
        </is>
      </c>
      <c r="O549" s="2" t="n"/>
      <c r="P549" s="2" t="n"/>
      <c r="Q549" s="2" t="n"/>
      <c r="R549" s="2" t="n"/>
    </row>
    <row r="550">
      <c r="A550" s="2" t="inlineStr">
        <is>
          <t>INV00547</t>
        </is>
      </c>
      <c r="B550" s="7" t="n">
        <v>46368</v>
      </c>
      <c r="C550" s="2" t="inlineStr">
        <is>
          <t>Zoho</t>
        </is>
      </c>
      <c r="D550" s="2" t="inlineStr">
        <is>
          <t>Sales</t>
        </is>
      </c>
      <c r="E550" s="2" t="inlineStr">
        <is>
          <t>Software</t>
        </is>
      </c>
      <c r="F550" s="8" t="n">
        <v>541400</v>
      </c>
      <c r="G550" s="2" t="n">
        <v>30</v>
      </c>
      <c r="H550" s="7" t="n">
        <v>46398</v>
      </c>
      <c r="I550" s="2" t="n"/>
      <c r="J550" s="2" t="inlineStr">
        <is>
          <t>Pending</t>
        </is>
      </c>
      <c r="K550" s="2" t="inlineStr">
        <is>
          <t>No</t>
        </is>
      </c>
      <c r="L550" s="9" t="n">
        <v>0</v>
      </c>
      <c r="M550" s="2" t="inlineStr">
        <is>
          <t>Received</t>
        </is>
      </c>
      <c r="N550" s="2" t="inlineStr">
        <is>
          <t>Pending</t>
        </is>
      </c>
      <c r="O550" s="2" t="n"/>
      <c r="P550" s="2" t="n"/>
      <c r="Q550" s="2" t="n"/>
      <c r="R550" s="2" t="n"/>
    </row>
    <row r="551">
      <c r="A551" s="2" t="inlineStr">
        <is>
          <t>INV00548</t>
        </is>
      </c>
      <c r="B551" s="7" t="n">
        <v>46122</v>
      </c>
      <c r="C551" s="2" t="inlineStr">
        <is>
          <t>TCS</t>
        </is>
      </c>
      <c r="D551" s="2" t="inlineStr">
        <is>
          <t>Finance</t>
        </is>
      </c>
      <c r="E551" s="2" t="inlineStr">
        <is>
          <t>Professional Services</t>
        </is>
      </c>
      <c r="F551" s="8" t="n">
        <v>825100</v>
      </c>
      <c r="G551" s="2" t="n">
        <v>45</v>
      </c>
      <c r="H551" s="7" t="n">
        <v>46167</v>
      </c>
      <c r="I551" s="2" t="n"/>
      <c r="J551" s="2" t="inlineStr">
        <is>
          <t>Pending</t>
        </is>
      </c>
      <c r="K551" s="2" t="inlineStr">
        <is>
          <t>Yes</t>
        </is>
      </c>
      <c r="L551" s="9" t="n">
        <v>0.02</v>
      </c>
      <c r="M551" s="2" t="inlineStr">
        <is>
          <t>Received</t>
        </is>
      </c>
      <c r="N551" s="2" t="inlineStr">
        <is>
          <t>Approved</t>
        </is>
      </c>
      <c r="O551" s="2" t="n"/>
      <c r="P551" s="2" t="n"/>
      <c r="Q551" s="2" t="n"/>
      <c r="R551" s="2" t="n"/>
    </row>
    <row r="552">
      <c r="A552" s="2" t="inlineStr">
        <is>
          <t>INV00549</t>
        </is>
      </c>
      <c r="B552" s="7" t="n">
        <v>46250</v>
      </c>
      <c r="C552" s="2" t="inlineStr">
        <is>
          <t>Wipro</t>
        </is>
      </c>
      <c r="D552" s="2" t="inlineStr">
        <is>
          <t>Operations</t>
        </is>
      </c>
      <c r="E552" s="2" t="inlineStr">
        <is>
          <t>Facilities</t>
        </is>
      </c>
      <c r="F552" s="8" t="n">
        <v>180800</v>
      </c>
      <c r="G552" s="2" t="n">
        <v>45</v>
      </c>
      <c r="H552" s="7" t="n">
        <v>46295</v>
      </c>
      <c r="I552" s="2" t="n"/>
      <c r="J552" s="2" t="inlineStr">
        <is>
          <t>Pending</t>
        </is>
      </c>
      <c r="K552" s="2" t="inlineStr">
        <is>
          <t>No</t>
        </is>
      </c>
      <c r="L552" s="9" t="n">
        <v>0</v>
      </c>
      <c r="M552" s="2" t="inlineStr">
        <is>
          <t>Received</t>
        </is>
      </c>
      <c r="N552" s="2" t="inlineStr">
        <is>
          <t>Approved</t>
        </is>
      </c>
      <c r="O552" s="2" t="n"/>
      <c r="P552" s="2" t="n"/>
      <c r="Q552" s="2" t="n"/>
      <c r="R552" s="2" t="n"/>
    </row>
    <row r="553">
      <c r="A553" s="2" t="inlineStr">
        <is>
          <t>INV00550</t>
        </is>
      </c>
      <c r="B553" s="7" t="n">
        <v>46319</v>
      </c>
      <c r="C553" s="2" t="inlineStr">
        <is>
          <t>HCLTech</t>
        </is>
      </c>
      <c r="D553" s="2" t="inlineStr">
        <is>
          <t>Marketing</t>
        </is>
      </c>
      <c r="E553" s="2" t="inlineStr">
        <is>
          <t>Travel</t>
        </is>
      </c>
      <c r="F553" s="8" t="n">
        <v>116000</v>
      </c>
      <c r="G553" s="2" t="n">
        <v>45</v>
      </c>
      <c r="H553" s="7" t="n">
        <v>46364</v>
      </c>
      <c r="I553" s="7" t="n">
        <v>46364</v>
      </c>
      <c r="J553" s="2" t="inlineStr">
        <is>
          <t>Paid</t>
        </is>
      </c>
      <c r="K553" s="2" t="inlineStr">
        <is>
          <t>No</t>
        </is>
      </c>
      <c r="L553" s="9" t="n">
        <v>0</v>
      </c>
      <c r="M553" s="2" t="inlineStr">
        <is>
          <t>Received</t>
        </is>
      </c>
      <c r="N553" s="2" t="inlineStr">
        <is>
          <t>Approved</t>
        </is>
      </c>
      <c r="O553" s="2" t="n"/>
      <c r="P553" s="2" t="n"/>
      <c r="Q553" s="2" t="n"/>
      <c r="R553" s="2" t="n"/>
    </row>
    <row r="554">
      <c r="A554" s="2" t="inlineStr">
        <is>
          <t>INV00551</t>
        </is>
      </c>
      <c r="B554" s="7" t="n">
        <v>46133</v>
      </c>
      <c r="C554" s="2" t="inlineStr">
        <is>
          <t>Infosys</t>
        </is>
      </c>
      <c r="D554" s="2" t="inlineStr">
        <is>
          <t>HR</t>
        </is>
      </c>
      <c r="E554" s="2" t="inlineStr">
        <is>
          <t>Office Supplies</t>
        </is>
      </c>
      <c r="F554" s="8" t="n">
        <v>32200</v>
      </c>
      <c r="G554" s="2" t="n">
        <v>15</v>
      </c>
      <c r="H554" s="7" t="n">
        <v>46148</v>
      </c>
      <c r="I554" s="2" t="n"/>
      <c r="J554" s="2" t="inlineStr">
        <is>
          <t>Pending</t>
        </is>
      </c>
      <c r="K554" s="2" t="inlineStr">
        <is>
          <t>No</t>
        </is>
      </c>
      <c r="L554" s="9" t="n">
        <v>0</v>
      </c>
      <c r="M554" s="2" t="inlineStr">
        <is>
          <t>Received</t>
        </is>
      </c>
      <c r="N554" s="2" t="inlineStr">
        <is>
          <t>Approved</t>
        </is>
      </c>
      <c r="O554" s="2" t="n"/>
      <c r="P554" s="2" t="n"/>
      <c r="Q554" s="2" t="n"/>
      <c r="R554" s="2" t="n"/>
    </row>
    <row r="555">
      <c r="A555" s="2" t="inlineStr">
        <is>
          <t>INV00552</t>
        </is>
      </c>
      <c r="B555" s="7" t="n">
        <v>46262</v>
      </c>
      <c r="C555" s="2" t="inlineStr">
        <is>
          <t>Wipro</t>
        </is>
      </c>
      <c r="D555" s="2" t="inlineStr">
        <is>
          <t>Finance</t>
        </is>
      </c>
      <c r="E555" s="2" t="inlineStr">
        <is>
          <t>Consulting</t>
        </is>
      </c>
      <c r="F555" s="8" t="n">
        <v>870100</v>
      </c>
      <c r="G555" s="2" t="n">
        <v>30</v>
      </c>
      <c r="H555" s="7" t="n">
        <v>46292</v>
      </c>
      <c r="I555" s="7" t="n">
        <v>46292</v>
      </c>
      <c r="J555" s="2" t="inlineStr">
        <is>
          <t>Paid</t>
        </is>
      </c>
      <c r="K555" s="2" t="inlineStr">
        <is>
          <t>Yes</t>
        </is>
      </c>
      <c r="L555" s="9" t="n">
        <v>0.02</v>
      </c>
      <c r="M555" s="2" t="inlineStr">
        <is>
          <t>Received</t>
        </is>
      </c>
      <c r="N555" s="2" t="inlineStr">
        <is>
          <t>Pending</t>
        </is>
      </c>
      <c r="O555" s="2" t="n"/>
      <c r="P555" s="2" t="n"/>
      <c r="Q555" s="2" t="n"/>
      <c r="R555" s="2" t="n"/>
    </row>
    <row r="556">
      <c r="A556" s="2" t="inlineStr">
        <is>
          <t>INV00553</t>
        </is>
      </c>
      <c r="B556" s="7" t="n">
        <v>46303</v>
      </c>
      <c r="C556" s="2" t="inlineStr">
        <is>
          <t>Microsoft</t>
        </is>
      </c>
      <c r="D556" s="2" t="inlineStr">
        <is>
          <t>IT</t>
        </is>
      </c>
      <c r="E556" s="2" t="inlineStr">
        <is>
          <t>Office Supplies</t>
        </is>
      </c>
      <c r="F556" s="8" t="n">
        <v>227200</v>
      </c>
      <c r="G556" s="2" t="n">
        <v>30</v>
      </c>
      <c r="H556" s="7" t="n">
        <v>46333</v>
      </c>
      <c r="I556" s="7" t="n">
        <v>46363</v>
      </c>
      <c r="J556" s="2" t="inlineStr">
        <is>
          <t>Paid</t>
        </is>
      </c>
      <c r="K556" s="2" t="inlineStr">
        <is>
          <t>Yes</t>
        </is>
      </c>
      <c r="L556" s="9" t="n">
        <v>0.02</v>
      </c>
      <c r="M556" s="2" t="inlineStr">
        <is>
          <t>Received</t>
        </is>
      </c>
      <c r="N556" s="2" t="inlineStr">
        <is>
          <t>Approved</t>
        </is>
      </c>
      <c r="O556" s="2" t="n"/>
      <c r="P556" s="2" t="n"/>
      <c r="Q556" s="2" t="n"/>
      <c r="R556" s="2" t="n"/>
    </row>
    <row r="557">
      <c r="A557" s="2" t="inlineStr">
        <is>
          <t>INV00554</t>
        </is>
      </c>
      <c r="B557" s="7" t="n">
        <v>46084</v>
      </c>
      <c r="C557" s="2" t="inlineStr">
        <is>
          <t>Oracle</t>
        </is>
      </c>
      <c r="D557" s="2" t="inlineStr">
        <is>
          <t>Finance</t>
        </is>
      </c>
      <c r="E557" s="2" t="inlineStr">
        <is>
          <t>Office Supplies</t>
        </is>
      </c>
      <c r="F557" s="8" t="n">
        <v>644400</v>
      </c>
      <c r="G557" s="2" t="n">
        <v>15</v>
      </c>
      <c r="H557" s="7" t="n">
        <v>46099</v>
      </c>
      <c r="I557" s="2" t="n"/>
      <c r="J557" s="2" t="inlineStr">
        <is>
          <t>Pending</t>
        </is>
      </c>
      <c r="K557" s="2" t="inlineStr">
        <is>
          <t>No</t>
        </is>
      </c>
      <c r="L557" s="9" t="n">
        <v>0</v>
      </c>
      <c r="M557" s="2" t="inlineStr">
        <is>
          <t>Received</t>
        </is>
      </c>
      <c r="N557" s="2" t="inlineStr">
        <is>
          <t>Approved</t>
        </is>
      </c>
      <c r="O557" s="2" t="n"/>
      <c r="P557" s="2" t="n"/>
      <c r="Q557" s="2" t="n"/>
      <c r="R557" s="2" t="n"/>
    </row>
    <row r="558">
      <c r="A558" s="2" t="inlineStr">
        <is>
          <t>INV00555</t>
        </is>
      </c>
      <c r="B558" s="7" t="n">
        <v>46152</v>
      </c>
      <c r="C558" s="2" t="inlineStr">
        <is>
          <t>Wipro</t>
        </is>
      </c>
      <c r="D558" s="2" t="inlineStr">
        <is>
          <t>Operations</t>
        </is>
      </c>
      <c r="E558" s="2" t="inlineStr">
        <is>
          <t>Professional Services</t>
        </is>
      </c>
      <c r="F558" s="8" t="n">
        <v>110700</v>
      </c>
      <c r="G558" s="2" t="n">
        <v>30</v>
      </c>
      <c r="H558" s="7" t="n">
        <v>46182</v>
      </c>
      <c r="I558" s="2" t="n"/>
      <c r="J558" s="2" t="inlineStr">
        <is>
          <t>Pending</t>
        </is>
      </c>
      <c r="K558" s="2" t="inlineStr">
        <is>
          <t>Yes</t>
        </is>
      </c>
      <c r="L558" s="9" t="n">
        <v>0.02</v>
      </c>
      <c r="M558" s="2" t="inlineStr">
        <is>
          <t>Received</t>
        </is>
      </c>
      <c r="N558" s="2" t="inlineStr">
        <is>
          <t>Approved</t>
        </is>
      </c>
      <c r="O558" s="2" t="n"/>
      <c r="P558" s="2" t="n"/>
      <c r="Q558" s="2" t="n"/>
      <c r="R558" s="2" t="n"/>
    </row>
    <row r="559">
      <c r="A559" s="2" t="inlineStr">
        <is>
          <t>INV00556</t>
        </is>
      </c>
      <c r="B559" s="7" t="n">
        <v>46229</v>
      </c>
      <c r="C559" s="2" t="inlineStr">
        <is>
          <t>Deloitte</t>
        </is>
      </c>
      <c r="D559" s="2" t="inlineStr">
        <is>
          <t>IT</t>
        </is>
      </c>
      <c r="E559" s="2" t="inlineStr">
        <is>
          <t>Consulting</t>
        </is>
      </c>
      <c r="F559" s="8" t="n">
        <v>62700</v>
      </c>
      <c r="G559" s="2" t="n">
        <v>45</v>
      </c>
      <c r="H559" s="7" t="n">
        <v>46274</v>
      </c>
      <c r="I559" s="7" t="n">
        <v>46279</v>
      </c>
      <c r="J559" s="2" t="inlineStr">
        <is>
          <t>Paid</t>
        </is>
      </c>
      <c r="K559" s="2" t="inlineStr">
        <is>
          <t>No</t>
        </is>
      </c>
      <c r="L559" s="9" t="n">
        <v>0</v>
      </c>
      <c r="M559" s="2" t="inlineStr">
        <is>
          <t>Received</t>
        </is>
      </c>
      <c r="N559" s="2" t="inlineStr">
        <is>
          <t>Approved</t>
        </is>
      </c>
      <c r="O559" s="2" t="n"/>
      <c r="P559" s="2" t="n"/>
      <c r="Q559" s="2" t="n"/>
      <c r="R559" s="2" t="n"/>
    </row>
    <row r="560">
      <c r="A560" s="2" t="inlineStr">
        <is>
          <t>INV00557</t>
        </is>
      </c>
      <c r="B560" s="7" t="n">
        <v>46196</v>
      </c>
      <c r="C560" s="2" t="inlineStr">
        <is>
          <t>Adobe</t>
        </is>
      </c>
      <c r="D560" s="2" t="inlineStr">
        <is>
          <t>Sales</t>
        </is>
      </c>
      <c r="E560" s="2" t="inlineStr">
        <is>
          <t>Cloud</t>
        </is>
      </c>
      <c r="F560" s="8" t="n">
        <v>802100</v>
      </c>
      <c r="G560" s="2" t="n">
        <v>60</v>
      </c>
      <c r="H560" s="7" t="n">
        <v>46256</v>
      </c>
      <c r="I560" s="7" t="n">
        <v>46261</v>
      </c>
      <c r="J560" s="2" t="inlineStr">
        <is>
          <t>Paid</t>
        </is>
      </c>
      <c r="K560" s="2" t="inlineStr">
        <is>
          <t>Yes</t>
        </is>
      </c>
      <c r="L560" s="9" t="n">
        <v>0.02</v>
      </c>
      <c r="M560" s="2" t="inlineStr">
        <is>
          <t>Pending</t>
        </is>
      </c>
      <c r="N560" s="2" t="inlineStr">
        <is>
          <t>Approved</t>
        </is>
      </c>
      <c r="O560" s="2" t="n"/>
      <c r="P560" s="2" t="n"/>
      <c r="Q560" s="2" t="n"/>
      <c r="R560" s="2" t="n"/>
    </row>
    <row r="561">
      <c r="A561" s="2" t="inlineStr">
        <is>
          <t>INV00558</t>
        </is>
      </c>
      <c r="B561" s="7" t="n">
        <v>46193</v>
      </c>
      <c r="C561" s="2" t="inlineStr">
        <is>
          <t>SAP</t>
        </is>
      </c>
      <c r="D561" s="2" t="inlineStr">
        <is>
          <t>Marketing</t>
        </is>
      </c>
      <c r="E561" s="2" t="inlineStr">
        <is>
          <t>Travel</t>
        </is>
      </c>
      <c r="F561" s="8" t="n">
        <v>628400</v>
      </c>
      <c r="G561" s="2" t="n">
        <v>15</v>
      </c>
      <c r="H561" s="7" t="n">
        <v>46208</v>
      </c>
      <c r="I561" s="7" t="n">
        <v>46208</v>
      </c>
      <c r="J561" s="2" t="inlineStr">
        <is>
          <t>Paid</t>
        </is>
      </c>
      <c r="K561" s="2" t="inlineStr">
        <is>
          <t>No</t>
        </is>
      </c>
      <c r="L561" s="9" t="n">
        <v>0</v>
      </c>
      <c r="M561" s="2" t="inlineStr">
        <is>
          <t>Pending</t>
        </is>
      </c>
      <c r="N561" s="2" t="inlineStr">
        <is>
          <t>Approved</t>
        </is>
      </c>
      <c r="O561" s="2" t="n"/>
      <c r="P561" s="2" t="n"/>
      <c r="Q561" s="2" t="n"/>
      <c r="R561" s="2" t="n"/>
    </row>
    <row r="562">
      <c r="A562" s="2" t="inlineStr">
        <is>
          <t>INV00559</t>
        </is>
      </c>
      <c r="B562" s="7" t="n">
        <v>46301</v>
      </c>
      <c r="C562" s="2" t="inlineStr">
        <is>
          <t>Infosys</t>
        </is>
      </c>
      <c r="D562" s="2" t="inlineStr">
        <is>
          <t>Finance</t>
        </is>
      </c>
      <c r="E562" s="2" t="inlineStr">
        <is>
          <t>Office Supplies</t>
        </is>
      </c>
      <c r="F562" s="8" t="n">
        <v>232900</v>
      </c>
      <c r="G562" s="2" t="n">
        <v>60</v>
      </c>
      <c r="H562" s="7" t="n">
        <v>46361</v>
      </c>
      <c r="I562" s="7" t="n">
        <v>46376</v>
      </c>
      <c r="J562" s="2" t="inlineStr">
        <is>
          <t>Paid</t>
        </is>
      </c>
      <c r="K562" s="2" t="inlineStr">
        <is>
          <t>No</t>
        </is>
      </c>
      <c r="L562" s="9" t="n">
        <v>0</v>
      </c>
      <c r="M562" s="2" t="inlineStr">
        <is>
          <t>Received</t>
        </is>
      </c>
      <c r="N562" s="2" t="inlineStr">
        <is>
          <t>Approved</t>
        </is>
      </c>
      <c r="O562" s="2" t="n"/>
      <c r="P562" s="2" t="n"/>
      <c r="Q562" s="2" t="n"/>
      <c r="R562" s="2" t="n"/>
    </row>
    <row r="563">
      <c r="A563" s="2" t="inlineStr">
        <is>
          <t>INV00560</t>
        </is>
      </c>
      <c r="B563" s="7" t="n">
        <v>46097</v>
      </c>
      <c r="C563" s="2" t="inlineStr">
        <is>
          <t>HCLTech</t>
        </is>
      </c>
      <c r="D563" s="2" t="inlineStr">
        <is>
          <t>HR</t>
        </is>
      </c>
      <c r="E563" s="2" t="inlineStr">
        <is>
          <t>Travel</t>
        </is>
      </c>
      <c r="F563" s="8" t="n">
        <v>462200</v>
      </c>
      <c r="G563" s="2" t="n">
        <v>45</v>
      </c>
      <c r="H563" s="7" t="n">
        <v>46142</v>
      </c>
      <c r="I563" s="7" t="n">
        <v>46157</v>
      </c>
      <c r="J563" s="2" t="inlineStr">
        <is>
          <t>Paid</t>
        </is>
      </c>
      <c r="K563" s="2" t="inlineStr">
        <is>
          <t>Yes</t>
        </is>
      </c>
      <c r="L563" s="9" t="n">
        <v>0.02</v>
      </c>
      <c r="M563" s="2" t="inlineStr">
        <is>
          <t>Received</t>
        </is>
      </c>
      <c r="N563" s="2" t="inlineStr">
        <is>
          <t>Approved</t>
        </is>
      </c>
      <c r="O563" s="2" t="n"/>
      <c r="P563" s="2" t="n"/>
      <c r="Q563" s="2" t="n"/>
      <c r="R563" s="2" t="n"/>
    </row>
    <row r="564">
      <c r="A564" s="2" t="inlineStr">
        <is>
          <t>INV00561</t>
        </is>
      </c>
      <c r="B564" s="7" t="n">
        <v>46197</v>
      </c>
      <c r="C564" s="2" t="inlineStr">
        <is>
          <t>IBM</t>
        </is>
      </c>
      <c r="D564" s="2" t="inlineStr">
        <is>
          <t>Finance</t>
        </is>
      </c>
      <c r="E564" s="2" t="inlineStr">
        <is>
          <t>Office Supplies</t>
        </is>
      </c>
      <c r="F564" s="8" t="n">
        <v>18000</v>
      </c>
      <c r="G564" s="2" t="n">
        <v>60</v>
      </c>
      <c r="H564" s="7" t="n">
        <v>46257</v>
      </c>
      <c r="I564" s="7" t="n">
        <v>46257</v>
      </c>
      <c r="J564" s="2" t="inlineStr">
        <is>
          <t>Paid</t>
        </is>
      </c>
      <c r="K564" s="2" t="inlineStr">
        <is>
          <t>Yes</t>
        </is>
      </c>
      <c r="L564" s="9" t="n">
        <v>0.02</v>
      </c>
      <c r="M564" s="2" t="inlineStr">
        <is>
          <t>Received</t>
        </is>
      </c>
      <c r="N564" s="2" t="inlineStr">
        <is>
          <t>Approved</t>
        </is>
      </c>
      <c r="O564" s="2" t="n"/>
      <c r="P564" s="2" t="n"/>
      <c r="Q564" s="2" t="n"/>
      <c r="R564" s="2" t="n"/>
    </row>
    <row r="565">
      <c r="A565" s="2" t="inlineStr">
        <is>
          <t>INV00562</t>
        </is>
      </c>
      <c r="B565" s="7" t="n">
        <v>46236</v>
      </c>
      <c r="C565" s="2" t="inlineStr">
        <is>
          <t>IBM</t>
        </is>
      </c>
      <c r="D565" s="2" t="inlineStr">
        <is>
          <t>HR</t>
        </is>
      </c>
      <c r="E565" s="2" t="inlineStr">
        <is>
          <t>Travel</t>
        </is>
      </c>
      <c r="F565" s="8" t="n">
        <v>117200</v>
      </c>
      <c r="G565" s="2" t="n">
        <v>60</v>
      </c>
      <c r="H565" s="7" t="n">
        <v>46296</v>
      </c>
      <c r="I565" s="7" t="n">
        <v>46296</v>
      </c>
      <c r="J565" s="2" t="inlineStr">
        <is>
          <t>Paid</t>
        </is>
      </c>
      <c r="K565" s="2" t="inlineStr">
        <is>
          <t>No</t>
        </is>
      </c>
      <c r="L565" s="9" t="n">
        <v>0</v>
      </c>
      <c r="M565" s="2" t="inlineStr">
        <is>
          <t>Received</t>
        </is>
      </c>
      <c r="N565" s="2" t="inlineStr">
        <is>
          <t>Approved</t>
        </is>
      </c>
      <c r="O565" s="2" t="n"/>
      <c r="P565" s="2" t="n"/>
      <c r="Q565" s="2" t="n"/>
      <c r="R565" s="2" t="n"/>
    </row>
    <row r="566">
      <c r="A566" s="2" t="inlineStr">
        <is>
          <t>INV00563</t>
        </is>
      </c>
      <c r="B566" s="7" t="n">
        <v>46292</v>
      </c>
      <c r="C566" s="2" t="inlineStr">
        <is>
          <t>Infosys</t>
        </is>
      </c>
      <c r="D566" s="2" t="inlineStr">
        <is>
          <t>Marketing</t>
        </is>
      </c>
      <c r="E566" s="2" t="inlineStr">
        <is>
          <t>Travel</t>
        </is>
      </c>
      <c r="F566" s="8" t="n">
        <v>148000</v>
      </c>
      <c r="G566" s="2" t="n">
        <v>30</v>
      </c>
      <c r="H566" s="7" t="n">
        <v>46322</v>
      </c>
      <c r="I566" s="7" t="n">
        <v>46322</v>
      </c>
      <c r="J566" s="2" t="inlineStr">
        <is>
          <t>Paid</t>
        </is>
      </c>
      <c r="K566" s="2" t="inlineStr">
        <is>
          <t>No</t>
        </is>
      </c>
      <c r="L566" s="9" t="n">
        <v>0</v>
      </c>
      <c r="M566" s="2" t="inlineStr">
        <is>
          <t>Received</t>
        </is>
      </c>
      <c r="N566" s="2" t="inlineStr">
        <is>
          <t>Approved</t>
        </is>
      </c>
      <c r="O566" s="2" t="n"/>
      <c r="P566" s="2" t="n"/>
      <c r="Q566" s="2" t="n"/>
      <c r="R566" s="2" t="n"/>
    </row>
    <row r="567">
      <c r="A567" s="2" t="inlineStr">
        <is>
          <t>INV00564</t>
        </is>
      </c>
      <c r="B567" s="7" t="n">
        <v>46032</v>
      </c>
      <c r="C567" s="2" t="inlineStr">
        <is>
          <t>SAP</t>
        </is>
      </c>
      <c r="D567" s="2" t="inlineStr">
        <is>
          <t>Sales</t>
        </is>
      </c>
      <c r="E567" s="2" t="inlineStr">
        <is>
          <t>Software</t>
        </is>
      </c>
      <c r="F567" s="8" t="n">
        <v>96500</v>
      </c>
      <c r="G567" s="2" t="n">
        <v>60</v>
      </c>
      <c r="H567" s="7" t="n">
        <v>46092</v>
      </c>
      <c r="I567" s="2" t="n"/>
      <c r="J567" s="2" t="inlineStr">
        <is>
          <t>Pending</t>
        </is>
      </c>
      <c r="K567" s="2" t="inlineStr">
        <is>
          <t>Yes</t>
        </is>
      </c>
      <c r="L567" s="9" t="n">
        <v>0.02</v>
      </c>
      <c r="M567" s="2" t="inlineStr">
        <is>
          <t>Received</t>
        </is>
      </c>
      <c r="N567" s="2" t="inlineStr">
        <is>
          <t>Approved</t>
        </is>
      </c>
      <c r="O567" s="2" t="n"/>
      <c r="P567" s="2" t="n"/>
      <c r="Q567" s="2" t="n"/>
      <c r="R567" s="2" t="n"/>
    </row>
    <row r="568">
      <c r="A568" s="2" t="inlineStr">
        <is>
          <t>INV00565</t>
        </is>
      </c>
      <c r="B568" s="7" t="n">
        <v>46342</v>
      </c>
      <c r="C568" s="2" t="inlineStr">
        <is>
          <t>IBM</t>
        </is>
      </c>
      <c r="D568" s="2" t="inlineStr">
        <is>
          <t>Sales</t>
        </is>
      </c>
      <c r="E568" s="2" t="inlineStr">
        <is>
          <t>Consulting</t>
        </is>
      </c>
      <c r="F568" s="8" t="n">
        <v>282900</v>
      </c>
      <c r="G568" s="2" t="n">
        <v>15</v>
      </c>
      <c r="H568" s="7" t="n">
        <v>46357</v>
      </c>
      <c r="I568" s="7" t="n">
        <v>46372</v>
      </c>
      <c r="J568" s="2" t="inlineStr">
        <is>
          <t>Paid</t>
        </is>
      </c>
      <c r="K568" s="2" t="inlineStr">
        <is>
          <t>No</t>
        </is>
      </c>
      <c r="L568" s="9" t="n">
        <v>0</v>
      </c>
      <c r="M568" s="2" t="inlineStr">
        <is>
          <t>Pending</t>
        </is>
      </c>
      <c r="N568" s="2" t="inlineStr">
        <is>
          <t>Approved</t>
        </is>
      </c>
      <c r="O568" s="2" t="n"/>
      <c r="P568" s="2" t="n"/>
      <c r="Q568" s="2" t="n"/>
      <c r="R568" s="2" t="n"/>
    </row>
    <row r="569">
      <c r="A569" s="2" t="inlineStr">
        <is>
          <t>INV00566</t>
        </is>
      </c>
      <c r="B569" s="7" t="n">
        <v>46140</v>
      </c>
      <c r="C569" s="2" t="inlineStr">
        <is>
          <t>Microsoft</t>
        </is>
      </c>
      <c r="D569" s="2" t="inlineStr">
        <is>
          <t>Sales</t>
        </is>
      </c>
      <c r="E569" s="2" t="inlineStr">
        <is>
          <t>Consulting</t>
        </is>
      </c>
      <c r="F569" s="8" t="n">
        <v>807800</v>
      </c>
      <c r="G569" s="2" t="n">
        <v>45</v>
      </c>
      <c r="H569" s="7" t="n">
        <v>46185</v>
      </c>
      <c r="I569" s="7" t="n">
        <v>46185</v>
      </c>
      <c r="J569" s="2" t="inlineStr">
        <is>
          <t>Paid</t>
        </is>
      </c>
      <c r="K569" s="2" t="inlineStr">
        <is>
          <t>Yes</t>
        </is>
      </c>
      <c r="L569" s="9" t="n">
        <v>0.02</v>
      </c>
      <c r="M569" s="2" t="inlineStr">
        <is>
          <t>Received</t>
        </is>
      </c>
      <c r="N569" s="2" t="inlineStr">
        <is>
          <t>Approved</t>
        </is>
      </c>
      <c r="O569" s="2" t="n"/>
      <c r="P569" s="2" t="n"/>
      <c r="Q569" s="2" t="n"/>
      <c r="R569" s="2" t="n"/>
    </row>
    <row r="570">
      <c r="A570" s="2" t="inlineStr">
        <is>
          <t>INV00567</t>
        </is>
      </c>
      <c r="B570" s="7" t="n">
        <v>46050</v>
      </c>
      <c r="C570" s="2" t="inlineStr">
        <is>
          <t>TCS</t>
        </is>
      </c>
      <c r="D570" s="2" t="inlineStr">
        <is>
          <t>Finance</t>
        </is>
      </c>
      <c r="E570" s="2" t="inlineStr">
        <is>
          <t>Professional Services</t>
        </is>
      </c>
      <c r="F570" s="8" t="n">
        <v>74800</v>
      </c>
      <c r="G570" s="2" t="n">
        <v>60</v>
      </c>
      <c r="H570" s="7" t="n">
        <v>46110</v>
      </c>
      <c r="I570" s="7" t="n">
        <v>46110</v>
      </c>
      <c r="J570" s="2" t="inlineStr">
        <is>
          <t>Paid</t>
        </is>
      </c>
      <c r="K570" s="2" t="inlineStr">
        <is>
          <t>No</t>
        </is>
      </c>
      <c r="L570" s="9" t="n">
        <v>0</v>
      </c>
      <c r="M570" s="2" t="inlineStr">
        <is>
          <t>Received</t>
        </is>
      </c>
      <c r="N570" s="2" t="inlineStr">
        <is>
          <t>Approved</t>
        </is>
      </c>
      <c r="O570" s="2" t="n"/>
      <c r="P570" s="2" t="n"/>
      <c r="Q570" s="2" t="n"/>
      <c r="R570" s="2" t="n"/>
    </row>
    <row r="571">
      <c r="A571" s="2" t="inlineStr">
        <is>
          <t>INV00568</t>
        </is>
      </c>
      <c r="B571" s="7" t="n">
        <v>46346</v>
      </c>
      <c r="C571" s="2" t="inlineStr">
        <is>
          <t>Deloitte</t>
        </is>
      </c>
      <c r="D571" s="2" t="inlineStr">
        <is>
          <t>HR</t>
        </is>
      </c>
      <c r="E571" s="2" t="inlineStr">
        <is>
          <t>Travel</t>
        </is>
      </c>
      <c r="F571" s="8" t="n">
        <v>634500</v>
      </c>
      <c r="G571" s="2" t="n">
        <v>15</v>
      </c>
      <c r="H571" s="7" t="n">
        <v>46361</v>
      </c>
      <c r="I571" s="7" t="n">
        <v>46361</v>
      </c>
      <c r="J571" s="2" t="inlineStr">
        <is>
          <t>Paid</t>
        </is>
      </c>
      <c r="K571" s="2" t="inlineStr">
        <is>
          <t>Yes</t>
        </is>
      </c>
      <c r="L571" s="9" t="n">
        <v>0.02</v>
      </c>
      <c r="M571" s="2" t="inlineStr">
        <is>
          <t>Received</t>
        </is>
      </c>
      <c r="N571" s="2" t="inlineStr">
        <is>
          <t>Approved</t>
        </is>
      </c>
      <c r="O571" s="2" t="n"/>
      <c r="P571" s="2" t="n"/>
      <c r="Q571" s="2" t="n"/>
      <c r="R571" s="2" t="n"/>
    </row>
    <row r="572">
      <c r="A572" s="2" t="inlineStr">
        <is>
          <t>INV00569</t>
        </is>
      </c>
      <c r="B572" s="7" t="n">
        <v>46229</v>
      </c>
      <c r="C572" s="2" t="inlineStr">
        <is>
          <t>Oracle</t>
        </is>
      </c>
      <c r="D572" s="2" t="inlineStr">
        <is>
          <t>Marketing</t>
        </is>
      </c>
      <c r="E572" s="2" t="inlineStr">
        <is>
          <t>Cloud</t>
        </is>
      </c>
      <c r="F572" s="8" t="n">
        <v>319700</v>
      </c>
      <c r="G572" s="2" t="n">
        <v>60</v>
      </c>
      <c r="H572" s="7" t="n">
        <v>46289</v>
      </c>
      <c r="I572" s="2" t="n"/>
      <c r="J572" s="2" t="inlineStr">
        <is>
          <t>Pending</t>
        </is>
      </c>
      <c r="K572" s="2" t="inlineStr">
        <is>
          <t>No</t>
        </is>
      </c>
      <c r="L572" s="9" t="n">
        <v>0</v>
      </c>
      <c r="M572" s="2" t="inlineStr">
        <is>
          <t>Received</t>
        </is>
      </c>
      <c r="N572" s="2" t="inlineStr">
        <is>
          <t>Approved</t>
        </is>
      </c>
      <c r="O572" s="2" t="n"/>
      <c r="P572" s="2" t="n"/>
      <c r="Q572" s="2" t="n"/>
      <c r="R572" s="2" t="n"/>
    </row>
    <row r="573">
      <c r="A573" s="2" t="inlineStr">
        <is>
          <t>INV00570</t>
        </is>
      </c>
      <c r="B573" s="7" t="n">
        <v>46251</v>
      </c>
      <c r="C573" s="2" t="inlineStr">
        <is>
          <t>SAP</t>
        </is>
      </c>
      <c r="D573" s="2" t="inlineStr">
        <is>
          <t>Sales</t>
        </is>
      </c>
      <c r="E573" s="2" t="inlineStr">
        <is>
          <t>Office Supplies</t>
        </is>
      </c>
      <c r="F573" s="8" t="n">
        <v>578000</v>
      </c>
      <c r="G573" s="2" t="n">
        <v>15</v>
      </c>
      <c r="H573" s="7" t="n">
        <v>46266</v>
      </c>
      <c r="I573" s="7" t="n">
        <v>46356</v>
      </c>
      <c r="J573" s="2" t="inlineStr">
        <is>
          <t>Paid</t>
        </is>
      </c>
      <c r="K573" s="2" t="inlineStr">
        <is>
          <t>No</t>
        </is>
      </c>
      <c r="L573" s="9" t="n">
        <v>0</v>
      </c>
      <c r="M573" s="2" t="inlineStr">
        <is>
          <t>Received</t>
        </is>
      </c>
      <c r="N573" s="2" t="inlineStr">
        <is>
          <t>Approved</t>
        </is>
      </c>
      <c r="O573" s="2" t="n"/>
      <c r="P573" s="2" t="n"/>
      <c r="Q573" s="2" t="n"/>
      <c r="R573" s="2" t="n"/>
    </row>
    <row r="574">
      <c r="A574" s="2" t="inlineStr">
        <is>
          <t>INV00571</t>
        </is>
      </c>
      <c r="B574" s="7" t="n">
        <v>46213</v>
      </c>
      <c r="C574" s="2" t="inlineStr">
        <is>
          <t>Accenture</t>
        </is>
      </c>
      <c r="D574" s="2" t="inlineStr">
        <is>
          <t>IT</t>
        </is>
      </c>
      <c r="E574" s="2" t="inlineStr">
        <is>
          <t>Office Supplies</t>
        </is>
      </c>
      <c r="F574" s="8" t="n">
        <v>635100</v>
      </c>
      <c r="G574" s="2" t="n">
        <v>15</v>
      </c>
      <c r="H574" s="7" t="n">
        <v>46228</v>
      </c>
      <c r="I574" s="7" t="n">
        <v>46228</v>
      </c>
      <c r="J574" s="2" t="inlineStr">
        <is>
          <t>Paid</t>
        </is>
      </c>
      <c r="K574" s="2" t="inlineStr">
        <is>
          <t>No</t>
        </is>
      </c>
      <c r="L574" s="9" t="n">
        <v>0</v>
      </c>
      <c r="M574" s="2" t="inlineStr">
        <is>
          <t>Received</t>
        </is>
      </c>
      <c r="N574" s="2" t="inlineStr">
        <is>
          <t>Approved</t>
        </is>
      </c>
      <c r="O574" s="2" t="n"/>
      <c r="P574" s="2" t="n"/>
      <c r="Q574" s="2" t="n"/>
      <c r="R574" s="2" t="n"/>
    </row>
    <row r="575">
      <c r="A575" s="2" t="inlineStr">
        <is>
          <t>INV00572</t>
        </is>
      </c>
      <c r="B575" s="7" t="n">
        <v>46298</v>
      </c>
      <c r="C575" s="2" t="inlineStr">
        <is>
          <t>Cognizant</t>
        </is>
      </c>
      <c r="D575" s="2" t="inlineStr">
        <is>
          <t>Marketing</t>
        </is>
      </c>
      <c r="E575" s="2" t="inlineStr">
        <is>
          <t>Software</t>
        </is>
      </c>
      <c r="F575" s="8" t="n">
        <v>186400</v>
      </c>
      <c r="G575" s="2" t="n">
        <v>15</v>
      </c>
      <c r="H575" s="7" t="n">
        <v>46313</v>
      </c>
      <c r="I575" s="2" t="n"/>
      <c r="J575" s="2" t="inlineStr">
        <is>
          <t>Pending</t>
        </is>
      </c>
      <c r="K575" s="2" t="inlineStr">
        <is>
          <t>Yes</t>
        </is>
      </c>
      <c r="L575" s="9" t="n">
        <v>0.02</v>
      </c>
      <c r="M575" s="2" t="inlineStr">
        <is>
          <t>Received</t>
        </is>
      </c>
      <c r="N575" s="2" t="inlineStr">
        <is>
          <t>Approved</t>
        </is>
      </c>
      <c r="O575" s="2" t="n"/>
      <c r="P575" s="2" t="n"/>
      <c r="Q575" s="2" t="n"/>
      <c r="R575" s="2" t="n"/>
    </row>
    <row r="576">
      <c r="A576" s="2" t="inlineStr">
        <is>
          <t>INV00573</t>
        </is>
      </c>
      <c r="B576" s="7" t="n">
        <v>46192</v>
      </c>
      <c r="C576" s="2" t="inlineStr">
        <is>
          <t>Wipro</t>
        </is>
      </c>
      <c r="D576" s="2" t="inlineStr">
        <is>
          <t>Operations</t>
        </is>
      </c>
      <c r="E576" s="2" t="inlineStr">
        <is>
          <t>Facilities</t>
        </is>
      </c>
      <c r="F576" s="8" t="n">
        <v>157800</v>
      </c>
      <c r="G576" s="2" t="n">
        <v>60</v>
      </c>
      <c r="H576" s="7" t="n">
        <v>46252</v>
      </c>
      <c r="I576" s="7" t="n">
        <v>46252</v>
      </c>
      <c r="J576" s="2" t="inlineStr">
        <is>
          <t>Paid</t>
        </is>
      </c>
      <c r="K576" s="2" t="inlineStr">
        <is>
          <t>No</t>
        </is>
      </c>
      <c r="L576" s="9" t="n">
        <v>0</v>
      </c>
      <c r="M576" s="2" t="inlineStr">
        <is>
          <t>Received</t>
        </is>
      </c>
      <c r="N576" s="2" t="inlineStr">
        <is>
          <t>Approved</t>
        </is>
      </c>
      <c r="O576" s="2" t="n"/>
      <c r="P576" s="2" t="n"/>
      <c r="Q576" s="2" t="n"/>
      <c r="R576" s="2" t="n"/>
    </row>
    <row r="577">
      <c r="A577" s="2" t="inlineStr">
        <is>
          <t>INV00574</t>
        </is>
      </c>
      <c r="B577" s="7" t="n">
        <v>46221</v>
      </c>
      <c r="C577" s="2" t="inlineStr">
        <is>
          <t>Microsoft</t>
        </is>
      </c>
      <c r="D577" s="2" t="inlineStr">
        <is>
          <t>IT</t>
        </is>
      </c>
      <c r="E577" s="2" t="inlineStr">
        <is>
          <t>Professional Services</t>
        </is>
      </c>
      <c r="F577" s="8" t="n">
        <v>741900</v>
      </c>
      <c r="G577" s="2" t="n">
        <v>15</v>
      </c>
      <c r="H577" s="7" t="n">
        <v>46236</v>
      </c>
      <c r="I577" s="7" t="n">
        <v>46266</v>
      </c>
      <c r="J577" s="2" t="inlineStr">
        <is>
          <t>Paid</t>
        </is>
      </c>
      <c r="K577" s="2" t="inlineStr">
        <is>
          <t>No</t>
        </is>
      </c>
      <c r="L577" s="9" t="n">
        <v>0</v>
      </c>
      <c r="M577" s="2" t="inlineStr">
        <is>
          <t>Received</t>
        </is>
      </c>
      <c r="N577" s="2" t="inlineStr">
        <is>
          <t>Approved</t>
        </is>
      </c>
      <c r="O577" s="2" t="n"/>
      <c r="P577" s="2" t="n"/>
      <c r="Q577" s="2" t="n"/>
      <c r="R577" s="2" t="n"/>
    </row>
    <row r="578">
      <c r="A578" s="2" t="inlineStr">
        <is>
          <t>INV00575</t>
        </is>
      </c>
      <c r="B578" s="7" t="n">
        <v>46322</v>
      </c>
      <c r="C578" s="2" t="inlineStr">
        <is>
          <t>Accenture</t>
        </is>
      </c>
      <c r="D578" s="2" t="inlineStr">
        <is>
          <t>HR</t>
        </is>
      </c>
      <c r="E578" s="2" t="inlineStr">
        <is>
          <t>Travel</t>
        </is>
      </c>
      <c r="F578" s="8" t="n">
        <v>202100</v>
      </c>
      <c r="G578" s="2" t="n">
        <v>60</v>
      </c>
      <c r="H578" s="7" t="n">
        <v>46382</v>
      </c>
      <c r="I578" s="7" t="n">
        <v>46382</v>
      </c>
      <c r="J578" s="2" t="inlineStr">
        <is>
          <t>Paid</t>
        </is>
      </c>
      <c r="K578" s="2" t="inlineStr">
        <is>
          <t>Yes</t>
        </is>
      </c>
      <c r="L578" s="9" t="n">
        <v>0.02</v>
      </c>
      <c r="M578" s="2" t="inlineStr">
        <is>
          <t>Pending</t>
        </is>
      </c>
      <c r="N578" s="2" t="inlineStr">
        <is>
          <t>Approved</t>
        </is>
      </c>
      <c r="O578" s="2" t="n"/>
      <c r="P578" s="2" t="n"/>
      <c r="Q578" s="2" t="n"/>
      <c r="R578" s="2" t="n"/>
    </row>
    <row r="579">
      <c r="A579" s="2" t="inlineStr">
        <is>
          <t>INV00576</t>
        </is>
      </c>
      <c r="B579" s="7" t="n">
        <v>46128</v>
      </c>
      <c r="C579" s="2" t="inlineStr">
        <is>
          <t>SAP</t>
        </is>
      </c>
      <c r="D579" s="2" t="inlineStr">
        <is>
          <t>Finance</t>
        </is>
      </c>
      <c r="E579" s="2" t="inlineStr">
        <is>
          <t>Travel</t>
        </is>
      </c>
      <c r="F579" s="8" t="n">
        <v>111800</v>
      </c>
      <c r="G579" s="2" t="n">
        <v>30</v>
      </c>
      <c r="H579" s="7" t="n">
        <v>46158</v>
      </c>
      <c r="I579" s="7" t="n">
        <v>46173</v>
      </c>
      <c r="J579" s="2" t="inlineStr">
        <is>
          <t>Paid</t>
        </is>
      </c>
      <c r="K579" s="2" t="inlineStr">
        <is>
          <t>Yes</t>
        </is>
      </c>
      <c r="L579" s="9" t="n">
        <v>0.02</v>
      </c>
      <c r="M579" s="2" t="inlineStr">
        <is>
          <t>Received</t>
        </is>
      </c>
      <c r="N579" s="2" t="inlineStr">
        <is>
          <t>Approved</t>
        </is>
      </c>
      <c r="O579" s="2" t="n"/>
      <c r="P579" s="2" t="n"/>
      <c r="Q579" s="2" t="n"/>
      <c r="R579" s="2" t="n"/>
    </row>
    <row r="580">
      <c r="A580" s="2" t="inlineStr">
        <is>
          <t>INV00577</t>
        </is>
      </c>
      <c r="B580" s="7" t="n">
        <v>46105</v>
      </c>
      <c r="C580" s="2" t="inlineStr">
        <is>
          <t>Wipro</t>
        </is>
      </c>
      <c r="D580" s="2" t="inlineStr">
        <is>
          <t>Operations</t>
        </is>
      </c>
      <c r="E580" s="2" t="inlineStr">
        <is>
          <t>Professional Services</t>
        </is>
      </c>
      <c r="F580" s="8" t="n">
        <v>9800</v>
      </c>
      <c r="G580" s="2" t="n">
        <v>60</v>
      </c>
      <c r="H580" s="7" t="n">
        <v>46165</v>
      </c>
      <c r="I580" s="7" t="n">
        <v>46170</v>
      </c>
      <c r="J580" s="2" t="inlineStr">
        <is>
          <t>Paid</t>
        </is>
      </c>
      <c r="K580" s="2" t="inlineStr">
        <is>
          <t>No</t>
        </is>
      </c>
      <c r="L580" s="9" t="n">
        <v>0</v>
      </c>
      <c r="M580" s="2" t="inlineStr">
        <is>
          <t>Received</t>
        </is>
      </c>
      <c r="N580" s="2" t="inlineStr">
        <is>
          <t>Approved</t>
        </is>
      </c>
      <c r="O580" s="2" t="n"/>
      <c r="P580" s="2" t="n"/>
      <c r="Q580" s="2" t="n"/>
      <c r="R580" s="2" t="n"/>
    </row>
    <row r="581">
      <c r="A581" s="2" t="inlineStr">
        <is>
          <t>INV00578</t>
        </is>
      </c>
      <c r="B581" s="7" t="n">
        <v>46354</v>
      </c>
      <c r="C581" s="2" t="inlineStr">
        <is>
          <t>Wipro</t>
        </is>
      </c>
      <c r="D581" s="2" t="inlineStr">
        <is>
          <t>Operations</t>
        </is>
      </c>
      <c r="E581" s="2" t="inlineStr">
        <is>
          <t>Professional Services</t>
        </is>
      </c>
      <c r="F581" s="8" t="n">
        <v>696900</v>
      </c>
      <c r="G581" s="2" t="n">
        <v>60</v>
      </c>
      <c r="H581" s="7" t="n">
        <v>46414</v>
      </c>
      <c r="I581" s="7" t="n">
        <v>46414</v>
      </c>
      <c r="J581" s="2" t="inlineStr">
        <is>
          <t>Paid</t>
        </is>
      </c>
      <c r="K581" s="2" t="inlineStr">
        <is>
          <t>No</t>
        </is>
      </c>
      <c r="L581" s="9" t="n">
        <v>0</v>
      </c>
      <c r="M581" s="2" t="inlineStr">
        <is>
          <t>Received</t>
        </is>
      </c>
      <c r="N581" s="2" t="inlineStr">
        <is>
          <t>Pending</t>
        </is>
      </c>
      <c r="O581" s="2" t="n"/>
      <c r="P581" s="2" t="n"/>
      <c r="Q581" s="2" t="n"/>
      <c r="R581" s="2" t="n"/>
    </row>
    <row r="582">
      <c r="A582" s="2" t="inlineStr">
        <is>
          <t>INV00579</t>
        </is>
      </c>
      <c r="B582" s="7" t="n">
        <v>46242</v>
      </c>
      <c r="C582" s="2" t="inlineStr">
        <is>
          <t>Wipro</t>
        </is>
      </c>
      <c r="D582" s="2" t="inlineStr">
        <is>
          <t>IT</t>
        </is>
      </c>
      <c r="E582" s="2" t="inlineStr">
        <is>
          <t>Office Supplies</t>
        </is>
      </c>
      <c r="F582" s="8" t="n">
        <v>108400</v>
      </c>
      <c r="G582" s="2" t="n">
        <v>15</v>
      </c>
      <c r="H582" s="7" t="n">
        <v>46257</v>
      </c>
      <c r="I582" s="7" t="n">
        <v>46262</v>
      </c>
      <c r="J582" s="2" t="inlineStr">
        <is>
          <t>Paid</t>
        </is>
      </c>
      <c r="K582" s="2" t="inlineStr">
        <is>
          <t>No</t>
        </is>
      </c>
      <c r="L582" s="9" t="n">
        <v>0</v>
      </c>
      <c r="M582" s="2" t="inlineStr">
        <is>
          <t>Received</t>
        </is>
      </c>
      <c r="N582" s="2" t="inlineStr">
        <is>
          <t>Approved</t>
        </is>
      </c>
      <c r="O582" s="2" t="n"/>
      <c r="P582" s="2" t="n"/>
      <c r="Q582" s="2" t="n"/>
      <c r="R582" s="2" t="n"/>
    </row>
    <row r="583">
      <c r="A583" s="2" t="inlineStr">
        <is>
          <t>INV00580</t>
        </is>
      </c>
      <c r="B583" s="7" t="n">
        <v>46338</v>
      </c>
      <c r="C583" s="2" t="inlineStr">
        <is>
          <t>IBM</t>
        </is>
      </c>
      <c r="D583" s="2" t="inlineStr">
        <is>
          <t>Sales</t>
        </is>
      </c>
      <c r="E583" s="2" t="inlineStr">
        <is>
          <t>Professional Services</t>
        </is>
      </c>
      <c r="F583" s="8" t="n">
        <v>794700</v>
      </c>
      <c r="G583" s="2" t="n">
        <v>15</v>
      </c>
      <c r="H583" s="7" t="n">
        <v>46353</v>
      </c>
      <c r="I583" s="7" t="n">
        <v>46353</v>
      </c>
      <c r="J583" s="2" t="inlineStr">
        <is>
          <t>Paid</t>
        </is>
      </c>
      <c r="K583" s="2" t="inlineStr">
        <is>
          <t>Yes</t>
        </is>
      </c>
      <c r="L583" s="9" t="n">
        <v>0.02</v>
      </c>
      <c r="M583" s="2" t="inlineStr">
        <is>
          <t>Pending</t>
        </is>
      </c>
      <c r="N583" s="2" t="inlineStr">
        <is>
          <t>Approved</t>
        </is>
      </c>
      <c r="O583" s="2" t="n"/>
      <c r="P583" s="2" t="n"/>
      <c r="Q583" s="2" t="n"/>
      <c r="R583" s="2" t="n"/>
    </row>
    <row r="584">
      <c r="A584" s="2" t="inlineStr">
        <is>
          <t>INV00581</t>
        </is>
      </c>
      <c r="B584" s="7" t="n">
        <v>46323</v>
      </c>
      <c r="C584" s="2" t="inlineStr">
        <is>
          <t>HCLTech</t>
        </is>
      </c>
      <c r="D584" s="2" t="inlineStr">
        <is>
          <t>Sales</t>
        </is>
      </c>
      <c r="E584" s="2" t="inlineStr">
        <is>
          <t>Travel</t>
        </is>
      </c>
      <c r="F584" s="8" t="n">
        <v>470000</v>
      </c>
      <c r="G584" s="2" t="n">
        <v>60</v>
      </c>
      <c r="H584" s="7" t="n">
        <v>46383</v>
      </c>
      <c r="I584" s="2" t="n"/>
      <c r="J584" s="2" t="inlineStr">
        <is>
          <t>Pending</t>
        </is>
      </c>
      <c r="K584" s="2" t="inlineStr">
        <is>
          <t>No</t>
        </is>
      </c>
      <c r="L584" s="9" t="n">
        <v>0</v>
      </c>
      <c r="M584" s="2" t="inlineStr">
        <is>
          <t>Received</t>
        </is>
      </c>
      <c r="N584" s="2" t="inlineStr">
        <is>
          <t>Approved</t>
        </is>
      </c>
      <c r="O584" s="2" t="n"/>
      <c r="P584" s="2" t="n"/>
      <c r="Q584" s="2" t="n"/>
      <c r="R584" s="2" t="n"/>
    </row>
    <row r="585">
      <c r="A585" s="2" t="inlineStr">
        <is>
          <t>INV00582</t>
        </is>
      </c>
      <c r="B585" s="7" t="n">
        <v>46260</v>
      </c>
      <c r="C585" s="2" t="inlineStr">
        <is>
          <t>HCLTech</t>
        </is>
      </c>
      <c r="D585" s="2" t="inlineStr">
        <is>
          <t>Finance</t>
        </is>
      </c>
      <c r="E585" s="2" t="inlineStr">
        <is>
          <t>Office Supplies</t>
        </is>
      </c>
      <c r="F585" s="8" t="n">
        <v>811900</v>
      </c>
      <c r="G585" s="2" t="n">
        <v>30</v>
      </c>
      <c r="H585" s="7" t="n">
        <v>46290</v>
      </c>
      <c r="I585" s="7" t="n">
        <v>46290</v>
      </c>
      <c r="J585" s="2" t="inlineStr">
        <is>
          <t>Paid</t>
        </is>
      </c>
      <c r="K585" s="2" t="inlineStr">
        <is>
          <t>No</t>
        </is>
      </c>
      <c r="L585" s="9" t="n">
        <v>0</v>
      </c>
      <c r="M585" s="2" t="inlineStr">
        <is>
          <t>Received</t>
        </is>
      </c>
      <c r="N585" s="2" t="inlineStr">
        <is>
          <t>Approved</t>
        </is>
      </c>
      <c r="O585" s="2" t="n"/>
      <c r="P585" s="2" t="n"/>
      <c r="Q585" s="2" t="n"/>
      <c r="R585" s="2" t="n"/>
    </row>
    <row r="586">
      <c r="A586" s="2" t="inlineStr">
        <is>
          <t>INV00583</t>
        </is>
      </c>
      <c r="B586" s="7" t="n">
        <v>46244</v>
      </c>
      <c r="C586" s="2" t="inlineStr">
        <is>
          <t>TCS</t>
        </is>
      </c>
      <c r="D586" s="2" t="inlineStr">
        <is>
          <t>Finance</t>
        </is>
      </c>
      <c r="E586" s="2" t="inlineStr">
        <is>
          <t>Office Supplies</t>
        </is>
      </c>
      <c r="F586" s="8" t="n">
        <v>519100</v>
      </c>
      <c r="G586" s="2" t="n">
        <v>15</v>
      </c>
      <c r="H586" s="7" t="n">
        <v>46259</v>
      </c>
      <c r="I586" s="7" t="n">
        <v>46259</v>
      </c>
      <c r="J586" s="2" t="inlineStr">
        <is>
          <t>Paid</t>
        </is>
      </c>
      <c r="K586" s="2" t="inlineStr">
        <is>
          <t>No</t>
        </is>
      </c>
      <c r="L586" s="9" t="n">
        <v>0</v>
      </c>
      <c r="M586" s="2" t="inlineStr">
        <is>
          <t>Pending</t>
        </is>
      </c>
      <c r="N586" s="2" t="inlineStr">
        <is>
          <t>Approved</t>
        </is>
      </c>
      <c r="O586" s="2" t="n"/>
      <c r="P586" s="2" t="n"/>
      <c r="Q586" s="2" t="n"/>
      <c r="R586" s="2" t="n"/>
    </row>
    <row r="587">
      <c r="A587" s="2" t="inlineStr">
        <is>
          <t>INV00584</t>
        </is>
      </c>
      <c r="B587" s="7" t="n">
        <v>46064</v>
      </c>
      <c r="C587" s="2" t="inlineStr">
        <is>
          <t>Adobe</t>
        </is>
      </c>
      <c r="D587" s="2" t="inlineStr">
        <is>
          <t>IT</t>
        </is>
      </c>
      <c r="E587" s="2" t="inlineStr">
        <is>
          <t>Office Supplies</t>
        </is>
      </c>
      <c r="F587" s="8" t="n">
        <v>418100</v>
      </c>
      <c r="G587" s="2" t="n">
        <v>30</v>
      </c>
      <c r="H587" s="7" t="n">
        <v>46094</v>
      </c>
      <c r="I587" s="2" t="n"/>
      <c r="J587" s="2" t="inlineStr">
        <is>
          <t>Pending</t>
        </is>
      </c>
      <c r="K587" s="2" t="inlineStr">
        <is>
          <t>No</t>
        </is>
      </c>
      <c r="L587" s="9" t="n">
        <v>0</v>
      </c>
      <c r="M587" s="2" t="inlineStr">
        <is>
          <t>Received</t>
        </is>
      </c>
      <c r="N587" s="2" t="inlineStr">
        <is>
          <t>Approved</t>
        </is>
      </c>
      <c r="O587" s="2" t="n"/>
      <c r="P587" s="2" t="n"/>
      <c r="Q587" s="2" t="n"/>
      <c r="R587" s="2" t="n"/>
    </row>
    <row r="588">
      <c r="A588" s="2" t="inlineStr">
        <is>
          <t>INV00585</t>
        </is>
      </c>
      <c r="B588" s="7" t="n">
        <v>46274</v>
      </c>
      <c r="C588" s="2" t="inlineStr">
        <is>
          <t>Zoho</t>
        </is>
      </c>
      <c r="D588" s="2" t="inlineStr">
        <is>
          <t>Finance</t>
        </is>
      </c>
      <c r="E588" s="2" t="inlineStr">
        <is>
          <t>Facilities</t>
        </is>
      </c>
      <c r="F588" s="8" t="n">
        <v>945000</v>
      </c>
      <c r="G588" s="2" t="n">
        <v>15</v>
      </c>
      <c r="H588" s="7" t="n">
        <v>46289</v>
      </c>
      <c r="I588" s="2" t="n"/>
      <c r="J588" s="2" t="inlineStr">
        <is>
          <t>Pending</t>
        </is>
      </c>
      <c r="K588" s="2" t="inlineStr">
        <is>
          <t>No</t>
        </is>
      </c>
      <c r="L588" s="9" t="n">
        <v>0</v>
      </c>
      <c r="M588" s="2" t="inlineStr">
        <is>
          <t>Received</t>
        </is>
      </c>
      <c r="N588" s="2" t="inlineStr">
        <is>
          <t>Pending</t>
        </is>
      </c>
      <c r="O588" s="2" t="n"/>
      <c r="P588" s="2" t="n"/>
      <c r="Q588" s="2" t="n"/>
      <c r="R588" s="2" t="n"/>
    </row>
    <row r="589">
      <c r="A589" s="2" t="inlineStr">
        <is>
          <t>INV00586</t>
        </is>
      </c>
      <c r="B589" s="7" t="n">
        <v>46315</v>
      </c>
      <c r="C589" s="2" t="inlineStr">
        <is>
          <t>Cognizant</t>
        </is>
      </c>
      <c r="D589" s="2" t="inlineStr">
        <is>
          <t>IT</t>
        </is>
      </c>
      <c r="E589" s="2" t="inlineStr">
        <is>
          <t>Facilities</t>
        </is>
      </c>
      <c r="F589" s="8" t="n">
        <v>129300</v>
      </c>
      <c r="G589" s="2" t="n">
        <v>15</v>
      </c>
      <c r="H589" s="7" t="n">
        <v>46330</v>
      </c>
      <c r="I589" s="2" t="n"/>
      <c r="J589" s="2" t="inlineStr">
        <is>
          <t>Pending</t>
        </is>
      </c>
      <c r="K589" s="2" t="inlineStr">
        <is>
          <t>No</t>
        </is>
      </c>
      <c r="L589" s="9" t="n">
        <v>0</v>
      </c>
      <c r="M589" s="2" t="inlineStr">
        <is>
          <t>Received</t>
        </is>
      </c>
      <c r="N589" s="2" t="inlineStr">
        <is>
          <t>Approved</t>
        </is>
      </c>
      <c r="O589" s="2" t="n"/>
      <c r="P589" s="2" t="n"/>
      <c r="Q589" s="2" t="n"/>
      <c r="R589" s="2" t="n"/>
    </row>
    <row r="590">
      <c r="A590" s="2" t="inlineStr">
        <is>
          <t>INV00587</t>
        </is>
      </c>
      <c r="B590" s="7" t="n">
        <v>46259</v>
      </c>
      <c r="C590" s="2" t="inlineStr">
        <is>
          <t>Google Cloud</t>
        </is>
      </c>
      <c r="D590" s="2" t="inlineStr">
        <is>
          <t>Operations</t>
        </is>
      </c>
      <c r="E590" s="2" t="inlineStr">
        <is>
          <t>Travel</t>
        </is>
      </c>
      <c r="F590" s="8" t="n">
        <v>42800</v>
      </c>
      <c r="G590" s="2" t="n">
        <v>15</v>
      </c>
      <c r="H590" s="7" t="n">
        <v>46274</v>
      </c>
      <c r="I590" s="7" t="n">
        <v>46274</v>
      </c>
      <c r="J590" s="2" t="inlineStr">
        <is>
          <t>Paid</t>
        </is>
      </c>
      <c r="K590" s="2" t="inlineStr">
        <is>
          <t>No</t>
        </is>
      </c>
      <c r="L590" s="9" t="n">
        <v>0</v>
      </c>
      <c r="M590" s="2" t="inlineStr">
        <is>
          <t>Received</t>
        </is>
      </c>
      <c r="N590" s="2" t="inlineStr">
        <is>
          <t>Approved</t>
        </is>
      </c>
      <c r="O590" s="2" t="n"/>
      <c r="P590" s="2" t="n"/>
      <c r="Q590" s="2" t="n"/>
      <c r="R590" s="2" t="n"/>
    </row>
    <row r="591">
      <c r="A591" s="2" t="inlineStr">
        <is>
          <t>INV00588</t>
        </is>
      </c>
      <c r="B591" s="7" t="n">
        <v>46245</v>
      </c>
      <c r="C591" s="2" t="inlineStr">
        <is>
          <t>Infosys</t>
        </is>
      </c>
      <c r="D591" s="2" t="inlineStr">
        <is>
          <t>Marketing</t>
        </is>
      </c>
      <c r="E591" s="2" t="inlineStr">
        <is>
          <t>Cloud</t>
        </is>
      </c>
      <c r="F591" s="8" t="n">
        <v>786400</v>
      </c>
      <c r="G591" s="2" t="n">
        <v>15</v>
      </c>
      <c r="H591" s="7" t="n">
        <v>46260</v>
      </c>
      <c r="I591" s="7" t="n">
        <v>46265</v>
      </c>
      <c r="J591" s="2" t="inlineStr">
        <is>
          <t>Paid</t>
        </is>
      </c>
      <c r="K591" s="2" t="inlineStr">
        <is>
          <t>Yes</t>
        </is>
      </c>
      <c r="L591" s="9" t="n">
        <v>0.02</v>
      </c>
      <c r="M591" s="2" t="inlineStr">
        <is>
          <t>Received</t>
        </is>
      </c>
      <c r="N591" s="2" t="inlineStr">
        <is>
          <t>Approved</t>
        </is>
      </c>
      <c r="O591" s="2" t="n"/>
      <c r="P591" s="2" t="n"/>
      <c r="Q591" s="2" t="n"/>
      <c r="R591" s="2" t="n"/>
    </row>
    <row r="592">
      <c r="A592" s="2" t="inlineStr">
        <is>
          <t>INV00589</t>
        </is>
      </c>
      <c r="B592" s="7" t="n">
        <v>46117</v>
      </c>
      <c r="C592" s="2" t="inlineStr">
        <is>
          <t>Cognizant</t>
        </is>
      </c>
      <c r="D592" s="2" t="inlineStr">
        <is>
          <t>Operations</t>
        </is>
      </c>
      <c r="E592" s="2" t="inlineStr">
        <is>
          <t>Professional Services</t>
        </is>
      </c>
      <c r="F592" s="8" t="n">
        <v>963900</v>
      </c>
      <c r="G592" s="2" t="n">
        <v>60</v>
      </c>
      <c r="H592" s="7" t="n">
        <v>46177</v>
      </c>
      <c r="I592" s="2" t="n"/>
      <c r="J592" s="2" t="inlineStr">
        <is>
          <t>Pending</t>
        </is>
      </c>
      <c r="K592" s="2" t="inlineStr">
        <is>
          <t>No</t>
        </is>
      </c>
      <c r="L592" s="9" t="n">
        <v>0</v>
      </c>
      <c r="M592" s="2" t="inlineStr">
        <is>
          <t>Received</t>
        </is>
      </c>
      <c r="N592" s="2" t="inlineStr">
        <is>
          <t>Approved</t>
        </is>
      </c>
      <c r="O592" s="2" t="n"/>
      <c r="P592" s="2" t="n"/>
      <c r="Q592" s="2" t="n"/>
      <c r="R592" s="2" t="n"/>
    </row>
    <row r="593">
      <c r="A593" s="2" t="inlineStr">
        <is>
          <t>INV00590</t>
        </is>
      </c>
      <c r="B593" s="7" t="n">
        <v>46268</v>
      </c>
      <c r="C593" s="2" t="inlineStr">
        <is>
          <t>Amazon Web Services</t>
        </is>
      </c>
      <c r="D593" s="2" t="inlineStr">
        <is>
          <t>HR</t>
        </is>
      </c>
      <c r="E593" s="2" t="inlineStr">
        <is>
          <t>Consulting</t>
        </is>
      </c>
      <c r="F593" s="8" t="n">
        <v>245600</v>
      </c>
      <c r="G593" s="2" t="n">
        <v>60</v>
      </c>
      <c r="H593" s="7" t="n">
        <v>46328</v>
      </c>
      <c r="I593" s="7" t="n">
        <v>46328</v>
      </c>
      <c r="J593" s="2" t="inlineStr">
        <is>
          <t>Paid</t>
        </is>
      </c>
      <c r="K593" s="2" t="inlineStr">
        <is>
          <t>No</t>
        </is>
      </c>
      <c r="L593" s="9" t="n">
        <v>0</v>
      </c>
      <c r="M593" s="2" t="inlineStr">
        <is>
          <t>Received</t>
        </is>
      </c>
      <c r="N593" s="2" t="inlineStr">
        <is>
          <t>Approved</t>
        </is>
      </c>
      <c r="O593" s="2" t="n"/>
      <c r="P593" s="2" t="n"/>
      <c r="Q593" s="2" t="n"/>
      <c r="R593" s="2" t="n"/>
    </row>
    <row r="594">
      <c r="A594" s="2" t="inlineStr">
        <is>
          <t>INV00591</t>
        </is>
      </c>
      <c r="B594" s="7" t="n">
        <v>46349</v>
      </c>
      <c r="C594" s="2" t="inlineStr">
        <is>
          <t>Cognizant</t>
        </is>
      </c>
      <c r="D594" s="2" t="inlineStr">
        <is>
          <t>Sales</t>
        </is>
      </c>
      <c r="E594" s="2" t="inlineStr">
        <is>
          <t>Office Supplies</t>
        </is>
      </c>
      <c r="F594" s="8" t="n">
        <v>914300</v>
      </c>
      <c r="G594" s="2" t="n">
        <v>45</v>
      </c>
      <c r="H594" s="7" t="n">
        <v>46394</v>
      </c>
      <c r="I594" s="2" t="n"/>
      <c r="J594" s="2" t="inlineStr">
        <is>
          <t>Pending</t>
        </is>
      </c>
      <c r="K594" s="2" t="inlineStr">
        <is>
          <t>Yes</t>
        </is>
      </c>
      <c r="L594" s="9" t="n">
        <v>0.02</v>
      </c>
      <c r="M594" s="2" t="inlineStr">
        <is>
          <t>Received</t>
        </is>
      </c>
      <c r="N594" s="2" t="inlineStr">
        <is>
          <t>Approved</t>
        </is>
      </c>
      <c r="O594" s="2" t="n"/>
      <c r="P594" s="2" t="n"/>
      <c r="Q594" s="2" t="n"/>
      <c r="R594" s="2" t="n"/>
    </row>
    <row r="595">
      <c r="A595" s="2" t="inlineStr">
        <is>
          <t>INV00592</t>
        </is>
      </c>
      <c r="B595" s="7" t="n">
        <v>46285</v>
      </c>
      <c r="C595" s="2" t="inlineStr">
        <is>
          <t>Zoho</t>
        </is>
      </c>
      <c r="D595" s="2" t="inlineStr">
        <is>
          <t>Finance</t>
        </is>
      </c>
      <c r="E595" s="2" t="inlineStr">
        <is>
          <t>Travel</t>
        </is>
      </c>
      <c r="F595" s="8" t="n">
        <v>403900</v>
      </c>
      <c r="G595" s="2" t="n">
        <v>60</v>
      </c>
      <c r="H595" s="7" t="n">
        <v>46345</v>
      </c>
      <c r="I595" s="7" t="n">
        <v>46405</v>
      </c>
      <c r="J595" s="2" t="inlineStr">
        <is>
          <t>Paid</t>
        </is>
      </c>
      <c r="K595" s="2" t="inlineStr">
        <is>
          <t>No</t>
        </is>
      </c>
      <c r="L595" s="9" t="n">
        <v>0</v>
      </c>
      <c r="M595" s="2" t="inlineStr">
        <is>
          <t>Received</t>
        </is>
      </c>
      <c r="N595" s="2" t="inlineStr">
        <is>
          <t>Approved</t>
        </is>
      </c>
      <c r="O595" s="2" t="n"/>
      <c r="P595" s="2" t="n"/>
      <c r="Q595" s="2" t="n"/>
      <c r="R595" s="2" t="n"/>
    </row>
    <row r="596">
      <c r="A596" s="2" t="inlineStr">
        <is>
          <t>INV00593</t>
        </is>
      </c>
      <c r="B596" s="7" t="n">
        <v>46145</v>
      </c>
      <c r="C596" s="2" t="inlineStr">
        <is>
          <t>Microsoft</t>
        </is>
      </c>
      <c r="D596" s="2" t="inlineStr">
        <is>
          <t>Marketing</t>
        </is>
      </c>
      <c r="E596" s="2" t="inlineStr">
        <is>
          <t>Consulting</t>
        </is>
      </c>
      <c r="F596" s="8" t="n">
        <v>182600</v>
      </c>
      <c r="G596" s="2" t="n">
        <v>60</v>
      </c>
      <c r="H596" s="7" t="n">
        <v>46205</v>
      </c>
      <c r="I596" s="7" t="n">
        <v>46205</v>
      </c>
      <c r="J596" s="2" t="inlineStr">
        <is>
          <t>Paid</t>
        </is>
      </c>
      <c r="K596" s="2" t="inlineStr">
        <is>
          <t>Yes</t>
        </is>
      </c>
      <c r="L596" s="9" t="n">
        <v>0.02</v>
      </c>
      <c r="M596" s="2" t="inlineStr">
        <is>
          <t>Received</t>
        </is>
      </c>
      <c r="N596" s="2" t="inlineStr">
        <is>
          <t>Approved</t>
        </is>
      </c>
      <c r="O596" s="2" t="n"/>
      <c r="P596" s="2" t="n"/>
      <c r="Q596" s="2" t="n"/>
      <c r="R596" s="2" t="n"/>
    </row>
    <row r="597">
      <c r="A597" s="2" t="inlineStr">
        <is>
          <t>INV00594</t>
        </is>
      </c>
      <c r="B597" s="7" t="n">
        <v>46198</v>
      </c>
      <c r="C597" s="2" t="inlineStr">
        <is>
          <t>SAP</t>
        </is>
      </c>
      <c r="D597" s="2" t="inlineStr">
        <is>
          <t>Finance</t>
        </is>
      </c>
      <c r="E597" s="2" t="inlineStr">
        <is>
          <t>Software</t>
        </is>
      </c>
      <c r="F597" s="8" t="n">
        <v>654900</v>
      </c>
      <c r="G597" s="2" t="n">
        <v>15</v>
      </c>
      <c r="H597" s="7" t="n">
        <v>46213</v>
      </c>
      <c r="I597" s="7" t="n">
        <v>46228</v>
      </c>
      <c r="J597" s="2" t="inlineStr">
        <is>
          <t>Paid</t>
        </is>
      </c>
      <c r="K597" s="2" t="inlineStr">
        <is>
          <t>No</t>
        </is>
      </c>
      <c r="L597" s="9" t="n">
        <v>0</v>
      </c>
      <c r="M597" s="2" t="inlineStr">
        <is>
          <t>Pending</t>
        </is>
      </c>
      <c r="N597" s="2" t="inlineStr">
        <is>
          <t>Approved</t>
        </is>
      </c>
      <c r="O597" s="2" t="n"/>
      <c r="P597" s="2" t="n"/>
      <c r="Q597" s="2" t="n"/>
      <c r="R597" s="2" t="n"/>
    </row>
    <row r="598">
      <c r="A598" s="2" t="inlineStr">
        <is>
          <t>INV00595</t>
        </is>
      </c>
      <c r="B598" s="7" t="n">
        <v>46049</v>
      </c>
      <c r="C598" s="2" t="inlineStr">
        <is>
          <t>Oracle</t>
        </is>
      </c>
      <c r="D598" s="2" t="inlineStr">
        <is>
          <t>HR</t>
        </is>
      </c>
      <c r="E598" s="2" t="inlineStr">
        <is>
          <t>Travel</t>
        </is>
      </c>
      <c r="F598" s="8" t="n">
        <v>35300</v>
      </c>
      <c r="G598" s="2" t="n">
        <v>45</v>
      </c>
      <c r="H598" s="7" t="n">
        <v>46094</v>
      </c>
      <c r="I598" s="7" t="n">
        <v>46099</v>
      </c>
      <c r="J598" s="2" t="inlineStr">
        <is>
          <t>Paid</t>
        </is>
      </c>
      <c r="K598" s="2" t="inlineStr">
        <is>
          <t>Yes</t>
        </is>
      </c>
      <c r="L598" s="9" t="n">
        <v>0.02</v>
      </c>
      <c r="M598" s="2" t="inlineStr">
        <is>
          <t>Received</t>
        </is>
      </c>
      <c r="N598" s="2" t="inlineStr">
        <is>
          <t>Approved</t>
        </is>
      </c>
      <c r="O598" s="2" t="n"/>
      <c r="P598" s="2" t="n"/>
      <c r="Q598" s="2" t="n"/>
      <c r="R598" s="2" t="n"/>
    </row>
    <row r="599">
      <c r="A599" s="2" t="inlineStr">
        <is>
          <t>INV00596</t>
        </is>
      </c>
      <c r="B599" s="7" t="n">
        <v>46375</v>
      </c>
      <c r="C599" s="2" t="inlineStr">
        <is>
          <t>Accenture</t>
        </is>
      </c>
      <c r="D599" s="2" t="inlineStr">
        <is>
          <t>Sales</t>
        </is>
      </c>
      <c r="E599" s="2" t="inlineStr">
        <is>
          <t>Travel</t>
        </is>
      </c>
      <c r="F599" s="8" t="n">
        <v>90800</v>
      </c>
      <c r="G599" s="2" t="n">
        <v>30</v>
      </c>
      <c r="H599" s="7" t="n">
        <v>46405</v>
      </c>
      <c r="I599" s="7" t="n">
        <v>46405</v>
      </c>
      <c r="J599" s="2" t="inlineStr">
        <is>
          <t>Paid</t>
        </is>
      </c>
      <c r="K599" s="2" t="inlineStr">
        <is>
          <t>Yes</t>
        </is>
      </c>
      <c r="L599" s="9" t="n">
        <v>0.02</v>
      </c>
      <c r="M599" s="2" t="inlineStr">
        <is>
          <t>Received</t>
        </is>
      </c>
      <c r="N599" s="2" t="inlineStr">
        <is>
          <t>Approved</t>
        </is>
      </c>
      <c r="O599" s="2" t="n"/>
      <c r="P599" s="2" t="n"/>
      <c r="Q599" s="2" t="n"/>
      <c r="R599" s="2" t="n"/>
    </row>
    <row r="600">
      <c r="A600" s="2" t="inlineStr">
        <is>
          <t>INV00597</t>
        </is>
      </c>
      <c r="B600" s="7" t="n">
        <v>46188</v>
      </c>
      <c r="C600" s="2" t="inlineStr">
        <is>
          <t>Amazon Web Services</t>
        </is>
      </c>
      <c r="D600" s="2" t="inlineStr">
        <is>
          <t>Finance</t>
        </is>
      </c>
      <c r="E600" s="2" t="inlineStr">
        <is>
          <t>Travel</t>
        </is>
      </c>
      <c r="F600" s="8" t="n">
        <v>208000</v>
      </c>
      <c r="G600" s="2" t="n">
        <v>60</v>
      </c>
      <c r="H600" s="7" t="n">
        <v>46248</v>
      </c>
      <c r="I600" s="7" t="n">
        <v>46248</v>
      </c>
      <c r="J600" s="2" t="inlineStr">
        <is>
          <t>Paid</t>
        </is>
      </c>
      <c r="K600" s="2" t="inlineStr">
        <is>
          <t>Yes</t>
        </is>
      </c>
      <c r="L600" s="9" t="n">
        <v>0.02</v>
      </c>
      <c r="M600" s="2" t="inlineStr">
        <is>
          <t>Received</t>
        </is>
      </c>
      <c r="N600" s="2" t="inlineStr">
        <is>
          <t>Approved</t>
        </is>
      </c>
      <c r="O600" s="2" t="n"/>
      <c r="P600" s="2" t="n"/>
      <c r="Q600" s="2" t="n"/>
      <c r="R600" s="2" t="n"/>
    </row>
    <row r="601">
      <c r="A601" s="2" t="inlineStr">
        <is>
          <t>INV00598</t>
        </is>
      </c>
      <c r="B601" s="7" t="n">
        <v>46222</v>
      </c>
      <c r="C601" s="2" t="inlineStr">
        <is>
          <t>Google Cloud</t>
        </is>
      </c>
      <c r="D601" s="2" t="inlineStr">
        <is>
          <t>Marketing</t>
        </is>
      </c>
      <c r="E601" s="2" t="inlineStr">
        <is>
          <t>Facilities</t>
        </is>
      </c>
      <c r="F601" s="8" t="n">
        <v>688200</v>
      </c>
      <c r="G601" s="2" t="n">
        <v>60</v>
      </c>
      <c r="H601" s="7" t="n">
        <v>46282</v>
      </c>
      <c r="I601" s="2" t="n"/>
      <c r="J601" s="2" t="inlineStr">
        <is>
          <t>Pending</t>
        </is>
      </c>
      <c r="K601" s="2" t="inlineStr">
        <is>
          <t>No</t>
        </is>
      </c>
      <c r="L601" s="9" t="n">
        <v>0</v>
      </c>
      <c r="M601" s="2" t="inlineStr">
        <is>
          <t>Pending</t>
        </is>
      </c>
      <c r="N601" s="2" t="inlineStr">
        <is>
          <t>Approved</t>
        </is>
      </c>
      <c r="O601" s="2" t="n"/>
      <c r="P601" s="2" t="n"/>
      <c r="Q601" s="2" t="n"/>
      <c r="R601" s="2" t="n"/>
    </row>
    <row r="602">
      <c r="A602" s="2" t="inlineStr">
        <is>
          <t>INV00599</t>
        </is>
      </c>
      <c r="B602" s="7" t="n">
        <v>46230</v>
      </c>
      <c r="C602" s="2" t="inlineStr">
        <is>
          <t>Deloitte</t>
        </is>
      </c>
      <c r="D602" s="2" t="inlineStr">
        <is>
          <t>Finance</t>
        </is>
      </c>
      <c r="E602" s="2" t="inlineStr">
        <is>
          <t>Office Supplies</t>
        </is>
      </c>
      <c r="F602" s="8" t="n">
        <v>123800</v>
      </c>
      <c r="G602" s="2" t="n">
        <v>30</v>
      </c>
      <c r="H602" s="7" t="n">
        <v>46260</v>
      </c>
      <c r="I602" s="7" t="n">
        <v>46260</v>
      </c>
      <c r="J602" s="2" t="inlineStr">
        <is>
          <t>Paid</t>
        </is>
      </c>
      <c r="K602" s="2" t="inlineStr">
        <is>
          <t>Yes</t>
        </is>
      </c>
      <c r="L602" s="9" t="n">
        <v>0.02</v>
      </c>
      <c r="M602" s="2" t="inlineStr">
        <is>
          <t>Received</t>
        </is>
      </c>
      <c r="N602" s="2" t="inlineStr">
        <is>
          <t>Approved</t>
        </is>
      </c>
      <c r="O602" s="2" t="n"/>
      <c r="P602" s="2" t="n"/>
      <c r="Q602" s="2" t="n"/>
      <c r="R602" s="2" t="n"/>
    </row>
    <row r="603">
      <c r="A603" s="2" t="inlineStr">
        <is>
          <t>INV00600</t>
        </is>
      </c>
      <c r="B603" s="7" t="n">
        <v>46073</v>
      </c>
      <c r="C603" s="2" t="inlineStr">
        <is>
          <t>HCLTech</t>
        </is>
      </c>
      <c r="D603" s="2" t="inlineStr">
        <is>
          <t>Operations</t>
        </is>
      </c>
      <c r="E603" s="2" t="inlineStr">
        <is>
          <t>Software</t>
        </is>
      </c>
      <c r="F603" s="8" t="n">
        <v>95500</v>
      </c>
      <c r="G603" s="2" t="n">
        <v>15</v>
      </c>
      <c r="H603" s="7" t="n">
        <v>46088</v>
      </c>
      <c r="I603" s="7" t="n">
        <v>46088</v>
      </c>
      <c r="J603" s="2" t="inlineStr">
        <is>
          <t>Paid</t>
        </is>
      </c>
      <c r="K603" s="2" t="inlineStr">
        <is>
          <t>No</t>
        </is>
      </c>
      <c r="L603" s="9" t="n">
        <v>0</v>
      </c>
      <c r="M603" s="2" t="inlineStr">
        <is>
          <t>Received</t>
        </is>
      </c>
      <c r="N603" s="2" t="inlineStr">
        <is>
          <t>Approved</t>
        </is>
      </c>
      <c r="O603" s="2" t="n"/>
      <c r="P603" s="2" t="n"/>
      <c r="Q603" s="2" t="n"/>
      <c r="R603" s="2" t="n"/>
    </row>
    <row r="604">
      <c r="A604" s="2" t="inlineStr">
        <is>
          <t>INV00601</t>
        </is>
      </c>
      <c r="B604" s="7" t="n">
        <v>46086</v>
      </c>
      <c r="C604" s="2" t="inlineStr">
        <is>
          <t>Cognizant</t>
        </is>
      </c>
      <c r="D604" s="2" t="inlineStr">
        <is>
          <t>Marketing</t>
        </is>
      </c>
      <c r="E604" s="2" t="inlineStr">
        <is>
          <t>Professional Services</t>
        </is>
      </c>
      <c r="F604" s="8" t="n">
        <v>478900</v>
      </c>
      <c r="G604" s="2" t="n">
        <v>15</v>
      </c>
      <c r="H604" s="7" t="n">
        <v>46101</v>
      </c>
      <c r="I604" s="7" t="n">
        <v>46131</v>
      </c>
      <c r="J604" s="2" t="inlineStr">
        <is>
          <t>Paid</t>
        </is>
      </c>
      <c r="K604" s="2" t="inlineStr">
        <is>
          <t>No</t>
        </is>
      </c>
      <c r="L604" s="9" t="n">
        <v>0</v>
      </c>
      <c r="M604" s="2" t="inlineStr">
        <is>
          <t>Received</t>
        </is>
      </c>
      <c r="N604" s="2" t="inlineStr">
        <is>
          <t>Approved</t>
        </is>
      </c>
      <c r="O604" s="2" t="n"/>
      <c r="P604" s="2" t="n"/>
      <c r="Q604" s="2" t="n"/>
      <c r="R604" s="2" t="n"/>
    </row>
    <row r="605">
      <c r="A605" s="2" t="inlineStr">
        <is>
          <t>INV00602</t>
        </is>
      </c>
      <c r="B605" s="7" t="n">
        <v>46036</v>
      </c>
      <c r="C605" s="2" t="inlineStr">
        <is>
          <t>IBM</t>
        </is>
      </c>
      <c r="D605" s="2" t="inlineStr">
        <is>
          <t>Marketing</t>
        </is>
      </c>
      <c r="E605" s="2" t="inlineStr">
        <is>
          <t>Consulting</t>
        </is>
      </c>
      <c r="F605" s="8" t="n">
        <v>836000</v>
      </c>
      <c r="G605" s="2" t="n">
        <v>60</v>
      </c>
      <c r="H605" s="7" t="n">
        <v>46096</v>
      </c>
      <c r="I605" s="2" t="n"/>
      <c r="J605" s="2" t="inlineStr">
        <is>
          <t>Pending</t>
        </is>
      </c>
      <c r="K605" s="2" t="inlineStr">
        <is>
          <t>No</t>
        </is>
      </c>
      <c r="L605" s="9" t="n">
        <v>0</v>
      </c>
      <c r="M605" s="2" t="inlineStr">
        <is>
          <t>Received</t>
        </is>
      </c>
      <c r="N605" s="2" t="inlineStr">
        <is>
          <t>Approved</t>
        </is>
      </c>
      <c r="O605" s="2" t="n"/>
      <c r="P605" s="2" t="n"/>
      <c r="Q605" s="2" t="n"/>
      <c r="R605" s="2" t="n"/>
    </row>
    <row r="606">
      <c r="A606" s="2" t="inlineStr">
        <is>
          <t>INV00603</t>
        </is>
      </c>
      <c r="B606" s="7" t="n">
        <v>46341</v>
      </c>
      <c r="C606" s="2" t="inlineStr">
        <is>
          <t>Cognizant</t>
        </is>
      </c>
      <c r="D606" s="2" t="inlineStr">
        <is>
          <t>Operations</t>
        </is>
      </c>
      <c r="E606" s="2" t="inlineStr">
        <is>
          <t>Travel</t>
        </is>
      </c>
      <c r="F606" s="8" t="n">
        <v>41500</v>
      </c>
      <c r="G606" s="2" t="n">
        <v>60</v>
      </c>
      <c r="H606" s="7" t="n">
        <v>46401</v>
      </c>
      <c r="I606" s="2" t="n"/>
      <c r="J606" s="2" t="inlineStr">
        <is>
          <t>Pending</t>
        </is>
      </c>
      <c r="K606" s="2" t="inlineStr">
        <is>
          <t>No</t>
        </is>
      </c>
      <c r="L606" s="9" t="n">
        <v>0</v>
      </c>
      <c r="M606" s="2" t="inlineStr">
        <is>
          <t>Received</t>
        </is>
      </c>
      <c r="N606" s="2" t="inlineStr">
        <is>
          <t>Approved</t>
        </is>
      </c>
      <c r="O606" s="2" t="n"/>
      <c r="P606" s="2" t="n"/>
      <c r="Q606" s="2" t="n"/>
      <c r="R606" s="2" t="n"/>
    </row>
    <row r="607">
      <c r="A607" s="2" t="inlineStr">
        <is>
          <t>INV00604</t>
        </is>
      </c>
      <c r="B607" s="7" t="n">
        <v>46214</v>
      </c>
      <c r="C607" s="2" t="inlineStr">
        <is>
          <t>Google Cloud</t>
        </is>
      </c>
      <c r="D607" s="2" t="inlineStr">
        <is>
          <t>IT</t>
        </is>
      </c>
      <c r="E607" s="2" t="inlineStr">
        <is>
          <t>Travel</t>
        </is>
      </c>
      <c r="F607" s="8" t="n">
        <v>185300</v>
      </c>
      <c r="G607" s="2" t="n">
        <v>60</v>
      </c>
      <c r="H607" s="7" t="n">
        <v>46274</v>
      </c>
      <c r="I607" s="7" t="n">
        <v>46279</v>
      </c>
      <c r="J607" s="2" t="inlineStr">
        <is>
          <t>Paid</t>
        </is>
      </c>
      <c r="K607" s="2" t="inlineStr">
        <is>
          <t>No</t>
        </is>
      </c>
      <c r="L607" s="9" t="n">
        <v>0</v>
      </c>
      <c r="M607" s="2" t="inlineStr">
        <is>
          <t>Received</t>
        </is>
      </c>
      <c r="N607" s="2" t="inlineStr">
        <is>
          <t>Approved</t>
        </is>
      </c>
      <c r="O607" s="2" t="n"/>
      <c r="P607" s="2" t="n"/>
      <c r="Q607" s="2" t="n"/>
      <c r="R607" s="2" t="n"/>
    </row>
    <row r="608">
      <c r="A608" s="2" t="inlineStr">
        <is>
          <t>INV00605</t>
        </is>
      </c>
      <c r="B608" s="7" t="n">
        <v>46074</v>
      </c>
      <c r="C608" s="2" t="inlineStr">
        <is>
          <t>Google Cloud</t>
        </is>
      </c>
      <c r="D608" s="2" t="inlineStr">
        <is>
          <t>IT</t>
        </is>
      </c>
      <c r="E608" s="2" t="inlineStr">
        <is>
          <t>Cloud</t>
        </is>
      </c>
      <c r="F608" s="8" t="n">
        <v>641300</v>
      </c>
      <c r="G608" s="2" t="n">
        <v>15</v>
      </c>
      <c r="H608" s="7" t="n">
        <v>46089</v>
      </c>
      <c r="I608" s="7" t="n">
        <v>46089</v>
      </c>
      <c r="J608" s="2" t="inlineStr">
        <is>
          <t>Paid</t>
        </is>
      </c>
      <c r="K608" s="2" t="inlineStr">
        <is>
          <t>No</t>
        </is>
      </c>
      <c r="L608" s="9" t="n">
        <v>0</v>
      </c>
      <c r="M608" s="2" t="inlineStr">
        <is>
          <t>Received</t>
        </is>
      </c>
      <c r="N608" s="2" t="inlineStr">
        <is>
          <t>Pending</t>
        </is>
      </c>
      <c r="O608" s="2" t="n"/>
      <c r="P608" s="2" t="n"/>
      <c r="Q608" s="2" t="n"/>
      <c r="R608" s="2" t="n"/>
    </row>
    <row r="609">
      <c r="A609" s="2" t="inlineStr">
        <is>
          <t>INV00606</t>
        </is>
      </c>
      <c r="B609" s="7" t="n">
        <v>46168</v>
      </c>
      <c r="C609" s="2" t="inlineStr">
        <is>
          <t>TCS</t>
        </is>
      </c>
      <c r="D609" s="2" t="inlineStr">
        <is>
          <t>Finance</t>
        </is>
      </c>
      <c r="E609" s="2" t="inlineStr">
        <is>
          <t>Facilities</t>
        </is>
      </c>
      <c r="F609" s="8" t="n">
        <v>650200</v>
      </c>
      <c r="G609" s="2" t="n">
        <v>60</v>
      </c>
      <c r="H609" s="7" t="n">
        <v>46228</v>
      </c>
      <c r="I609" s="7" t="n">
        <v>46228</v>
      </c>
      <c r="J609" s="2" t="inlineStr">
        <is>
          <t>Paid</t>
        </is>
      </c>
      <c r="K609" s="2" t="inlineStr">
        <is>
          <t>No</t>
        </is>
      </c>
      <c r="L609" s="9" t="n">
        <v>0</v>
      </c>
      <c r="M609" s="2" t="inlineStr">
        <is>
          <t>Received</t>
        </is>
      </c>
      <c r="N609" s="2" t="inlineStr">
        <is>
          <t>Approved</t>
        </is>
      </c>
      <c r="O609" s="2" t="n"/>
      <c r="P609" s="2" t="n"/>
      <c r="Q609" s="2" t="n"/>
      <c r="R609" s="2" t="n"/>
    </row>
    <row r="610">
      <c r="A610" s="2" t="inlineStr">
        <is>
          <t>INV00607</t>
        </is>
      </c>
      <c r="B610" s="7" t="n">
        <v>46204</v>
      </c>
      <c r="C610" s="2" t="inlineStr">
        <is>
          <t>HCLTech</t>
        </is>
      </c>
      <c r="D610" s="2" t="inlineStr">
        <is>
          <t>Marketing</t>
        </is>
      </c>
      <c r="E610" s="2" t="inlineStr">
        <is>
          <t>Consulting</t>
        </is>
      </c>
      <c r="F610" s="8" t="n">
        <v>68000</v>
      </c>
      <c r="G610" s="2" t="n">
        <v>60</v>
      </c>
      <c r="H610" s="7" t="n">
        <v>46264</v>
      </c>
      <c r="I610" s="7" t="n">
        <v>46264</v>
      </c>
      <c r="J610" s="2" t="inlineStr">
        <is>
          <t>Paid</t>
        </is>
      </c>
      <c r="K610" s="2" t="inlineStr">
        <is>
          <t>Yes</t>
        </is>
      </c>
      <c r="L610" s="9" t="n">
        <v>0.02</v>
      </c>
      <c r="M610" s="2" t="inlineStr">
        <is>
          <t>Received</t>
        </is>
      </c>
      <c r="N610" s="2" t="inlineStr">
        <is>
          <t>Approved</t>
        </is>
      </c>
      <c r="O610" s="2" t="n"/>
      <c r="P610" s="2" t="n"/>
      <c r="Q610" s="2" t="n"/>
      <c r="R610" s="2" t="n"/>
    </row>
    <row r="611">
      <c r="A611" s="2" t="inlineStr">
        <is>
          <t>INV00608</t>
        </is>
      </c>
      <c r="B611" s="7" t="n">
        <v>46225</v>
      </c>
      <c r="C611" s="2" t="inlineStr">
        <is>
          <t>Deloitte</t>
        </is>
      </c>
      <c r="D611" s="2" t="inlineStr">
        <is>
          <t>IT</t>
        </is>
      </c>
      <c r="E611" s="2" t="inlineStr">
        <is>
          <t>Office Supplies</t>
        </is>
      </c>
      <c r="F611" s="8" t="n">
        <v>785000</v>
      </c>
      <c r="G611" s="2" t="n">
        <v>45</v>
      </c>
      <c r="H611" s="7" t="n">
        <v>46270</v>
      </c>
      <c r="I611" s="7" t="n">
        <v>46270</v>
      </c>
      <c r="J611" s="2" t="inlineStr">
        <is>
          <t>Paid</t>
        </is>
      </c>
      <c r="K611" s="2" t="inlineStr">
        <is>
          <t>No</t>
        </is>
      </c>
      <c r="L611" s="9" t="n">
        <v>0</v>
      </c>
      <c r="M611" s="2" t="inlineStr">
        <is>
          <t>Received</t>
        </is>
      </c>
      <c r="N611" s="2" t="inlineStr">
        <is>
          <t>Approved</t>
        </is>
      </c>
      <c r="O611" s="2" t="n"/>
      <c r="P611" s="2" t="n"/>
      <c r="Q611" s="2" t="n"/>
      <c r="R611" s="2" t="n"/>
    </row>
    <row r="612">
      <c r="A612" s="2" t="inlineStr">
        <is>
          <t>INV00609</t>
        </is>
      </c>
      <c r="B612" s="7" t="n">
        <v>46055</v>
      </c>
      <c r="C612" s="2" t="inlineStr">
        <is>
          <t>TCS</t>
        </is>
      </c>
      <c r="D612" s="2" t="inlineStr">
        <is>
          <t>Finance</t>
        </is>
      </c>
      <c r="E612" s="2" t="inlineStr">
        <is>
          <t>Facilities</t>
        </is>
      </c>
      <c r="F612" s="8" t="n">
        <v>814300</v>
      </c>
      <c r="G612" s="2" t="n">
        <v>30</v>
      </c>
      <c r="H612" s="7" t="n">
        <v>46085</v>
      </c>
      <c r="I612" s="2" t="n"/>
      <c r="J612" s="2" t="inlineStr">
        <is>
          <t>Pending</t>
        </is>
      </c>
      <c r="K612" s="2" t="inlineStr">
        <is>
          <t>Yes</t>
        </is>
      </c>
      <c r="L612" s="9" t="n">
        <v>0.02</v>
      </c>
      <c r="M612" s="2" t="inlineStr">
        <is>
          <t>Received</t>
        </is>
      </c>
      <c r="N612" s="2" t="inlineStr">
        <is>
          <t>Approved</t>
        </is>
      </c>
      <c r="O612" s="2" t="n"/>
      <c r="P612" s="2" t="n"/>
      <c r="Q612" s="2" t="n"/>
      <c r="R612" s="2" t="n"/>
    </row>
    <row r="613">
      <c r="A613" s="2" t="inlineStr">
        <is>
          <t>INV00610</t>
        </is>
      </c>
      <c r="B613" s="7" t="n">
        <v>46069</v>
      </c>
      <c r="C613" s="2" t="inlineStr">
        <is>
          <t>Microsoft</t>
        </is>
      </c>
      <c r="D613" s="2" t="inlineStr">
        <is>
          <t>Operations</t>
        </is>
      </c>
      <c r="E613" s="2" t="inlineStr">
        <is>
          <t>Travel</t>
        </is>
      </c>
      <c r="F613" s="8" t="n">
        <v>228900</v>
      </c>
      <c r="G613" s="2" t="n">
        <v>30</v>
      </c>
      <c r="H613" s="7" t="n">
        <v>46099</v>
      </c>
      <c r="I613" s="7" t="n">
        <v>46104</v>
      </c>
      <c r="J613" s="2" t="inlineStr">
        <is>
          <t>Paid</t>
        </is>
      </c>
      <c r="K613" s="2" t="inlineStr">
        <is>
          <t>No</t>
        </is>
      </c>
      <c r="L613" s="9" t="n">
        <v>0</v>
      </c>
      <c r="M613" s="2" t="inlineStr">
        <is>
          <t>Received</t>
        </is>
      </c>
      <c r="N613" s="2" t="inlineStr">
        <is>
          <t>Approved</t>
        </is>
      </c>
      <c r="O613" s="2" t="n"/>
      <c r="P613" s="2" t="n"/>
      <c r="Q613" s="2" t="n"/>
      <c r="R613" s="2" t="n"/>
    </row>
    <row r="614">
      <c r="A614" s="2" t="inlineStr">
        <is>
          <t>INV00611</t>
        </is>
      </c>
      <c r="B614" s="7" t="n">
        <v>46081</v>
      </c>
      <c r="C614" s="2" t="inlineStr">
        <is>
          <t>SAP</t>
        </is>
      </c>
      <c r="D614" s="2" t="inlineStr">
        <is>
          <t>Marketing</t>
        </is>
      </c>
      <c r="E614" s="2" t="inlineStr">
        <is>
          <t>Cloud</t>
        </is>
      </c>
      <c r="F614" s="8" t="n">
        <v>96500</v>
      </c>
      <c r="G614" s="2" t="n">
        <v>30</v>
      </c>
      <c r="H614" s="7" t="n">
        <v>46111</v>
      </c>
      <c r="I614" s="7" t="n">
        <v>46111</v>
      </c>
      <c r="J614" s="2" t="inlineStr">
        <is>
          <t>Paid</t>
        </is>
      </c>
      <c r="K614" s="2" t="inlineStr">
        <is>
          <t>No</t>
        </is>
      </c>
      <c r="L614" s="9" t="n">
        <v>0</v>
      </c>
      <c r="M614" s="2" t="inlineStr">
        <is>
          <t>Received</t>
        </is>
      </c>
      <c r="N614" s="2" t="inlineStr">
        <is>
          <t>Approved</t>
        </is>
      </c>
      <c r="O614" s="2" t="n"/>
      <c r="P614" s="2" t="n"/>
      <c r="Q614" s="2" t="n"/>
      <c r="R614" s="2" t="n"/>
    </row>
    <row r="615">
      <c r="A615" s="2" t="inlineStr">
        <is>
          <t>INV00612</t>
        </is>
      </c>
      <c r="B615" s="7" t="n">
        <v>46261</v>
      </c>
      <c r="C615" s="2" t="inlineStr">
        <is>
          <t>Accenture</t>
        </is>
      </c>
      <c r="D615" s="2" t="inlineStr">
        <is>
          <t>HR</t>
        </is>
      </c>
      <c r="E615" s="2" t="inlineStr">
        <is>
          <t>Travel</t>
        </is>
      </c>
      <c r="F615" s="8" t="n">
        <v>950100</v>
      </c>
      <c r="G615" s="2" t="n">
        <v>30</v>
      </c>
      <c r="H615" s="7" t="n">
        <v>46291</v>
      </c>
      <c r="I615" s="7" t="n">
        <v>46291</v>
      </c>
      <c r="J615" s="2" t="inlineStr">
        <is>
          <t>Paid</t>
        </is>
      </c>
      <c r="K615" s="2" t="inlineStr">
        <is>
          <t>No</t>
        </is>
      </c>
      <c r="L615" s="9" t="n">
        <v>0</v>
      </c>
      <c r="M615" s="2" t="inlineStr">
        <is>
          <t>Pending</t>
        </is>
      </c>
      <c r="N615" s="2" t="inlineStr">
        <is>
          <t>Approved</t>
        </is>
      </c>
      <c r="O615" s="2" t="n"/>
      <c r="P615" s="2" t="n"/>
      <c r="Q615" s="2" t="n"/>
      <c r="R615" s="2" t="n"/>
    </row>
    <row r="616">
      <c r="A616" s="2" t="inlineStr">
        <is>
          <t>INV00613</t>
        </is>
      </c>
      <c r="B616" s="7" t="n">
        <v>46131</v>
      </c>
      <c r="C616" s="2" t="inlineStr">
        <is>
          <t>HCLTech</t>
        </is>
      </c>
      <c r="D616" s="2" t="inlineStr">
        <is>
          <t>Marketing</t>
        </is>
      </c>
      <c r="E616" s="2" t="inlineStr">
        <is>
          <t>Consulting</t>
        </is>
      </c>
      <c r="F616" s="8" t="n">
        <v>44500</v>
      </c>
      <c r="G616" s="2" t="n">
        <v>15</v>
      </c>
      <c r="H616" s="7" t="n">
        <v>46146</v>
      </c>
      <c r="I616" s="7" t="n">
        <v>46146</v>
      </c>
      <c r="J616" s="2" t="inlineStr">
        <is>
          <t>Paid</t>
        </is>
      </c>
      <c r="K616" s="2" t="inlineStr">
        <is>
          <t>Yes</t>
        </is>
      </c>
      <c r="L616" s="9" t="n">
        <v>0.02</v>
      </c>
      <c r="M616" s="2" t="inlineStr">
        <is>
          <t>Received</t>
        </is>
      </c>
      <c r="N616" s="2" t="inlineStr">
        <is>
          <t>Approved</t>
        </is>
      </c>
      <c r="O616" s="2" t="n"/>
      <c r="P616" s="2" t="n"/>
      <c r="Q616" s="2" t="n"/>
      <c r="R616" s="2" t="n"/>
    </row>
    <row r="617">
      <c r="A617" s="2" t="inlineStr">
        <is>
          <t>INV00614</t>
        </is>
      </c>
      <c r="B617" s="7" t="n">
        <v>46156</v>
      </c>
      <c r="C617" s="2" t="inlineStr">
        <is>
          <t>TCS</t>
        </is>
      </c>
      <c r="D617" s="2" t="inlineStr">
        <is>
          <t>Marketing</t>
        </is>
      </c>
      <c r="E617" s="2" t="inlineStr">
        <is>
          <t>Office Supplies</t>
        </is>
      </c>
      <c r="F617" s="8" t="n">
        <v>959100</v>
      </c>
      <c r="G617" s="2" t="n">
        <v>45</v>
      </c>
      <c r="H617" s="7" t="n">
        <v>46201</v>
      </c>
      <c r="I617" s="2" t="n"/>
      <c r="J617" s="2" t="inlineStr">
        <is>
          <t>Pending</t>
        </is>
      </c>
      <c r="K617" s="2" t="inlineStr">
        <is>
          <t>No</t>
        </is>
      </c>
      <c r="L617" s="9" t="n">
        <v>0</v>
      </c>
      <c r="M617" s="2" t="inlineStr">
        <is>
          <t>Received</t>
        </is>
      </c>
      <c r="N617" s="2" t="inlineStr">
        <is>
          <t>Approved</t>
        </is>
      </c>
      <c r="O617" s="2" t="n"/>
      <c r="P617" s="2" t="n"/>
      <c r="Q617" s="2" t="n"/>
      <c r="R617" s="2" t="n"/>
    </row>
    <row r="618">
      <c r="A618" s="2" t="inlineStr">
        <is>
          <t>INV00615</t>
        </is>
      </c>
      <c r="B618" s="7" t="n">
        <v>46184</v>
      </c>
      <c r="C618" s="2" t="inlineStr">
        <is>
          <t>TCS</t>
        </is>
      </c>
      <c r="D618" s="2" t="inlineStr">
        <is>
          <t>Operations</t>
        </is>
      </c>
      <c r="E618" s="2" t="inlineStr">
        <is>
          <t>Office Supplies</t>
        </is>
      </c>
      <c r="F618" s="8" t="n">
        <v>8900</v>
      </c>
      <c r="G618" s="2" t="n">
        <v>45</v>
      </c>
      <c r="H618" s="7" t="n">
        <v>46229</v>
      </c>
      <c r="I618" s="7" t="n">
        <v>46229</v>
      </c>
      <c r="J618" s="2" t="inlineStr">
        <is>
          <t>Paid</t>
        </is>
      </c>
      <c r="K618" s="2" t="inlineStr">
        <is>
          <t>Yes</t>
        </is>
      </c>
      <c r="L618" s="9" t="n">
        <v>0.02</v>
      </c>
      <c r="M618" s="2" t="inlineStr">
        <is>
          <t>Received</t>
        </is>
      </c>
      <c r="N618" s="2" t="inlineStr">
        <is>
          <t>Approved</t>
        </is>
      </c>
      <c r="O618" s="2" t="n"/>
      <c r="P618" s="2" t="n"/>
      <c r="Q618" s="2" t="n"/>
      <c r="R618" s="2" t="n"/>
    </row>
    <row r="619">
      <c r="A619" s="2" t="inlineStr">
        <is>
          <t>INV00616</t>
        </is>
      </c>
      <c r="B619" s="7" t="n">
        <v>46379</v>
      </c>
      <c r="C619" s="2" t="inlineStr">
        <is>
          <t>IBM</t>
        </is>
      </c>
      <c r="D619" s="2" t="inlineStr">
        <is>
          <t>Operations</t>
        </is>
      </c>
      <c r="E619" s="2" t="inlineStr">
        <is>
          <t>Office Supplies</t>
        </is>
      </c>
      <c r="F619" s="8" t="n">
        <v>197900</v>
      </c>
      <c r="G619" s="2" t="n">
        <v>15</v>
      </c>
      <c r="H619" s="7" t="n">
        <v>46394</v>
      </c>
      <c r="I619" s="7" t="n">
        <v>46454</v>
      </c>
      <c r="J619" s="2" t="inlineStr">
        <is>
          <t>Paid</t>
        </is>
      </c>
      <c r="K619" s="2" t="inlineStr">
        <is>
          <t>No</t>
        </is>
      </c>
      <c r="L619" s="9" t="n">
        <v>0</v>
      </c>
      <c r="M619" s="2" t="inlineStr">
        <is>
          <t>Received</t>
        </is>
      </c>
      <c r="N619" s="2" t="inlineStr">
        <is>
          <t>Approved</t>
        </is>
      </c>
      <c r="O619" s="2" t="n"/>
      <c r="P619" s="2" t="n"/>
      <c r="Q619" s="2" t="n"/>
      <c r="R619" s="2" t="n"/>
    </row>
    <row r="620">
      <c r="A620" s="2" t="inlineStr">
        <is>
          <t>INV00617</t>
        </is>
      </c>
      <c r="B620" s="7" t="n">
        <v>46230</v>
      </c>
      <c r="C620" s="2" t="inlineStr">
        <is>
          <t>Accenture</t>
        </is>
      </c>
      <c r="D620" s="2" t="inlineStr">
        <is>
          <t>HR</t>
        </is>
      </c>
      <c r="E620" s="2" t="inlineStr">
        <is>
          <t>Professional Services</t>
        </is>
      </c>
      <c r="F620" s="8" t="n">
        <v>210600</v>
      </c>
      <c r="G620" s="2" t="n">
        <v>30</v>
      </c>
      <c r="H620" s="7" t="n">
        <v>46260</v>
      </c>
      <c r="I620" s="7" t="n">
        <v>46260</v>
      </c>
      <c r="J620" s="2" t="inlineStr">
        <is>
          <t>Paid</t>
        </is>
      </c>
      <c r="K620" s="2" t="inlineStr">
        <is>
          <t>Yes</t>
        </is>
      </c>
      <c r="L620" s="9" t="n">
        <v>0.02</v>
      </c>
      <c r="M620" s="2" t="inlineStr">
        <is>
          <t>Received</t>
        </is>
      </c>
      <c r="N620" s="2" t="inlineStr">
        <is>
          <t>Approved</t>
        </is>
      </c>
      <c r="O620" s="2" t="n"/>
      <c r="P620" s="2" t="n"/>
      <c r="Q620" s="2" t="n"/>
      <c r="R620" s="2" t="n"/>
    </row>
    <row r="621">
      <c r="A621" s="2" t="inlineStr">
        <is>
          <t>INV00618</t>
        </is>
      </c>
      <c r="B621" s="7" t="n">
        <v>46164</v>
      </c>
      <c r="C621" s="2" t="inlineStr">
        <is>
          <t>Zoho</t>
        </is>
      </c>
      <c r="D621" s="2" t="inlineStr">
        <is>
          <t>Sales</t>
        </is>
      </c>
      <c r="E621" s="2" t="inlineStr">
        <is>
          <t>Consulting</t>
        </is>
      </c>
      <c r="F621" s="8" t="n">
        <v>710100</v>
      </c>
      <c r="G621" s="2" t="n">
        <v>30</v>
      </c>
      <c r="H621" s="7" t="n">
        <v>46194</v>
      </c>
      <c r="I621" s="2" t="n"/>
      <c r="J621" s="2" t="inlineStr">
        <is>
          <t>Pending</t>
        </is>
      </c>
      <c r="K621" s="2" t="inlineStr">
        <is>
          <t>Yes</t>
        </is>
      </c>
      <c r="L621" s="9" t="n">
        <v>0.02</v>
      </c>
      <c r="M621" s="2" t="inlineStr">
        <is>
          <t>Pending</t>
        </is>
      </c>
      <c r="N621" s="2" t="inlineStr">
        <is>
          <t>Pending</t>
        </is>
      </c>
      <c r="O621" s="2" t="n"/>
      <c r="P621" s="2" t="n"/>
      <c r="Q621" s="2" t="n"/>
      <c r="R621" s="2" t="n"/>
    </row>
    <row r="622">
      <c r="A622" s="2" t="inlineStr">
        <is>
          <t>INV00619</t>
        </is>
      </c>
      <c r="B622" s="7" t="n">
        <v>46031</v>
      </c>
      <c r="C622" s="2" t="inlineStr">
        <is>
          <t>IBM</t>
        </is>
      </c>
      <c r="D622" s="2" t="inlineStr">
        <is>
          <t>Sales</t>
        </is>
      </c>
      <c r="E622" s="2" t="inlineStr">
        <is>
          <t>Travel</t>
        </is>
      </c>
      <c r="F622" s="8" t="n">
        <v>988200</v>
      </c>
      <c r="G622" s="2" t="n">
        <v>30</v>
      </c>
      <c r="H622" s="7" t="n">
        <v>46061</v>
      </c>
      <c r="I622" s="7" t="n">
        <v>46061</v>
      </c>
      <c r="J622" s="2" t="inlineStr">
        <is>
          <t>Paid</t>
        </is>
      </c>
      <c r="K622" s="2" t="inlineStr">
        <is>
          <t>No</t>
        </is>
      </c>
      <c r="L622" s="9" t="n">
        <v>0</v>
      </c>
      <c r="M622" s="2" t="inlineStr">
        <is>
          <t>Received</t>
        </is>
      </c>
      <c r="N622" s="2" t="inlineStr">
        <is>
          <t>Approved</t>
        </is>
      </c>
      <c r="O622" s="2" t="n"/>
      <c r="P622" s="2" t="n"/>
      <c r="Q622" s="2" t="n"/>
      <c r="R622" s="2" t="n"/>
    </row>
    <row r="623">
      <c r="A623" s="2" t="inlineStr">
        <is>
          <t>INV00620</t>
        </is>
      </c>
      <c r="B623" s="7" t="n">
        <v>46375</v>
      </c>
      <c r="C623" s="2" t="inlineStr">
        <is>
          <t>SAP</t>
        </is>
      </c>
      <c r="D623" s="2" t="inlineStr">
        <is>
          <t>Sales</t>
        </is>
      </c>
      <c r="E623" s="2" t="inlineStr">
        <is>
          <t>Office Supplies</t>
        </is>
      </c>
      <c r="F623" s="8" t="n">
        <v>21000</v>
      </c>
      <c r="G623" s="2" t="n">
        <v>30</v>
      </c>
      <c r="H623" s="7" t="n">
        <v>46405</v>
      </c>
      <c r="I623" s="7" t="n">
        <v>46465</v>
      </c>
      <c r="J623" s="2" t="inlineStr">
        <is>
          <t>Paid</t>
        </is>
      </c>
      <c r="K623" s="2" t="inlineStr">
        <is>
          <t>No</t>
        </is>
      </c>
      <c r="L623" s="9" t="n">
        <v>0</v>
      </c>
      <c r="M623" s="2" t="inlineStr">
        <is>
          <t>Pending</t>
        </is>
      </c>
      <c r="N623" s="2" t="inlineStr">
        <is>
          <t>Approved</t>
        </is>
      </c>
      <c r="O623" s="2" t="n"/>
      <c r="P623" s="2" t="n"/>
      <c r="Q623" s="2" t="n"/>
      <c r="R623" s="2" t="n"/>
    </row>
    <row r="624">
      <c r="A624" s="2" t="inlineStr">
        <is>
          <t>INV00621</t>
        </is>
      </c>
      <c r="B624" s="7" t="n">
        <v>46149</v>
      </c>
      <c r="C624" s="2" t="inlineStr">
        <is>
          <t>HCLTech</t>
        </is>
      </c>
      <c r="D624" s="2" t="inlineStr">
        <is>
          <t>Sales</t>
        </is>
      </c>
      <c r="E624" s="2" t="inlineStr">
        <is>
          <t>Software</t>
        </is>
      </c>
      <c r="F624" s="8" t="n">
        <v>171800</v>
      </c>
      <c r="G624" s="2" t="n">
        <v>45</v>
      </c>
      <c r="H624" s="7" t="n">
        <v>46194</v>
      </c>
      <c r="I624" s="2" t="n"/>
      <c r="J624" s="2" t="inlineStr">
        <is>
          <t>Pending</t>
        </is>
      </c>
      <c r="K624" s="2" t="inlineStr">
        <is>
          <t>No</t>
        </is>
      </c>
      <c r="L624" s="9" t="n">
        <v>0</v>
      </c>
      <c r="M624" s="2" t="inlineStr">
        <is>
          <t>Pending</t>
        </is>
      </c>
      <c r="N624" s="2" t="inlineStr">
        <is>
          <t>Approved</t>
        </is>
      </c>
      <c r="O624" s="2" t="n"/>
      <c r="P624" s="2" t="n"/>
      <c r="Q624" s="2" t="n"/>
      <c r="R624" s="2" t="n"/>
    </row>
    <row r="625">
      <c r="A625" s="2" t="inlineStr">
        <is>
          <t>INV00622</t>
        </is>
      </c>
      <c r="B625" s="7" t="n">
        <v>46187</v>
      </c>
      <c r="C625" s="2" t="inlineStr">
        <is>
          <t>HCLTech</t>
        </is>
      </c>
      <c r="D625" s="2" t="inlineStr">
        <is>
          <t>Operations</t>
        </is>
      </c>
      <c r="E625" s="2" t="inlineStr">
        <is>
          <t>Consulting</t>
        </is>
      </c>
      <c r="F625" s="8" t="n">
        <v>599900</v>
      </c>
      <c r="G625" s="2" t="n">
        <v>15</v>
      </c>
      <c r="H625" s="7" t="n">
        <v>46202</v>
      </c>
      <c r="I625" s="7" t="n">
        <v>46202</v>
      </c>
      <c r="J625" s="2" t="inlineStr">
        <is>
          <t>Paid</t>
        </is>
      </c>
      <c r="K625" s="2" t="inlineStr">
        <is>
          <t>No</t>
        </is>
      </c>
      <c r="L625" s="9" t="n">
        <v>0</v>
      </c>
      <c r="M625" s="2" t="inlineStr">
        <is>
          <t>Received</t>
        </is>
      </c>
      <c r="N625" s="2" t="inlineStr">
        <is>
          <t>Pending</t>
        </is>
      </c>
      <c r="O625" s="2" t="n"/>
      <c r="P625" s="2" t="n"/>
      <c r="Q625" s="2" t="n"/>
      <c r="R625" s="2" t="n"/>
    </row>
    <row r="626">
      <c r="A626" s="2" t="inlineStr">
        <is>
          <t>INV00623</t>
        </is>
      </c>
      <c r="B626" s="7" t="n">
        <v>46280</v>
      </c>
      <c r="C626" s="2" t="inlineStr">
        <is>
          <t>Oracle</t>
        </is>
      </c>
      <c r="D626" s="2" t="inlineStr">
        <is>
          <t>IT</t>
        </is>
      </c>
      <c r="E626" s="2" t="inlineStr">
        <is>
          <t>Professional Services</t>
        </is>
      </c>
      <c r="F626" s="8" t="n">
        <v>87000</v>
      </c>
      <c r="G626" s="2" t="n">
        <v>30</v>
      </c>
      <c r="H626" s="7" t="n">
        <v>46310</v>
      </c>
      <c r="I626" s="2" t="n"/>
      <c r="J626" s="2" t="inlineStr">
        <is>
          <t>Pending</t>
        </is>
      </c>
      <c r="K626" s="2" t="inlineStr">
        <is>
          <t>Yes</t>
        </is>
      </c>
      <c r="L626" s="9" t="n">
        <v>0.02</v>
      </c>
      <c r="M626" s="2" t="inlineStr">
        <is>
          <t>Received</t>
        </is>
      </c>
      <c r="N626" s="2" t="inlineStr">
        <is>
          <t>Pending</t>
        </is>
      </c>
      <c r="O626" s="2" t="n"/>
      <c r="P626" s="2" t="n"/>
      <c r="Q626" s="2" t="n"/>
      <c r="R626" s="2" t="n"/>
    </row>
    <row r="627">
      <c r="A627" s="2" t="inlineStr">
        <is>
          <t>INV00624</t>
        </is>
      </c>
      <c r="B627" s="7" t="n">
        <v>46119</v>
      </c>
      <c r="C627" s="2" t="inlineStr">
        <is>
          <t>Deloitte</t>
        </is>
      </c>
      <c r="D627" s="2" t="inlineStr">
        <is>
          <t>HR</t>
        </is>
      </c>
      <c r="E627" s="2" t="inlineStr">
        <is>
          <t>Consulting</t>
        </is>
      </c>
      <c r="F627" s="8" t="n">
        <v>322500</v>
      </c>
      <c r="G627" s="2" t="n">
        <v>15</v>
      </c>
      <c r="H627" s="7" t="n">
        <v>46134</v>
      </c>
      <c r="I627" s="7" t="n">
        <v>46134</v>
      </c>
      <c r="J627" s="2" t="inlineStr">
        <is>
          <t>Paid</t>
        </is>
      </c>
      <c r="K627" s="2" t="inlineStr">
        <is>
          <t>No</t>
        </is>
      </c>
      <c r="L627" s="9" t="n">
        <v>0</v>
      </c>
      <c r="M627" s="2" t="inlineStr">
        <is>
          <t>Pending</t>
        </is>
      </c>
      <c r="N627" s="2" t="inlineStr">
        <is>
          <t>Approved</t>
        </is>
      </c>
      <c r="O627" s="2" t="n"/>
      <c r="P627" s="2" t="n"/>
      <c r="Q627" s="2" t="n"/>
      <c r="R627" s="2" t="n"/>
    </row>
    <row r="628">
      <c r="A628" s="2" t="inlineStr">
        <is>
          <t>INV00625</t>
        </is>
      </c>
      <c r="B628" s="7" t="n">
        <v>46116</v>
      </c>
      <c r="C628" s="2" t="inlineStr">
        <is>
          <t>IBM</t>
        </is>
      </c>
      <c r="D628" s="2" t="inlineStr">
        <is>
          <t>Finance</t>
        </is>
      </c>
      <c r="E628" s="2" t="inlineStr">
        <is>
          <t>Consulting</t>
        </is>
      </c>
      <c r="F628" s="8" t="n">
        <v>206300</v>
      </c>
      <c r="G628" s="2" t="n">
        <v>15</v>
      </c>
      <c r="H628" s="7" t="n">
        <v>46131</v>
      </c>
      <c r="I628" s="2" t="n"/>
      <c r="J628" s="2" t="inlineStr">
        <is>
          <t>Pending</t>
        </is>
      </c>
      <c r="K628" s="2" t="inlineStr">
        <is>
          <t>No</t>
        </is>
      </c>
      <c r="L628" s="9" t="n">
        <v>0</v>
      </c>
      <c r="M628" s="2" t="inlineStr">
        <is>
          <t>Received</t>
        </is>
      </c>
      <c r="N628" s="2" t="inlineStr">
        <is>
          <t>Approved</t>
        </is>
      </c>
      <c r="O628" s="2" t="n"/>
      <c r="P628" s="2" t="n"/>
      <c r="Q628" s="2" t="n"/>
      <c r="R628" s="2" t="n"/>
    </row>
    <row r="629">
      <c r="A629" s="2" t="inlineStr">
        <is>
          <t>INV00626</t>
        </is>
      </c>
      <c r="B629" s="7" t="n">
        <v>46341</v>
      </c>
      <c r="C629" s="2" t="inlineStr">
        <is>
          <t>Accenture</t>
        </is>
      </c>
      <c r="D629" s="2" t="inlineStr">
        <is>
          <t>IT</t>
        </is>
      </c>
      <c r="E629" s="2" t="inlineStr">
        <is>
          <t>Software</t>
        </is>
      </c>
      <c r="F629" s="8" t="n">
        <v>229600</v>
      </c>
      <c r="G629" s="2" t="n">
        <v>15</v>
      </c>
      <c r="H629" s="7" t="n">
        <v>46356</v>
      </c>
      <c r="I629" s="2" t="n"/>
      <c r="J629" s="2" t="inlineStr">
        <is>
          <t>Pending</t>
        </is>
      </c>
      <c r="K629" s="2" t="inlineStr">
        <is>
          <t>Yes</t>
        </is>
      </c>
      <c r="L629" s="9" t="n">
        <v>0.02</v>
      </c>
      <c r="M629" s="2" t="inlineStr">
        <is>
          <t>Received</t>
        </is>
      </c>
      <c r="N629" s="2" t="inlineStr">
        <is>
          <t>Approved</t>
        </is>
      </c>
      <c r="O629" s="2" t="n"/>
      <c r="P629" s="2" t="n"/>
      <c r="Q629" s="2" t="n"/>
      <c r="R629" s="2" t="n"/>
    </row>
    <row r="630">
      <c r="A630" s="2" t="inlineStr">
        <is>
          <t>INV00627</t>
        </is>
      </c>
      <c r="B630" s="7" t="n">
        <v>46316</v>
      </c>
      <c r="C630" s="2" t="inlineStr">
        <is>
          <t>Adobe</t>
        </is>
      </c>
      <c r="D630" s="2" t="inlineStr">
        <is>
          <t>IT</t>
        </is>
      </c>
      <c r="E630" s="2" t="inlineStr">
        <is>
          <t>Software</t>
        </is>
      </c>
      <c r="F630" s="8" t="n">
        <v>471200</v>
      </c>
      <c r="G630" s="2" t="n">
        <v>15</v>
      </c>
      <c r="H630" s="7" t="n">
        <v>46331</v>
      </c>
      <c r="I630" s="7" t="n">
        <v>46336</v>
      </c>
      <c r="J630" s="2" t="inlineStr">
        <is>
          <t>Paid</t>
        </is>
      </c>
      <c r="K630" s="2" t="inlineStr">
        <is>
          <t>No</t>
        </is>
      </c>
      <c r="L630" s="9" t="n">
        <v>0</v>
      </c>
      <c r="M630" s="2" t="inlineStr">
        <is>
          <t>Received</t>
        </is>
      </c>
      <c r="N630" s="2" t="inlineStr">
        <is>
          <t>Approved</t>
        </is>
      </c>
      <c r="O630" s="2" t="n"/>
      <c r="P630" s="2" t="n"/>
      <c r="Q630" s="2" t="n"/>
      <c r="R630" s="2" t="n"/>
    </row>
    <row r="631">
      <c r="A631" s="2" t="inlineStr">
        <is>
          <t>INV00628</t>
        </is>
      </c>
      <c r="B631" s="7" t="n">
        <v>46296</v>
      </c>
      <c r="C631" s="2" t="inlineStr">
        <is>
          <t>IBM</t>
        </is>
      </c>
      <c r="D631" s="2" t="inlineStr">
        <is>
          <t>Operations</t>
        </is>
      </c>
      <c r="E631" s="2" t="inlineStr">
        <is>
          <t>Professional Services</t>
        </is>
      </c>
      <c r="F631" s="8" t="n">
        <v>714400</v>
      </c>
      <c r="G631" s="2" t="n">
        <v>60</v>
      </c>
      <c r="H631" s="7" t="n">
        <v>46356</v>
      </c>
      <c r="I631" s="7" t="n">
        <v>46361</v>
      </c>
      <c r="J631" s="2" t="inlineStr">
        <is>
          <t>Paid</t>
        </is>
      </c>
      <c r="K631" s="2" t="inlineStr">
        <is>
          <t>Yes</t>
        </is>
      </c>
      <c r="L631" s="9" t="n">
        <v>0.02</v>
      </c>
      <c r="M631" s="2" t="inlineStr">
        <is>
          <t>Received</t>
        </is>
      </c>
      <c r="N631" s="2" t="inlineStr">
        <is>
          <t>Approved</t>
        </is>
      </c>
      <c r="O631" s="2" t="n"/>
      <c r="P631" s="2" t="n"/>
      <c r="Q631" s="2" t="n"/>
      <c r="R631" s="2" t="n"/>
    </row>
    <row r="632">
      <c r="A632" s="2" t="inlineStr">
        <is>
          <t>INV00629</t>
        </is>
      </c>
      <c r="B632" s="7" t="n">
        <v>46057</v>
      </c>
      <c r="C632" s="2" t="inlineStr">
        <is>
          <t>Microsoft</t>
        </is>
      </c>
      <c r="D632" s="2" t="inlineStr">
        <is>
          <t>Marketing</t>
        </is>
      </c>
      <c r="E632" s="2" t="inlineStr">
        <is>
          <t>Travel</t>
        </is>
      </c>
      <c r="F632" s="8" t="n">
        <v>150300</v>
      </c>
      <c r="G632" s="2" t="n">
        <v>15</v>
      </c>
      <c r="H632" s="7" t="n">
        <v>46072</v>
      </c>
      <c r="I632" s="7" t="n">
        <v>46072</v>
      </c>
      <c r="J632" s="2" t="inlineStr">
        <is>
          <t>Paid</t>
        </is>
      </c>
      <c r="K632" s="2" t="inlineStr">
        <is>
          <t>No</t>
        </is>
      </c>
      <c r="L632" s="9" t="n">
        <v>0</v>
      </c>
      <c r="M632" s="2" t="inlineStr">
        <is>
          <t>Received</t>
        </is>
      </c>
      <c r="N632" s="2" t="inlineStr">
        <is>
          <t>Approved</t>
        </is>
      </c>
      <c r="O632" s="2" t="n"/>
      <c r="P632" s="2" t="n"/>
      <c r="Q632" s="2" t="n"/>
      <c r="R632" s="2" t="n"/>
    </row>
    <row r="633">
      <c r="A633" s="2" t="inlineStr">
        <is>
          <t>INV00630</t>
        </is>
      </c>
      <c r="B633" s="7" t="n">
        <v>46117</v>
      </c>
      <c r="C633" s="2" t="inlineStr">
        <is>
          <t>Cognizant</t>
        </is>
      </c>
      <c r="D633" s="2" t="inlineStr">
        <is>
          <t>IT</t>
        </is>
      </c>
      <c r="E633" s="2" t="inlineStr">
        <is>
          <t>Software</t>
        </is>
      </c>
      <c r="F633" s="8" t="n">
        <v>576900</v>
      </c>
      <c r="G633" s="2" t="n">
        <v>30</v>
      </c>
      <c r="H633" s="7" t="n">
        <v>46147</v>
      </c>
      <c r="I633" s="7" t="n">
        <v>46207</v>
      </c>
      <c r="J633" s="2" t="inlineStr">
        <is>
          <t>Paid</t>
        </is>
      </c>
      <c r="K633" s="2" t="inlineStr">
        <is>
          <t>No</t>
        </is>
      </c>
      <c r="L633" s="9" t="n">
        <v>0</v>
      </c>
      <c r="M633" s="2" t="inlineStr">
        <is>
          <t>Received</t>
        </is>
      </c>
      <c r="N633" s="2" t="inlineStr">
        <is>
          <t>Approved</t>
        </is>
      </c>
      <c r="O633" s="2" t="n"/>
      <c r="P633" s="2" t="n"/>
      <c r="Q633" s="2" t="n"/>
      <c r="R633" s="2" t="n"/>
    </row>
    <row r="634">
      <c r="A634" s="2" t="inlineStr">
        <is>
          <t>INV00631</t>
        </is>
      </c>
      <c r="B634" s="7" t="n">
        <v>46183</v>
      </c>
      <c r="C634" s="2" t="inlineStr">
        <is>
          <t>Oracle</t>
        </is>
      </c>
      <c r="D634" s="2" t="inlineStr">
        <is>
          <t>IT</t>
        </is>
      </c>
      <c r="E634" s="2" t="inlineStr">
        <is>
          <t>Office Supplies</t>
        </is>
      </c>
      <c r="F634" s="8" t="n">
        <v>19000</v>
      </c>
      <c r="G634" s="2" t="n">
        <v>30</v>
      </c>
      <c r="H634" s="7" t="n">
        <v>46213</v>
      </c>
      <c r="I634" s="7" t="n">
        <v>46213</v>
      </c>
      <c r="J634" s="2" t="inlineStr">
        <is>
          <t>Paid</t>
        </is>
      </c>
      <c r="K634" s="2" t="inlineStr">
        <is>
          <t>Yes</t>
        </is>
      </c>
      <c r="L634" s="9" t="n">
        <v>0.02</v>
      </c>
      <c r="M634" s="2" t="inlineStr">
        <is>
          <t>Pending</t>
        </is>
      </c>
      <c r="N634" s="2" t="inlineStr">
        <is>
          <t>Approved</t>
        </is>
      </c>
      <c r="O634" s="2" t="n"/>
      <c r="P634" s="2" t="n"/>
      <c r="Q634" s="2" t="n"/>
      <c r="R634" s="2" t="n"/>
    </row>
    <row r="635">
      <c r="A635" s="2" t="inlineStr">
        <is>
          <t>INV00632</t>
        </is>
      </c>
      <c r="B635" s="7" t="n">
        <v>46180</v>
      </c>
      <c r="C635" s="2" t="inlineStr">
        <is>
          <t>SAP</t>
        </is>
      </c>
      <c r="D635" s="2" t="inlineStr">
        <is>
          <t>Operations</t>
        </is>
      </c>
      <c r="E635" s="2" t="inlineStr">
        <is>
          <t>Travel</t>
        </is>
      </c>
      <c r="F635" s="8" t="n">
        <v>498400</v>
      </c>
      <c r="G635" s="2" t="n">
        <v>60</v>
      </c>
      <c r="H635" s="7" t="n">
        <v>46240</v>
      </c>
      <c r="I635" s="7" t="n">
        <v>46240</v>
      </c>
      <c r="J635" s="2" t="inlineStr">
        <is>
          <t>Paid</t>
        </is>
      </c>
      <c r="K635" s="2" t="inlineStr">
        <is>
          <t>Yes</t>
        </is>
      </c>
      <c r="L635" s="9" t="n">
        <v>0.02</v>
      </c>
      <c r="M635" s="2" t="inlineStr">
        <is>
          <t>Received</t>
        </is>
      </c>
      <c r="N635" s="2" t="inlineStr">
        <is>
          <t>Approved</t>
        </is>
      </c>
      <c r="O635" s="2" t="n"/>
      <c r="P635" s="2" t="n"/>
      <c r="Q635" s="2" t="n"/>
      <c r="R635" s="2" t="n"/>
    </row>
    <row r="636">
      <c r="A636" s="2" t="inlineStr">
        <is>
          <t>INV00633</t>
        </is>
      </c>
      <c r="B636" s="7" t="n">
        <v>46038</v>
      </c>
      <c r="C636" s="2" t="inlineStr">
        <is>
          <t>TCS</t>
        </is>
      </c>
      <c r="D636" s="2" t="inlineStr">
        <is>
          <t>IT</t>
        </is>
      </c>
      <c r="E636" s="2" t="inlineStr">
        <is>
          <t>Travel</t>
        </is>
      </c>
      <c r="F636" s="8" t="n">
        <v>174800</v>
      </c>
      <c r="G636" s="2" t="n">
        <v>30</v>
      </c>
      <c r="H636" s="7" t="n">
        <v>46068</v>
      </c>
      <c r="I636" s="7" t="n">
        <v>46083</v>
      </c>
      <c r="J636" s="2" t="inlineStr">
        <is>
          <t>Paid</t>
        </is>
      </c>
      <c r="K636" s="2" t="inlineStr">
        <is>
          <t>No</t>
        </is>
      </c>
      <c r="L636" s="9" t="n">
        <v>0</v>
      </c>
      <c r="M636" s="2" t="inlineStr">
        <is>
          <t>Received</t>
        </is>
      </c>
      <c r="N636" s="2" t="inlineStr">
        <is>
          <t>Approved</t>
        </is>
      </c>
      <c r="O636" s="2" t="n"/>
      <c r="P636" s="2" t="n"/>
      <c r="Q636" s="2" t="n"/>
      <c r="R636" s="2" t="n"/>
    </row>
    <row r="637">
      <c r="A637" s="2" t="inlineStr">
        <is>
          <t>INV00634</t>
        </is>
      </c>
      <c r="B637" s="7" t="n">
        <v>46125</v>
      </c>
      <c r="C637" s="2" t="inlineStr">
        <is>
          <t>Deloitte</t>
        </is>
      </c>
      <c r="D637" s="2" t="inlineStr">
        <is>
          <t>IT</t>
        </is>
      </c>
      <c r="E637" s="2" t="inlineStr">
        <is>
          <t>Consulting</t>
        </is>
      </c>
      <c r="F637" s="8" t="n">
        <v>23100</v>
      </c>
      <c r="G637" s="2" t="n">
        <v>15</v>
      </c>
      <c r="H637" s="7" t="n">
        <v>46140</v>
      </c>
      <c r="I637" s="7" t="n">
        <v>46140</v>
      </c>
      <c r="J637" s="2" t="inlineStr">
        <is>
          <t>Paid</t>
        </is>
      </c>
      <c r="K637" s="2" t="inlineStr">
        <is>
          <t>No</t>
        </is>
      </c>
      <c r="L637" s="9" t="n">
        <v>0</v>
      </c>
      <c r="M637" s="2" t="inlineStr">
        <is>
          <t>Pending</t>
        </is>
      </c>
      <c r="N637" s="2" t="inlineStr">
        <is>
          <t>Approved</t>
        </is>
      </c>
      <c r="O637" s="2" t="n"/>
      <c r="P637" s="2" t="n"/>
      <c r="Q637" s="2" t="n"/>
      <c r="R637" s="2" t="n"/>
    </row>
    <row r="638">
      <c r="A638" s="2" t="inlineStr">
        <is>
          <t>INV00635</t>
        </is>
      </c>
      <c r="B638" s="7" t="n">
        <v>46029</v>
      </c>
      <c r="C638" s="2" t="inlineStr">
        <is>
          <t>TCS</t>
        </is>
      </c>
      <c r="D638" s="2" t="inlineStr">
        <is>
          <t>HR</t>
        </is>
      </c>
      <c r="E638" s="2" t="inlineStr">
        <is>
          <t>Cloud</t>
        </is>
      </c>
      <c r="F638" s="8" t="n">
        <v>789100</v>
      </c>
      <c r="G638" s="2" t="n">
        <v>30</v>
      </c>
      <c r="H638" s="7" t="n">
        <v>46059</v>
      </c>
      <c r="I638" s="2" t="n"/>
      <c r="J638" s="2" t="inlineStr">
        <is>
          <t>Pending</t>
        </is>
      </c>
      <c r="K638" s="2" t="inlineStr">
        <is>
          <t>Yes</t>
        </is>
      </c>
      <c r="L638" s="9" t="n">
        <v>0.02</v>
      </c>
      <c r="M638" s="2" t="inlineStr">
        <is>
          <t>Received</t>
        </is>
      </c>
      <c r="N638" s="2" t="inlineStr">
        <is>
          <t>Approved</t>
        </is>
      </c>
      <c r="O638" s="2" t="n"/>
      <c r="P638" s="2" t="n"/>
      <c r="Q638" s="2" t="n"/>
      <c r="R638" s="2" t="n"/>
    </row>
    <row r="639">
      <c r="A639" s="2" t="inlineStr">
        <is>
          <t>INV00636</t>
        </is>
      </c>
      <c r="B639" s="7" t="n">
        <v>46146</v>
      </c>
      <c r="C639" s="2" t="inlineStr">
        <is>
          <t>Microsoft</t>
        </is>
      </c>
      <c r="D639" s="2" t="inlineStr">
        <is>
          <t>Sales</t>
        </is>
      </c>
      <c r="E639" s="2" t="inlineStr">
        <is>
          <t>Cloud</t>
        </is>
      </c>
      <c r="F639" s="8" t="n">
        <v>913800</v>
      </c>
      <c r="G639" s="2" t="n">
        <v>60</v>
      </c>
      <c r="H639" s="7" t="n">
        <v>46206</v>
      </c>
      <c r="I639" s="2" t="n"/>
      <c r="J639" s="2" t="inlineStr">
        <is>
          <t>Pending</t>
        </is>
      </c>
      <c r="K639" s="2" t="inlineStr">
        <is>
          <t>Yes</t>
        </is>
      </c>
      <c r="L639" s="9" t="n">
        <v>0.02</v>
      </c>
      <c r="M639" s="2" t="inlineStr">
        <is>
          <t>Received</t>
        </is>
      </c>
      <c r="N639" s="2" t="inlineStr">
        <is>
          <t>Approved</t>
        </is>
      </c>
      <c r="O639" s="2" t="n"/>
      <c r="P639" s="2" t="n"/>
      <c r="Q639" s="2" t="n"/>
      <c r="R639" s="2" t="n"/>
    </row>
    <row r="640">
      <c r="A640" s="2" t="inlineStr">
        <is>
          <t>INV00637</t>
        </is>
      </c>
      <c r="B640" s="7" t="n">
        <v>46332</v>
      </c>
      <c r="C640" s="2" t="inlineStr">
        <is>
          <t>Google Cloud</t>
        </is>
      </c>
      <c r="D640" s="2" t="inlineStr">
        <is>
          <t>Marketing</t>
        </is>
      </c>
      <c r="E640" s="2" t="inlineStr">
        <is>
          <t>Professional Services</t>
        </is>
      </c>
      <c r="F640" s="8" t="n">
        <v>34000</v>
      </c>
      <c r="G640" s="2" t="n">
        <v>15</v>
      </c>
      <c r="H640" s="7" t="n">
        <v>46347</v>
      </c>
      <c r="I640" s="2" t="n"/>
      <c r="J640" s="2" t="inlineStr">
        <is>
          <t>Pending</t>
        </is>
      </c>
      <c r="K640" s="2" t="inlineStr">
        <is>
          <t>Yes</t>
        </is>
      </c>
      <c r="L640" s="9" t="n">
        <v>0.02</v>
      </c>
      <c r="M640" s="2" t="inlineStr">
        <is>
          <t>Received</t>
        </is>
      </c>
      <c r="N640" s="2" t="inlineStr">
        <is>
          <t>Approved</t>
        </is>
      </c>
      <c r="O640" s="2" t="n"/>
      <c r="P640" s="2" t="n"/>
      <c r="Q640" s="2" t="n"/>
      <c r="R640" s="2" t="n"/>
    </row>
    <row r="641">
      <c r="A641" s="2" t="inlineStr">
        <is>
          <t>INV00638</t>
        </is>
      </c>
      <c r="B641" s="7" t="n">
        <v>46309</v>
      </c>
      <c r="C641" s="2" t="inlineStr">
        <is>
          <t>SAP</t>
        </is>
      </c>
      <c r="D641" s="2" t="inlineStr">
        <is>
          <t>Finance</t>
        </is>
      </c>
      <c r="E641" s="2" t="inlineStr">
        <is>
          <t>Software</t>
        </is>
      </c>
      <c r="F641" s="8" t="n">
        <v>214300</v>
      </c>
      <c r="G641" s="2" t="n">
        <v>30</v>
      </c>
      <c r="H641" s="7" t="n">
        <v>46339</v>
      </c>
      <c r="I641" s="7" t="n">
        <v>46339</v>
      </c>
      <c r="J641" s="2" t="inlineStr">
        <is>
          <t>Paid</t>
        </is>
      </c>
      <c r="K641" s="2" t="inlineStr">
        <is>
          <t>No</t>
        </is>
      </c>
      <c r="L641" s="9" t="n">
        <v>0</v>
      </c>
      <c r="M641" s="2" t="inlineStr">
        <is>
          <t>Received</t>
        </is>
      </c>
      <c r="N641" s="2" t="inlineStr">
        <is>
          <t>Approved</t>
        </is>
      </c>
      <c r="O641" s="2" t="n"/>
      <c r="P641" s="2" t="n"/>
      <c r="Q641" s="2" t="n"/>
      <c r="R641" s="2" t="n"/>
    </row>
    <row r="642">
      <c r="A642" s="2" t="inlineStr">
        <is>
          <t>INV00639</t>
        </is>
      </c>
      <c r="B642" s="7" t="n">
        <v>46311</v>
      </c>
      <c r="C642" s="2" t="inlineStr">
        <is>
          <t>TCS</t>
        </is>
      </c>
      <c r="D642" s="2" t="inlineStr">
        <is>
          <t>Sales</t>
        </is>
      </c>
      <c r="E642" s="2" t="inlineStr">
        <is>
          <t>Software</t>
        </is>
      </c>
      <c r="F642" s="8" t="n">
        <v>198800</v>
      </c>
      <c r="G642" s="2" t="n">
        <v>60</v>
      </c>
      <c r="H642" s="7" t="n">
        <v>46371</v>
      </c>
      <c r="I642" s="7" t="n">
        <v>46386</v>
      </c>
      <c r="J642" s="2" t="inlineStr">
        <is>
          <t>Paid</t>
        </is>
      </c>
      <c r="K642" s="2" t="inlineStr">
        <is>
          <t>No</t>
        </is>
      </c>
      <c r="L642" s="9" t="n">
        <v>0</v>
      </c>
      <c r="M642" s="2" t="inlineStr">
        <is>
          <t>Received</t>
        </is>
      </c>
      <c r="N642" s="2" t="inlineStr">
        <is>
          <t>Approved</t>
        </is>
      </c>
      <c r="O642" s="2" t="n"/>
      <c r="P642" s="2" t="n"/>
      <c r="Q642" s="2" t="n"/>
      <c r="R642" s="2" t="n"/>
    </row>
    <row r="643">
      <c r="A643" s="2" t="inlineStr">
        <is>
          <t>INV00640</t>
        </is>
      </c>
      <c r="B643" s="7" t="n">
        <v>46240</v>
      </c>
      <c r="C643" s="2" t="inlineStr">
        <is>
          <t>Oracle</t>
        </is>
      </c>
      <c r="D643" s="2" t="inlineStr">
        <is>
          <t>Sales</t>
        </is>
      </c>
      <c r="E643" s="2" t="inlineStr">
        <is>
          <t>Consulting</t>
        </is>
      </c>
      <c r="F643" s="8" t="n">
        <v>621100</v>
      </c>
      <c r="G643" s="2" t="n">
        <v>60</v>
      </c>
      <c r="H643" s="7" t="n">
        <v>46300</v>
      </c>
      <c r="I643" s="7" t="n">
        <v>46305</v>
      </c>
      <c r="J643" s="2" t="inlineStr">
        <is>
          <t>Paid</t>
        </is>
      </c>
      <c r="K643" s="2" t="inlineStr">
        <is>
          <t>No</t>
        </is>
      </c>
      <c r="L643" s="9" t="n">
        <v>0</v>
      </c>
      <c r="M643" s="2" t="inlineStr">
        <is>
          <t>Received</t>
        </is>
      </c>
      <c r="N643" s="2" t="inlineStr">
        <is>
          <t>Approved</t>
        </is>
      </c>
      <c r="O643" s="2" t="n"/>
      <c r="P643" s="2" t="n"/>
      <c r="Q643" s="2" t="n"/>
      <c r="R643" s="2" t="n"/>
    </row>
    <row r="644">
      <c r="A644" s="2" t="inlineStr">
        <is>
          <t>INV00641</t>
        </is>
      </c>
      <c r="B644" s="7" t="n">
        <v>46127</v>
      </c>
      <c r="C644" s="2" t="inlineStr">
        <is>
          <t>HCLTech</t>
        </is>
      </c>
      <c r="D644" s="2" t="inlineStr">
        <is>
          <t>Finance</t>
        </is>
      </c>
      <c r="E644" s="2" t="inlineStr">
        <is>
          <t>Professional Services</t>
        </is>
      </c>
      <c r="F644" s="8" t="n">
        <v>80000</v>
      </c>
      <c r="G644" s="2" t="n">
        <v>30</v>
      </c>
      <c r="H644" s="7" t="n">
        <v>46157</v>
      </c>
      <c r="I644" s="2" t="n"/>
      <c r="J644" s="2" t="inlineStr">
        <is>
          <t>Pending</t>
        </is>
      </c>
      <c r="K644" s="2" t="inlineStr">
        <is>
          <t>No</t>
        </is>
      </c>
      <c r="L644" s="9" t="n">
        <v>0</v>
      </c>
      <c r="M644" s="2" t="inlineStr">
        <is>
          <t>Received</t>
        </is>
      </c>
      <c r="N644" s="2" t="inlineStr">
        <is>
          <t>Approved</t>
        </is>
      </c>
      <c r="O644" s="2" t="n"/>
      <c r="P644" s="2" t="n"/>
      <c r="Q644" s="2" t="n"/>
      <c r="R644" s="2" t="n"/>
    </row>
    <row r="645">
      <c r="A645" s="2" t="inlineStr">
        <is>
          <t>INV00642</t>
        </is>
      </c>
      <c r="B645" s="7" t="n">
        <v>46063</v>
      </c>
      <c r="C645" s="2" t="inlineStr">
        <is>
          <t>IBM</t>
        </is>
      </c>
      <c r="D645" s="2" t="inlineStr">
        <is>
          <t>Marketing</t>
        </is>
      </c>
      <c r="E645" s="2" t="inlineStr">
        <is>
          <t>Consulting</t>
        </is>
      </c>
      <c r="F645" s="8" t="n">
        <v>598900</v>
      </c>
      <c r="G645" s="2" t="n">
        <v>30</v>
      </c>
      <c r="H645" s="7" t="n">
        <v>46093</v>
      </c>
      <c r="I645" s="7" t="n">
        <v>46093</v>
      </c>
      <c r="J645" s="2" t="inlineStr">
        <is>
          <t>Paid</t>
        </is>
      </c>
      <c r="K645" s="2" t="inlineStr">
        <is>
          <t>No</t>
        </is>
      </c>
      <c r="L645" s="9" t="n">
        <v>0</v>
      </c>
      <c r="M645" s="2" t="inlineStr">
        <is>
          <t>Received</t>
        </is>
      </c>
      <c r="N645" s="2" t="inlineStr">
        <is>
          <t>Approved</t>
        </is>
      </c>
      <c r="O645" s="2" t="n"/>
      <c r="P645" s="2" t="n"/>
      <c r="Q645" s="2" t="n"/>
      <c r="R645" s="2" t="n"/>
    </row>
    <row r="646">
      <c r="A646" s="2" t="inlineStr">
        <is>
          <t>INV00643</t>
        </is>
      </c>
      <c r="B646" s="7" t="n">
        <v>46204</v>
      </c>
      <c r="C646" s="2" t="inlineStr">
        <is>
          <t>Deloitte</t>
        </is>
      </c>
      <c r="D646" s="2" t="inlineStr">
        <is>
          <t>Operations</t>
        </is>
      </c>
      <c r="E646" s="2" t="inlineStr">
        <is>
          <t>Cloud</t>
        </is>
      </c>
      <c r="F646" s="8" t="n">
        <v>163100</v>
      </c>
      <c r="G646" s="2" t="n">
        <v>45</v>
      </c>
      <c r="H646" s="7" t="n">
        <v>46249</v>
      </c>
      <c r="I646" s="7" t="n">
        <v>46249</v>
      </c>
      <c r="J646" s="2" t="inlineStr">
        <is>
          <t>Paid</t>
        </is>
      </c>
      <c r="K646" s="2" t="inlineStr">
        <is>
          <t>No</t>
        </is>
      </c>
      <c r="L646" s="9" t="n">
        <v>0</v>
      </c>
      <c r="M646" s="2" t="inlineStr">
        <is>
          <t>Received</t>
        </is>
      </c>
      <c r="N646" s="2" t="inlineStr">
        <is>
          <t>Approved</t>
        </is>
      </c>
      <c r="O646" s="2" t="n"/>
      <c r="P646" s="2" t="n"/>
      <c r="Q646" s="2" t="n"/>
      <c r="R646" s="2" t="n"/>
    </row>
    <row r="647">
      <c r="A647" s="2" t="inlineStr">
        <is>
          <t>INV00644</t>
        </is>
      </c>
      <c r="B647" s="7" t="n">
        <v>46116</v>
      </c>
      <c r="C647" s="2" t="inlineStr">
        <is>
          <t>Amazon Web Services</t>
        </is>
      </c>
      <c r="D647" s="2" t="inlineStr">
        <is>
          <t>IT</t>
        </is>
      </c>
      <c r="E647" s="2" t="inlineStr">
        <is>
          <t>Consulting</t>
        </is>
      </c>
      <c r="F647" s="8" t="n">
        <v>500300</v>
      </c>
      <c r="G647" s="2" t="n">
        <v>15</v>
      </c>
      <c r="H647" s="7" t="n">
        <v>46131</v>
      </c>
      <c r="I647" s="7" t="n">
        <v>46146</v>
      </c>
      <c r="J647" s="2" t="inlineStr">
        <is>
          <t>Paid</t>
        </is>
      </c>
      <c r="K647" s="2" t="inlineStr">
        <is>
          <t>No</t>
        </is>
      </c>
      <c r="L647" s="9" t="n">
        <v>0</v>
      </c>
      <c r="M647" s="2" t="inlineStr">
        <is>
          <t>Received</t>
        </is>
      </c>
      <c r="N647" s="2" t="inlineStr">
        <is>
          <t>Approved</t>
        </is>
      </c>
      <c r="O647" s="2" t="n"/>
      <c r="P647" s="2" t="n"/>
      <c r="Q647" s="2" t="n"/>
      <c r="R647" s="2" t="n"/>
    </row>
    <row r="648">
      <c r="A648" s="2" t="inlineStr">
        <is>
          <t>INV00645</t>
        </is>
      </c>
      <c r="B648" s="7" t="n">
        <v>46300</v>
      </c>
      <c r="C648" s="2" t="inlineStr">
        <is>
          <t>HCLTech</t>
        </is>
      </c>
      <c r="D648" s="2" t="inlineStr">
        <is>
          <t>Sales</t>
        </is>
      </c>
      <c r="E648" s="2" t="inlineStr">
        <is>
          <t>Travel</t>
        </is>
      </c>
      <c r="F648" s="8" t="n">
        <v>474600</v>
      </c>
      <c r="G648" s="2" t="n">
        <v>45</v>
      </c>
      <c r="H648" s="7" t="n">
        <v>46345</v>
      </c>
      <c r="I648" s="2" t="n"/>
      <c r="J648" s="2" t="inlineStr">
        <is>
          <t>Pending</t>
        </is>
      </c>
      <c r="K648" s="2" t="inlineStr">
        <is>
          <t>No</t>
        </is>
      </c>
      <c r="L648" s="9" t="n">
        <v>0</v>
      </c>
      <c r="M648" s="2" t="inlineStr">
        <is>
          <t>Received</t>
        </is>
      </c>
      <c r="N648" s="2" t="inlineStr">
        <is>
          <t>Approved</t>
        </is>
      </c>
      <c r="O648" s="2" t="n"/>
      <c r="P648" s="2" t="n"/>
      <c r="Q648" s="2" t="n"/>
      <c r="R648" s="2" t="n"/>
    </row>
    <row r="649">
      <c r="A649" s="2" t="inlineStr">
        <is>
          <t>INV00646</t>
        </is>
      </c>
      <c r="B649" s="7" t="n">
        <v>46327</v>
      </c>
      <c r="C649" s="2" t="inlineStr">
        <is>
          <t>IBM</t>
        </is>
      </c>
      <c r="D649" s="2" t="inlineStr">
        <is>
          <t>Sales</t>
        </is>
      </c>
      <c r="E649" s="2" t="inlineStr">
        <is>
          <t>Office Supplies</t>
        </is>
      </c>
      <c r="F649" s="8" t="n">
        <v>217000</v>
      </c>
      <c r="G649" s="2" t="n">
        <v>30</v>
      </c>
      <c r="H649" s="7" t="n">
        <v>46357</v>
      </c>
      <c r="I649" s="7" t="n">
        <v>46357</v>
      </c>
      <c r="J649" s="2" t="inlineStr">
        <is>
          <t>Paid</t>
        </is>
      </c>
      <c r="K649" s="2" t="inlineStr">
        <is>
          <t>No</t>
        </is>
      </c>
      <c r="L649" s="9" t="n">
        <v>0</v>
      </c>
      <c r="M649" s="2" t="inlineStr">
        <is>
          <t>Received</t>
        </is>
      </c>
      <c r="N649" s="2" t="inlineStr">
        <is>
          <t>Approved</t>
        </is>
      </c>
      <c r="O649" s="2" t="n"/>
      <c r="P649" s="2" t="n"/>
      <c r="Q649" s="2" t="n"/>
      <c r="R649" s="2" t="n"/>
    </row>
    <row r="650">
      <c r="A650" s="2" t="inlineStr">
        <is>
          <t>INV00647</t>
        </is>
      </c>
      <c r="B650" s="7" t="n">
        <v>46245</v>
      </c>
      <c r="C650" s="2" t="inlineStr">
        <is>
          <t>Cognizant</t>
        </is>
      </c>
      <c r="D650" s="2" t="inlineStr">
        <is>
          <t>IT</t>
        </is>
      </c>
      <c r="E650" s="2" t="inlineStr">
        <is>
          <t>Consulting</t>
        </is>
      </c>
      <c r="F650" s="8" t="n">
        <v>956400</v>
      </c>
      <c r="G650" s="2" t="n">
        <v>30</v>
      </c>
      <c r="H650" s="7" t="n">
        <v>46275</v>
      </c>
      <c r="I650" s="7" t="n">
        <v>46275</v>
      </c>
      <c r="J650" s="2" t="inlineStr">
        <is>
          <t>Paid</t>
        </is>
      </c>
      <c r="K650" s="2" t="inlineStr">
        <is>
          <t>No</t>
        </is>
      </c>
      <c r="L650" s="9" t="n">
        <v>0</v>
      </c>
      <c r="M650" s="2" t="inlineStr">
        <is>
          <t>Received</t>
        </is>
      </c>
      <c r="N650" s="2" t="inlineStr">
        <is>
          <t>Approved</t>
        </is>
      </c>
      <c r="O650" s="2" t="n"/>
      <c r="P650" s="2" t="n"/>
      <c r="Q650" s="2" t="n"/>
      <c r="R650" s="2" t="n"/>
    </row>
    <row r="651">
      <c r="A651" s="2" t="inlineStr">
        <is>
          <t>INV00648</t>
        </is>
      </c>
      <c r="B651" s="7" t="n">
        <v>46091</v>
      </c>
      <c r="C651" s="2" t="inlineStr">
        <is>
          <t>Wipro</t>
        </is>
      </c>
      <c r="D651" s="2" t="inlineStr">
        <is>
          <t>IT</t>
        </is>
      </c>
      <c r="E651" s="2" t="inlineStr">
        <is>
          <t>Professional Services</t>
        </is>
      </c>
      <c r="F651" s="8" t="n">
        <v>564400</v>
      </c>
      <c r="G651" s="2" t="n">
        <v>45</v>
      </c>
      <c r="H651" s="7" t="n">
        <v>46136</v>
      </c>
      <c r="I651" s="2" t="n"/>
      <c r="J651" s="2" t="inlineStr">
        <is>
          <t>Pending</t>
        </is>
      </c>
      <c r="K651" s="2" t="inlineStr">
        <is>
          <t>No</t>
        </is>
      </c>
      <c r="L651" s="9" t="n">
        <v>0</v>
      </c>
      <c r="M651" s="2" t="inlineStr">
        <is>
          <t>Received</t>
        </is>
      </c>
      <c r="N651" s="2" t="inlineStr">
        <is>
          <t>Approved</t>
        </is>
      </c>
      <c r="O651" s="2" t="n"/>
      <c r="P651" s="2" t="n"/>
      <c r="Q651" s="2" t="n"/>
      <c r="R651" s="2" t="n"/>
    </row>
    <row r="652">
      <c r="A652" s="2" t="inlineStr">
        <is>
          <t>INV00649</t>
        </is>
      </c>
      <c r="B652" s="7" t="n">
        <v>46321</v>
      </c>
      <c r="C652" s="2" t="inlineStr">
        <is>
          <t>Microsoft</t>
        </is>
      </c>
      <c r="D652" s="2" t="inlineStr">
        <is>
          <t>Finance</t>
        </is>
      </c>
      <c r="E652" s="2" t="inlineStr">
        <is>
          <t>Cloud</t>
        </is>
      </c>
      <c r="F652" s="8" t="n">
        <v>849400</v>
      </c>
      <c r="G652" s="2" t="n">
        <v>45</v>
      </c>
      <c r="H652" s="7" t="n">
        <v>46366</v>
      </c>
      <c r="I652" s="2" t="n"/>
      <c r="J652" s="2" t="inlineStr">
        <is>
          <t>Pending</t>
        </is>
      </c>
      <c r="K652" s="2" t="inlineStr">
        <is>
          <t>Yes</t>
        </is>
      </c>
      <c r="L652" s="9" t="n">
        <v>0.02</v>
      </c>
      <c r="M652" s="2" t="inlineStr">
        <is>
          <t>Received</t>
        </is>
      </c>
      <c r="N652" s="2" t="inlineStr">
        <is>
          <t>Approved</t>
        </is>
      </c>
      <c r="O652" s="2" t="n"/>
      <c r="P652" s="2" t="n"/>
      <c r="Q652" s="2" t="n"/>
      <c r="R652" s="2" t="n"/>
    </row>
    <row r="653">
      <c r="A653" s="2" t="inlineStr">
        <is>
          <t>INV00650</t>
        </is>
      </c>
      <c r="B653" s="7" t="n">
        <v>46128</v>
      </c>
      <c r="C653" s="2" t="inlineStr">
        <is>
          <t>Amazon Web Services</t>
        </is>
      </c>
      <c r="D653" s="2" t="inlineStr">
        <is>
          <t>HR</t>
        </is>
      </c>
      <c r="E653" s="2" t="inlineStr">
        <is>
          <t>Office Supplies</t>
        </is>
      </c>
      <c r="F653" s="8" t="n">
        <v>161600</v>
      </c>
      <c r="G653" s="2" t="n">
        <v>60</v>
      </c>
      <c r="H653" s="7" t="n">
        <v>46188</v>
      </c>
      <c r="I653" s="7" t="n">
        <v>46193</v>
      </c>
      <c r="J653" s="2" t="inlineStr">
        <is>
          <t>Paid</t>
        </is>
      </c>
      <c r="K653" s="2" t="inlineStr">
        <is>
          <t>Yes</t>
        </is>
      </c>
      <c r="L653" s="9" t="n">
        <v>0.02</v>
      </c>
      <c r="M653" s="2" t="inlineStr">
        <is>
          <t>Received</t>
        </is>
      </c>
      <c r="N653" s="2" t="inlineStr">
        <is>
          <t>Approved</t>
        </is>
      </c>
      <c r="O653" s="2" t="n"/>
      <c r="P653" s="2" t="n"/>
      <c r="Q653" s="2" t="n"/>
      <c r="R653" s="2" t="n"/>
    </row>
    <row r="654">
      <c r="A654" s="2" t="inlineStr">
        <is>
          <t>INV00651</t>
        </is>
      </c>
      <c r="B654" s="7" t="n">
        <v>46088</v>
      </c>
      <c r="C654" s="2" t="inlineStr">
        <is>
          <t>Amazon Web Services</t>
        </is>
      </c>
      <c r="D654" s="2" t="inlineStr">
        <is>
          <t>Operations</t>
        </is>
      </c>
      <c r="E654" s="2" t="inlineStr">
        <is>
          <t>Consulting</t>
        </is>
      </c>
      <c r="F654" s="8" t="n">
        <v>62100</v>
      </c>
      <c r="G654" s="2" t="n">
        <v>30</v>
      </c>
      <c r="H654" s="7" t="n">
        <v>46118</v>
      </c>
      <c r="I654" s="7" t="n">
        <v>46118</v>
      </c>
      <c r="J654" s="2" t="inlineStr">
        <is>
          <t>Paid</t>
        </is>
      </c>
      <c r="K654" s="2" t="inlineStr">
        <is>
          <t>Yes</t>
        </is>
      </c>
      <c r="L654" s="9" t="n">
        <v>0.02</v>
      </c>
      <c r="M654" s="2" t="inlineStr">
        <is>
          <t>Received</t>
        </is>
      </c>
      <c r="N654" s="2" t="inlineStr">
        <is>
          <t>Pending</t>
        </is>
      </c>
      <c r="O654" s="2" t="n"/>
      <c r="P654" s="2" t="n"/>
      <c r="Q654" s="2" t="n"/>
      <c r="R654" s="2" t="n"/>
    </row>
    <row r="655">
      <c r="A655" s="2" t="inlineStr">
        <is>
          <t>INV00652</t>
        </is>
      </c>
      <c r="B655" s="7" t="n">
        <v>46209</v>
      </c>
      <c r="C655" s="2" t="inlineStr">
        <is>
          <t>Amazon Web Services</t>
        </is>
      </c>
      <c r="D655" s="2" t="inlineStr">
        <is>
          <t>Finance</t>
        </is>
      </c>
      <c r="E655" s="2" t="inlineStr">
        <is>
          <t>Office Supplies</t>
        </is>
      </c>
      <c r="F655" s="8" t="n">
        <v>122200</v>
      </c>
      <c r="G655" s="2" t="n">
        <v>60</v>
      </c>
      <c r="H655" s="7" t="n">
        <v>46269</v>
      </c>
      <c r="I655" s="7" t="n">
        <v>46269</v>
      </c>
      <c r="J655" s="2" t="inlineStr">
        <is>
          <t>Paid</t>
        </is>
      </c>
      <c r="K655" s="2" t="inlineStr">
        <is>
          <t>No</t>
        </is>
      </c>
      <c r="L655" s="9" t="n">
        <v>0</v>
      </c>
      <c r="M655" s="2" t="inlineStr">
        <is>
          <t>Received</t>
        </is>
      </c>
      <c r="N655" s="2" t="inlineStr">
        <is>
          <t>Approved</t>
        </is>
      </c>
      <c r="O655" s="2" t="n"/>
      <c r="P655" s="2" t="n"/>
      <c r="Q655" s="2" t="n"/>
      <c r="R655" s="2" t="n"/>
    </row>
    <row r="656">
      <c r="A656" s="2" t="inlineStr">
        <is>
          <t>INV00653</t>
        </is>
      </c>
      <c r="B656" s="7" t="n">
        <v>46314</v>
      </c>
      <c r="C656" s="2" t="inlineStr">
        <is>
          <t>Infosys</t>
        </is>
      </c>
      <c r="D656" s="2" t="inlineStr">
        <is>
          <t>Marketing</t>
        </is>
      </c>
      <c r="E656" s="2" t="inlineStr">
        <is>
          <t>Cloud</t>
        </is>
      </c>
      <c r="F656" s="8" t="n">
        <v>72500</v>
      </c>
      <c r="G656" s="2" t="n">
        <v>60</v>
      </c>
      <c r="H656" s="7" t="n">
        <v>46374</v>
      </c>
      <c r="I656" s="7" t="n">
        <v>46404</v>
      </c>
      <c r="J656" s="2" t="inlineStr">
        <is>
          <t>Paid</t>
        </is>
      </c>
      <c r="K656" s="2" t="inlineStr">
        <is>
          <t>No</t>
        </is>
      </c>
      <c r="L656" s="9" t="n">
        <v>0</v>
      </c>
      <c r="M656" s="2" t="inlineStr">
        <is>
          <t>Received</t>
        </is>
      </c>
      <c r="N656" s="2" t="inlineStr">
        <is>
          <t>Approved</t>
        </is>
      </c>
      <c r="O656" s="2" t="n"/>
      <c r="P656" s="2" t="n"/>
      <c r="Q656" s="2" t="n"/>
      <c r="R656" s="2" t="n"/>
    </row>
    <row r="657">
      <c r="A657" s="2" t="inlineStr">
        <is>
          <t>INV00654</t>
        </is>
      </c>
      <c r="B657" s="7" t="n">
        <v>46311</v>
      </c>
      <c r="C657" s="2" t="inlineStr">
        <is>
          <t>IBM</t>
        </is>
      </c>
      <c r="D657" s="2" t="inlineStr">
        <is>
          <t>Operations</t>
        </is>
      </c>
      <c r="E657" s="2" t="inlineStr">
        <is>
          <t>Office Supplies</t>
        </is>
      </c>
      <c r="F657" s="8" t="n">
        <v>465900</v>
      </c>
      <c r="G657" s="2" t="n">
        <v>15</v>
      </c>
      <c r="H657" s="7" t="n">
        <v>46326</v>
      </c>
      <c r="I657" s="7" t="n">
        <v>46356</v>
      </c>
      <c r="J657" s="2" t="inlineStr">
        <is>
          <t>Paid</t>
        </is>
      </c>
      <c r="K657" s="2" t="inlineStr">
        <is>
          <t>No</t>
        </is>
      </c>
      <c r="L657" s="9" t="n">
        <v>0</v>
      </c>
      <c r="M657" s="2" t="inlineStr">
        <is>
          <t>Received</t>
        </is>
      </c>
      <c r="N657" s="2" t="inlineStr">
        <is>
          <t>Approved</t>
        </is>
      </c>
      <c r="O657" s="2" t="n"/>
      <c r="P657" s="2" t="n"/>
      <c r="Q657" s="2" t="n"/>
      <c r="R657" s="2" t="n"/>
    </row>
    <row r="658">
      <c r="A658" s="2" t="inlineStr">
        <is>
          <t>INV00655</t>
        </is>
      </c>
      <c r="B658" s="7" t="n">
        <v>46095</v>
      </c>
      <c r="C658" s="2" t="inlineStr">
        <is>
          <t>TCS</t>
        </is>
      </c>
      <c r="D658" s="2" t="inlineStr">
        <is>
          <t>Finance</t>
        </is>
      </c>
      <c r="E658" s="2" t="inlineStr">
        <is>
          <t>Office Supplies</t>
        </is>
      </c>
      <c r="F658" s="8" t="n">
        <v>117200</v>
      </c>
      <c r="G658" s="2" t="n">
        <v>60</v>
      </c>
      <c r="H658" s="7" t="n">
        <v>46155</v>
      </c>
      <c r="I658" s="7" t="n">
        <v>46155</v>
      </c>
      <c r="J658" s="2" t="inlineStr">
        <is>
          <t>Paid</t>
        </is>
      </c>
      <c r="K658" s="2" t="inlineStr">
        <is>
          <t>No</t>
        </is>
      </c>
      <c r="L658" s="9" t="n">
        <v>0</v>
      </c>
      <c r="M658" s="2" t="inlineStr">
        <is>
          <t>Received</t>
        </is>
      </c>
      <c r="N658" s="2" t="inlineStr">
        <is>
          <t>Approved</t>
        </is>
      </c>
      <c r="O658" s="2" t="n"/>
      <c r="P658" s="2" t="n"/>
      <c r="Q658" s="2" t="n"/>
      <c r="R658" s="2" t="n"/>
    </row>
    <row r="659">
      <c r="A659" s="2" t="inlineStr">
        <is>
          <t>INV00656</t>
        </is>
      </c>
      <c r="B659" s="7" t="n">
        <v>46090</v>
      </c>
      <c r="C659" s="2" t="inlineStr">
        <is>
          <t>Zoho</t>
        </is>
      </c>
      <c r="D659" s="2" t="inlineStr">
        <is>
          <t>Sales</t>
        </is>
      </c>
      <c r="E659" s="2" t="inlineStr">
        <is>
          <t>Office Supplies</t>
        </is>
      </c>
      <c r="F659" s="8" t="n">
        <v>168300</v>
      </c>
      <c r="G659" s="2" t="n">
        <v>45</v>
      </c>
      <c r="H659" s="7" t="n">
        <v>46135</v>
      </c>
      <c r="I659" s="2" t="n"/>
      <c r="J659" s="2" t="inlineStr">
        <is>
          <t>Pending</t>
        </is>
      </c>
      <c r="K659" s="2" t="inlineStr">
        <is>
          <t>No</t>
        </is>
      </c>
      <c r="L659" s="9" t="n">
        <v>0</v>
      </c>
      <c r="M659" s="2" t="inlineStr">
        <is>
          <t>Received</t>
        </is>
      </c>
      <c r="N659" s="2" t="inlineStr">
        <is>
          <t>Approved</t>
        </is>
      </c>
      <c r="O659" s="2" t="n"/>
      <c r="P659" s="2" t="n"/>
      <c r="Q659" s="2" t="n"/>
      <c r="R659" s="2" t="n"/>
    </row>
    <row r="660">
      <c r="A660" s="2" t="inlineStr">
        <is>
          <t>INV00657</t>
        </is>
      </c>
      <c r="B660" s="7" t="n">
        <v>46176</v>
      </c>
      <c r="C660" s="2" t="inlineStr">
        <is>
          <t>Cognizant</t>
        </is>
      </c>
      <c r="D660" s="2" t="inlineStr">
        <is>
          <t>IT</t>
        </is>
      </c>
      <c r="E660" s="2" t="inlineStr">
        <is>
          <t>Office Supplies</t>
        </is>
      </c>
      <c r="F660" s="8" t="n">
        <v>105500</v>
      </c>
      <c r="G660" s="2" t="n">
        <v>45</v>
      </c>
      <c r="H660" s="7" t="n">
        <v>46221</v>
      </c>
      <c r="I660" s="7" t="n">
        <v>46221</v>
      </c>
      <c r="J660" s="2" t="inlineStr">
        <is>
          <t>Paid</t>
        </is>
      </c>
      <c r="K660" s="2" t="inlineStr">
        <is>
          <t>Yes</t>
        </is>
      </c>
      <c r="L660" s="9" t="n">
        <v>0.02</v>
      </c>
      <c r="M660" s="2" t="inlineStr">
        <is>
          <t>Received</t>
        </is>
      </c>
      <c r="N660" s="2" t="inlineStr">
        <is>
          <t>Approved</t>
        </is>
      </c>
      <c r="O660" s="2" t="n"/>
      <c r="P660" s="2" t="n"/>
      <c r="Q660" s="2" t="n"/>
      <c r="R660" s="2" t="n"/>
    </row>
    <row r="661">
      <c r="A661" s="2" t="inlineStr">
        <is>
          <t>INV00658</t>
        </is>
      </c>
      <c r="B661" s="7" t="n">
        <v>46214</v>
      </c>
      <c r="C661" s="2" t="inlineStr">
        <is>
          <t>Wipro</t>
        </is>
      </c>
      <c r="D661" s="2" t="inlineStr">
        <is>
          <t>Operations</t>
        </is>
      </c>
      <c r="E661" s="2" t="inlineStr">
        <is>
          <t>Facilities</t>
        </is>
      </c>
      <c r="F661" s="8" t="n">
        <v>102200</v>
      </c>
      <c r="G661" s="2" t="n">
        <v>30</v>
      </c>
      <c r="H661" s="7" t="n">
        <v>46244</v>
      </c>
      <c r="I661" s="7" t="n">
        <v>46244</v>
      </c>
      <c r="J661" s="2" t="inlineStr">
        <is>
          <t>Paid</t>
        </is>
      </c>
      <c r="K661" s="2" t="inlineStr">
        <is>
          <t>No</t>
        </is>
      </c>
      <c r="L661" s="9" t="n">
        <v>0</v>
      </c>
      <c r="M661" s="2" t="inlineStr">
        <is>
          <t>Received</t>
        </is>
      </c>
      <c r="N661" s="2" t="inlineStr">
        <is>
          <t>Approved</t>
        </is>
      </c>
      <c r="O661" s="2" t="n"/>
      <c r="P661" s="2" t="n"/>
      <c r="Q661" s="2" t="n"/>
      <c r="R661" s="2" t="n"/>
    </row>
    <row r="662">
      <c r="A662" s="2" t="inlineStr">
        <is>
          <t>INV00659</t>
        </is>
      </c>
      <c r="B662" s="7" t="n">
        <v>46071</v>
      </c>
      <c r="C662" s="2" t="inlineStr">
        <is>
          <t>SAP</t>
        </is>
      </c>
      <c r="D662" s="2" t="inlineStr">
        <is>
          <t>Finance</t>
        </is>
      </c>
      <c r="E662" s="2" t="inlineStr">
        <is>
          <t>Travel</t>
        </is>
      </c>
      <c r="F662" s="8" t="n">
        <v>39400</v>
      </c>
      <c r="G662" s="2" t="n">
        <v>60</v>
      </c>
      <c r="H662" s="7" t="n">
        <v>46131</v>
      </c>
      <c r="I662" s="7" t="n">
        <v>46131</v>
      </c>
      <c r="J662" s="2" t="inlineStr">
        <is>
          <t>Paid</t>
        </is>
      </c>
      <c r="K662" s="2" t="inlineStr">
        <is>
          <t>Yes</t>
        </is>
      </c>
      <c r="L662" s="9" t="n">
        <v>0.02</v>
      </c>
      <c r="M662" s="2" t="inlineStr">
        <is>
          <t>Received</t>
        </is>
      </c>
      <c r="N662" s="2" t="inlineStr">
        <is>
          <t>Approved</t>
        </is>
      </c>
      <c r="O662" s="2" t="n"/>
      <c r="P662" s="2" t="n"/>
      <c r="Q662" s="2" t="n"/>
      <c r="R662" s="2" t="n"/>
    </row>
    <row r="663">
      <c r="A663" s="2" t="inlineStr">
        <is>
          <t>INV00660</t>
        </is>
      </c>
      <c r="B663" s="7" t="n">
        <v>46209</v>
      </c>
      <c r="C663" s="2" t="inlineStr">
        <is>
          <t>Amazon Web Services</t>
        </is>
      </c>
      <c r="D663" s="2" t="inlineStr">
        <is>
          <t>Sales</t>
        </is>
      </c>
      <c r="E663" s="2" t="inlineStr">
        <is>
          <t>Facilities</t>
        </is>
      </c>
      <c r="F663" s="8" t="n">
        <v>365100</v>
      </c>
      <c r="G663" s="2" t="n">
        <v>15</v>
      </c>
      <c r="H663" s="7" t="n">
        <v>46224</v>
      </c>
      <c r="I663" s="7" t="n">
        <v>46239</v>
      </c>
      <c r="J663" s="2" t="inlineStr">
        <is>
          <t>Paid</t>
        </is>
      </c>
      <c r="K663" s="2" t="inlineStr">
        <is>
          <t>No</t>
        </is>
      </c>
      <c r="L663" s="9" t="n">
        <v>0</v>
      </c>
      <c r="M663" s="2" t="inlineStr">
        <is>
          <t>Received</t>
        </is>
      </c>
      <c r="N663" s="2" t="inlineStr">
        <is>
          <t>Approved</t>
        </is>
      </c>
      <c r="O663" s="2" t="n"/>
      <c r="P663" s="2" t="n"/>
      <c r="Q663" s="2" t="n"/>
      <c r="R663" s="2" t="n"/>
    </row>
    <row r="664">
      <c r="A664" s="2" t="inlineStr">
        <is>
          <t>INV00661</t>
        </is>
      </c>
      <c r="B664" s="7" t="n">
        <v>46049</v>
      </c>
      <c r="C664" s="2" t="inlineStr">
        <is>
          <t>SAP</t>
        </is>
      </c>
      <c r="D664" s="2" t="inlineStr">
        <is>
          <t>Marketing</t>
        </is>
      </c>
      <c r="E664" s="2" t="inlineStr">
        <is>
          <t>Travel</t>
        </is>
      </c>
      <c r="F664" s="8" t="n">
        <v>100700</v>
      </c>
      <c r="G664" s="2" t="n">
        <v>15</v>
      </c>
      <c r="H664" s="7" t="n">
        <v>46064</v>
      </c>
      <c r="I664" s="7" t="n">
        <v>46064</v>
      </c>
      <c r="J664" s="2" t="inlineStr">
        <is>
          <t>Paid</t>
        </is>
      </c>
      <c r="K664" s="2" t="inlineStr">
        <is>
          <t>No</t>
        </is>
      </c>
      <c r="L664" s="9" t="n">
        <v>0</v>
      </c>
      <c r="M664" s="2" t="inlineStr">
        <is>
          <t>Received</t>
        </is>
      </c>
      <c r="N664" s="2" t="inlineStr">
        <is>
          <t>Approved</t>
        </is>
      </c>
      <c r="O664" s="2" t="n"/>
      <c r="P664" s="2" t="n"/>
      <c r="Q664" s="2" t="n"/>
      <c r="R664" s="2" t="n"/>
    </row>
    <row r="665">
      <c r="A665" s="2" t="inlineStr">
        <is>
          <t>INV00662</t>
        </is>
      </c>
      <c r="B665" s="7" t="n">
        <v>46119</v>
      </c>
      <c r="C665" s="2" t="inlineStr">
        <is>
          <t>Amazon Web Services</t>
        </is>
      </c>
      <c r="D665" s="2" t="inlineStr">
        <is>
          <t>IT</t>
        </is>
      </c>
      <c r="E665" s="2" t="inlineStr">
        <is>
          <t>Professional Services</t>
        </is>
      </c>
      <c r="F665" s="8" t="n">
        <v>247400</v>
      </c>
      <c r="G665" s="2" t="n">
        <v>15</v>
      </c>
      <c r="H665" s="7" t="n">
        <v>46134</v>
      </c>
      <c r="I665" s="7" t="n">
        <v>46134</v>
      </c>
      <c r="J665" s="2" t="inlineStr">
        <is>
          <t>Paid</t>
        </is>
      </c>
      <c r="K665" s="2" t="inlineStr">
        <is>
          <t>No</t>
        </is>
      </c>
      <c r="L665" s="9" t="n">
        <v>0</v>
      </c>
      <c r="M665" s="2" t="inlineStr">
        <is>
          <t>Received</t>
        </is>
      </c>
      <c r="N665" s="2" t="inlineStr">
        <is>
          <t>Approved</t>
        </is>
      </c>
      <c r="O665" s="2" t="n"/>
      <c r="P665" s="2" t="n"/>
      <c r="Q665" s="2" t="n"/>
      <c r="R665" s="2" t="n"/>
    </row>
    <row r="666">
      <c r="A666" s="2" t="inlineStr">
        <is>
          <t>INV00663</t>
        </is>
      </c>
      <c r="B666" s="7" t="n">
        <v>46332</v>
      </c>
      <c r="C666" s="2" t="inlineStr">
        <is>
          <t>Wipro</t>
        </is>
      </c>
      <c r="D666" s="2" t="inlineStr">
        <is>
          <t>Finance</t>
        </is>
      </c>
      <c r="E666" s="2" t="inlineStr">
        <is>
          <t>Software</t>
        </is>
      </c>
      <c r="F666" s="8" t="n">
        <v>861700</v>
      </c>
      <c r="G666" s="2" t="n">
        <v>60</v>
      </c>
      <c r="H666" s="7" t="n">
        <v>46392</v>
      </c>
      <c r="I666" s="7" t="n">
        <v>46392</v>
      </c>
      <c r="J666" s="2" t="inlineStr">
        <is>
          <t>Paid</t>
        </is>
      </c>
      <c r="K666" s="2" t="inlineStr">
        <is>
          <t>Yes</t>
        </is>
      </c>
      <c r="L666" s="9" t="n">
        <v>0.02</v>
      </c>
      <c r="M666" s="2" t="inlineStr">
        <is>
          <t>Received</t>
        </is>
      </c>
      <c r="N666" s="2" t="inlineStr">
        <is>
          <t>Pending</t>
        </is>
      </c>
      <c r="O666" s="2" t="n"/>
      <c r="P666" s="2" t="n"/>
      <c r="Q666" s="2" t="n"/>
      <c r="R666" s="2" t="n"/>
    </row>
    <row r="667">
      <c r="A667" s="2" t="inlineStr">
        <is>
          <t>INV00664</t>
        </is>
      </c>
      <c r="B667" s="7" t="n">
        <v>46061</v>
      </c>
      <c r="C667" s="2" t="inlineStr">
        <is>
          <t>TCS</t>
        </is>
      </c>
      <c r="D667" s="2" t="inlineStr">
        <is>
          <t>IT</t>
        </is>
      </c>
      <c r="E667" s="2" t="inlineStr">
        <is>
          <t>Consulting</t>
        </is>
      </c>
      <c r="F667" s="8" t="n">
        <v>551600</v>
      </c>
      <c r="G667" s="2" t="n">
        <v>45</v>
      </c>
      <c r="H667" s="7" t="n">
        <v>46106</v>
      </c>
      <c r="I667" s="7" t="n">
        <v>46106</v>
      </c>
      <c r="J667" s="2" t="inlineStr">
        <is>
          <t>Paid</t>
        </is>
      </c>
      <c r="K667" s="2" t="inlineStr">
        <is>
          <t>Yes</t>
        </is>
      </c>
      <c r="L667" s="9" t="n">
        <v>0.02</v>
      </c>
      <c r="M667" s="2" t="inlineStr">
        <is>
          <t>Received</t>
        </is>
      </c>
      <c r="N667" s="2" t="inlineStr">
        <is>
          <t>Approved</t>
        </is>
      </c>
      <c r="O667" s="2" t="n"/>
      <c r="P667" s="2" t="n"/>
      <c r="Q667" s="2" t="n"/>
      <c r="R667" s="2" t="n"/>
    </row>
    <row r="668">
      <c r="A668" s="2" t="inlineStr">
        <is>
          <t>INV00665</t>
        </is>
      </c>
      <c r="B668" s="7" t="n">
        <v>46307</v>
      </c>
      <c r="C668" s="2" t="inlineStr">
        <is>
          <t>Microsoft</t>
        </is>
      </c>
      <c r="D668" s="2" t="inlineStr">
        <is>
          <t>IT</t>
        </is>
      </c>
      <c r="E668" s="2" t="inlineStr">
        <is>
          <t>Cloud</t>
        </is>
      </c>
      <c r="F668" s="8" t="n">
        <v>78900</v>
      </c>
      <c r="G668" s="2" t="n">
        <v>60</v>
      </c>
      <c r="H668" s="7" t="n">
        <v>46367</v>
      </c>
      <c r="I668" s="7" t="n">
        <v>46382</v>
      </c>
      <c r="J668" s="2" t="inlineStr">
        <is>
          <t>Paid</t>
        </is>
      </c>
      <c r="K668" s="2" t="inlineStr">
        <is>
          <t>No</t>
        </is>
      </c>
      <c r="L668" s="9" t="n">
        <v>0</v>
      </c>
      <c r="M668" s="2" t="inlineStr">
        <is>
          <t>Received</t>
        </is>
      </c>
      <c r="N668" s="2" t="inlineStr">
        <is>
          <t>Approved</t>
        </is>
      </c>
      <c r="O668" s="2" t="n"/>
      <c r="P668" s="2" t="n"/>
      <c r="Q668" s="2" t="n"/>
      <c r="R668" s="2" t="n"/>
    </row>
    <row r="669">
      <c r="A669" s="2" t="inlineStr">
        <is>
          <t>INV00666</t>
        </is>
      </c>
      <c r="B669" s="7" t="n">
        <v>46073</v>
      </c>
      <c r="C669" s="2" t="inlineStr">
        <is>
          <t>Oracle</t>
        </is>
      </c>
      <c r="D669" s="2" t="inlineStr">
        <is>
          <t>Sales</t>
        </is>
      </c>
      <c r="E669" s="2" t="inlineStr">
        <is>
          <t>Travel</t>
        </is>
      </c>
      <c r="F669" s="8" t="n">
        <v>171100</v>
      </c>
      <c r="G669" s="2" t="n">
        <v>60</v>
      </c>
      <c r="H669" s="7" t="n">
        <v>46133</v>
      </c>
      <c r="I669" s="7" t="n">
        <v>46138</v>
      </c>
      <c r="J669" s="2" t="inlineStr">
        <is>
          <t>Paid</t>
        </is>
      </c>
      <c r="K669" s="2" t="inlineStr">
        <is>
          <t>No</t>
        </is>
      </c>
      <c r="L669" s="9" t="n">
        <v>0</v>
      </c>
      <c r="M669" s="2" t="inlineStr">
        <is>
          <t>Received</t>
        </is>
      </c>
      <c r="N669" s="2" t="inlineStr">
        <is>
          <t>Approved</t>
        </is>
      </c>
      <c r="O669" s="2" t="n"/>
      <c r="P669" s="2" t="n"/>
      <c r="Q669" s="2" t="n"/>
      <c r="R669" s="2" t="n"/>
    </row>
    <row r="670">
      <c r="A670" s="2" t="inlineStr">
        <is>
          <t>INV00667</t>
        </is>
      </c>
      <c r="B670" s="7" t="n">
        <v>46237</v>
      </c>
      <c r="C670" s="2" t="inlineStr">
        <is>
          <t>Oracle</t>
        </is>
      </c>
      <c r="D670" s="2" t="inlineStr">
        <is>
          <t>IT</t>
        </is>
      </c>
      <c r="E670" s="2" t="inlineStr">
        <is>
          <t>Office Supplies</t>
        </is>
      </c>
      <c r="F670" s="8" t="n">
        <v>98700</v>
      </c>
      <c r="G670" s="2" t="n">
        <v>60</v>
      </c>
      <c r="H670" s="7" t="n">
        <v>46297</v>
      </c>
      <c r="I670" s="7" t="n">
        <v>46312</v>
      </c>
      <c r="J670" s="2" t="inlineStr">
        <is>
          <t>Paid</t>
        </is>
      </c>
      <c r="K670" s="2" t="inlineStr">
        <is>
          <t>Yes</t>
        </is>
      </c>
      <c r="L670" s="9" t="n">
        <v>0.02</v>
      </c>
      <c r="M670" s="2" t="inlineStr">
        <is>
          <t>Received</t>
        </is>
      </c>
      <c r="N670" s="2" t="inlineStr">
        <is>
          <t>Approved</t>
        </is>
      </c>
      <c r="O670" s="2" t="n"/>
      <c r="P670" s="2" t="n"/>
      <c r="Q670" s="2" t="n"/>
      <c r="R670" s="2" t="n"/>
    </row>
    <row r="671">
      <c r="A671" s="2" t="inlineStr">
        <is>
          <t>INV00668</t>
        </is>
      </c>
      <c r="B671" s="7" t="n">
        <v>46063</v>
      </c>
      <c r="C671" s="2" t="inlineStr">
        <is>
          <t>TCS</t>
        </is>
      </c>
      <c r="D671" s="2" t="inlineStr">
        <is>
          <t>Sales</t>
        </is>
      </c>
      <c r="E671" s="2" t="inlineStr">
        <is>
          <t>Professional Services</t>
        </is>
      </c>
      <c r="F671" s="8" t="n">
        <v>294900</v>
      </c>
      <c r="G671" s="2" t="n">
        <v>30</v>
      </c>
      <c r="H671" s="7" t="n">
        <v>46093</v>
      </c>
      <c r="I671" s="7" t="n">
        <v>46093</v>
      </c>
      <c r="J671" s="2" t="inlineStr">
        <is>
          <t>Paid</t>
        </is>
      </c>
      <c r="K671" s="2" t="inlineStr">
        <is>
          <t>No</t>
        </is>
      </c>
      <c r="L671" s="9" t="n">
        <v>0</v>
      </c>
      <c r="M671" s="2" t="inlineStr">
        <is>
          <t>Received</t>
        </is>
      </c>
      <c r="N671" s="2" t="inlineStr">
        <is>
          <t>Approved</t>
        </is>
      </c>
      <c r="O671" s="2" t="n"/>
      <c r="P671" s="2" t="n"/>
      <c r="Q671" s="2" t="n"/>
      <c r="R671" s="2" t="n"/>
    </row>
    <row r="672">
      <c r="A672" s="2" t="inlineStr">
        <is>
          <t>INV00669</t>
        </is>
      </c>
      <c r="B672" s="7" t="n">
        <v>46376</v>
      </c>
      <c r="C672" s="2" t="inlineStr">
        <is>
          <t>IBM</t>
        </is>
      </c>
      <c r="D672" s="2" t="inlineStr">
        <is>
          <t>Sales</t>
        </is>
      </c>
      <c r="E672" s="2" t="inlineStr">
        <is>
          <t>Consulting</t>
        </is>
      </c>
      <c r="F672" s="8" t="n">
        <v>73100</v>
      </c>
      <c r="G672" s="2" t="n">
        <v>30</v>
      </c>
      <c r="H672" s="7" t="n">
        <v>46406</v>
      </c>
      <c r="I672" s="7" t="n">
        <v>46496</v>
      </c>
      <c r="J672" s="2" t="inlineStr">
        <is>
          <t>Paid</t>
        </is>
      </c>
      <c r="K672" s="2" t="inlineStr">
        <is>
          <t>No</t>
        </is>
      </c>
      <c r="L672" s="9" t="n">
        <v>0</v>
      </c>
      <c r="M672" s="2" t="inlineStr">
        <is>
          <t>Received</t>
        </is>
      </c>
      <c r="N672" s="2" t="inlineStr">
        <is>
          <t>Approved</t>
        </is>
      </c>
      <c r="O672" s="2" t="n"/>
      <c r="P672" s="2" t="n"/>
      <c r="Q672" s="2" t="n"/>
      <c r="R672" s="2" t="n"/>
    </row>
    <row r="673">
      <c r="A673" s="2" t="inlineStr">
        <is>
          <t>INV00670</t>
        </is>
      </c>
      <c r="B673" s="7" t="n">
        <v>46367</v>
      </c>
      <c r="C673" s="2" t="inlineStr">
        <is>
          <t>Oracle</t>
        </is>
      </c>
      <c r="D673" s="2" t="inlineStr">
        <is>
          <t>Finance</t>
        </is>
      </c>
      <c r="E673" s="2" t="inlineStr">
        <is>
          <t>Cloud</t>
        </is>
      </c>
      <c r="F673" s="8" t="n">
        <v>227100</v>
      </c>
      <c r="G673" s="2" t="n">
        <v>15</v>
      </c>
      <c r="H673" s="7" t="n">
        <v>46382</v>
      </c>
      <c r="I673" s="2" t="n"/>
      <c r="J673" s="2" t="inlineStr">
        <is>
          <t>Pending</t>
        </is>
      </c>
      <c r="K673" s="2" t="inlineStr">
        <is>
          <t>No</t>
        </is>
      </c>
      <c r="L673" s="9" t="n">
        <v>0</v>
      </c>
      <c r="M673" s="2" t="inlineStr">
        <is>
          <t>Received</t>
        </is>
      </c>
      <c r="N673" s="2" t="inlineStr">
        <is>
          <t>Approved</t>
        </is>
      </c>
      <c r="O673" s="2" t="n"/>
      <c r="P673" s="2" t="n"/>
      <c r="Q673" s="2" t="n"/>
      <c r="R673" s="2" t="n"/>
    </row>
    <row r="674">
      <c r="A674" s="2" t="inlineStr">
        <is>
          <t>INV00671</t>
        </is>
      </c>
      <c r="B674" s="7" t="n">
        <v>46276</v>
      </c>
      <c r="C674" s="2" t="inlineStr">
        <is>
          <t>Deloitte</t>
        </is>
      </c>
      <c r="D674" s="2" t="inlineStr">
        <is>
          <t>Operations</t>
        </is>
      </c>
      <c r="E674" s="2" t="inlineStr">
        <is>
          <t>Travel</t>
        </is>
      </c>
      <c r="F674" s="8" t="n">
        <v>20800</v>
      </c>
      <c r="G674" s="2" t="n">
        <v>15</v>
      </c>
      <c r="H674" s="7" t="n">
        <v>46291</v>
      </c>
      <c r="I674" s="7" t="n">
        <v>46381</v>
      </c>
      <c r="J674" s="2" t="inlineStr">
        <is>
          <t>Paid</t>
        </is>
      </c>
      <c r="K674" s="2" t="inlineStr">
        <is>
          <t>No</t>
        </is>
      </c>
      <c r="L674" s="9" t="n">
        <v>0</v>
      </c>
      <c r="M674" s="2" t="inlineStr">
        <is>
          <t>Received</t>
        </is>
      </c>
      <c r="N674" s="2" t="inlineStr">
        <is>
          <t>Approved</t>
        </is>
      </c>
      <c r="O674" s="2" t="n"/>
      <c r="P674" s="2" t="n"/>
      <c r="Q674" s="2" t="n"/>
      <c r="R674" s="2" t="n"/>
    </row>
    <row r="675">
      <c r="A675" s="2" t="inlineStr">
        <is>
          <t>INV00672</t>
        </is>
      </c>
      <c r="B675" s="7" t="n">
        <v>46292</v>
      </c>
      <c r="C675" s="2" t="inlineStr">
        <is>
          <t>Cognizant</t>
        </is>
      </c>
      <c r="D675" s="2" t="inlineStr">
        <is>
          <t>Finance</t>
        </is>
      </c>
      <c r="E675" s="2" t="inlineStr">
        <is>
          <t>Cloud</t>
        </is>
      </c>
      <c r="F675" s="8" t="n">
        <v>109400</v>
      </c>
      <c r="G675" s="2" t="n">
        <v>15</v>
      </c>
      <c r="H675" s="7" t="n">
        <v>46307</v>
      </c>
      <c r="I675" s="2" t="n"/>
      <c r="J675" s="2" t="inlineStr">
        <is>
          <t>Pending</t>
        </is>
      </c>
      <c r="K675" s="2" t="inlineStr">
        <is>
          <t>Yes</t>
        </is>
      </c>
      <c r="L675" s="9" t="n">
        <v>0.02</v>
      </c>
      <c r="M675" s="2" t="inlineStr">
        <is>
          <t>Received</t>
        </is>
      </c>
      <c r="N675" s="2" t="inlineStr">
        <is>
          <t>Approved</t>
        </is>
      </c>
      <c r="O675" s="2" t="n"/>
      <c r="P675" s="2" t="n"/>
      <c r="Q675" s="2" t="n"/>
      <c r="R675" s="2" t="n"/>
    </row>
    <row r="676">
      <c r="A676" s="2" t="inlineStr">
        <is>
          <t>INV00673</t>
        </is>
      </c>
      <c r="B676" s="7" t="n">
        <v>46161</v>
      </c>
      <c r="C676" s="2" t="inlineStr">
        <is>
          <t>IBM</t>
        </is>
      </c>
      <c r="D676" s="2" t="inlineStr">
        <is>
          <t>Sales</t>
        </is>
      </c>
      <c r="E676" s="2" t="inlineStr">
        <is>
          <t>Cloud</t>
        </is>
      </c>
      <c r="F676" s="8" t="n">
        <v>610900</v>
      </c>
      <c r="G676" s="2" t="n">
        <v>45</v>
      </c>
      <c r="H676" s="7" t="n">
        <v>46206</v>
      </c>
      <c r="I676" s="7" t="n">
        <v>46206</v>
      </c>
      <c r="J676" s="2" t="inlineStr">
        <is>
          <t>Paid</t>
        </is>
      </c>
      <c r="K676" s="2" t="inlineStr">
        <is>
          <t>No</t>
        </is>
      </c>
      <c r="L676" s="9" t="n">
        <v>0</v>
      </c>
      <c r="M676" s="2" t="inlineStr">
        <is>
          <t>Received</t>
        </is>
      </c>
      <c r="N676" s="2" t="inlineStr">
        <is>
          <t>Approved</t>
        </is>
      </c>
      <c r="O676" s="2" t="n"/>
      <c r="P676" s="2" t="n"/>
      <c r="Q676" s="2" t="n"/>
      <c r="R676" s="2" t="n"/>
    </row>
    <row r="677">
      <c r="A677" s="2" t="inlineStr">
        <is>
          <t>INV00674</t>
        </is>
      </c>
      <c r="B677" s="7" t="n">
        <v>46108</v>
      </c>
      <c r="C677" s="2" t="inlineStr">
        <is>
          <t>Cognizant</t>
        </is>
      </c>
      <c r="D677" s="2" t="inlineStr">
        <is>
          <t>Operations</t>
        </is>
      </c>
      <c r="E677" s="2" t="inlineStr">
        <is>
          <t>Software</t>
        </is>
      </c>
      <c r="F677" s="8" t="n">
        <v>312400</v>
      </c>
      <c r="G677" s="2" t="n">
        <v>60</v>
      </c>
      <c r="H677" s="7" t="n">
        <v>46168</v>
      </c>
      <c r="I677" s="7" t="n">
        <v>46168</v>
      </c>
      <c r="J677" s="2" t="inlineStr">
        <is>
          <t>Paid</t>
        </is>
      </c>
      <c r="K677" s="2" t="inlineStr">
        <is>
          <t>No</t>
        </is>
      </c>
      <c r="L677" s="9" t="n">
        <v>0</v>
      </c>
      <c r="M677" s="2" t="inlineStr">
        <is>
          <t>Received</t>
        </is>
      </c>
      <c r="N677" s="2" t="inlineStr">
        <is>
          <t>Approved</t>
        </is>
      </c>
      <c r="O677" s="2" t="n"/>
      <c r="P677" s="2" t="n"/>
      <c r="Q677" s="2" t="n"/>
      <c r="R677" s="2" t="n"/>
    </row>
    <row r="678">
      <c r="A678" s="2" t="inlineStr">
        <is>
          <t>INV00675</t>
        </is>
      </c>
      <c r="B678" s="7" t="n">
        <v>46244</v>
      </c>
      <c r="C678" s="2" t="inlineStr">
        <is>
          <t>Adobe</t>
        </is>
      </c>
      <c r="D678" s="2" t="inlineStr">
        <is>
          <t>Marketing</t>
        </is>
      </c>
      <c r="E678" s="2" t="inlineStr">
        <is>
          <t>Office Supplies</t>
        </is>
      </c>
      <c r="F678" s="8" t="n">
        <v>352500</v>
      </c>
      <c r="G678" s="2" t="n">
        <v>60</v>
      </c>
      <c r="H678" s="7" t="n">
        <v>46304</v>
      </c>
      <c r="I678" s="7" t="n">
        <v>46364</v>
      </c>
      <c r="J678" s="2" t="inlineStr">
        <is>
          <t>Paid</t>
        </is>
      </c>
      <c r="K678" s="2" t="inlineStr">
        <is>
          <t>Yes</t>
        </is>
      </c>
      <c r="L678" s="9" t="n">
        <v>0.02</v>
      </c>
      <c r="M678" s="2" t="inlineStr">
        <is>
          <t>Received</t>
        </is>
      </c>
      <c r="N678" s="2" t="inlineStr">
        <is>
          <t>Approved</t>
        </is>
      </c>
      <c r="O678" s="2" t="n"/>
      <c r="P678" s="2" t="n"/>
      <c r="Q678" s="2" t="n"/>
      <c r="R678" s="2" t="n"/>
    </row>
    <row r="679">
      <c r="A679" s="2" t="inlineStr">
        <is>
          <t>INV00676</t>
        </is>
      </c>
      <c r="B679" s="7" t="n">
        <v>46189</v>
      </c>
      <c r="C679" s="2" t="inlineStr">
        <is>
          <t>Adobe</t>
        </is>
      </c>
      <c r="D679" s="2" t="inlineStr">
        <is>
          <t>Operations</t>
        </is>
      </c>
      <c r="E679" s="2" t="inlineStr">
        <is>
          <t>Professional Services</t>
        </is>
      </c>
      <c r="F679" s="8" t="n">
        <v>99100</v>
      </c>
      <c r="G679" s="2" t="n">
        <v>45</v>
      </c>
      <c r="H679" s="7" t="n">
        <v>46234</v>
      </c>
      <c r="I679" s="7" t="n">
        <v>46234</v>
      </c>
      <c r="J679" s="2" t="inlineStr">
        <is>
          <t>Paid</t>
        </is>
      </c>
      <c r="K679" s="2" t="inlineStr">
        <is>
          <t>No</t>
        </is>
      </c>
      <c r="L679" s="9" t="n">
        <v>0</v>
      </c>
      <c r="M679" s="2" t="inlineStr">
        <is>
          <t>Received</t>
        </is>
      </c>
      <c r="N679" s="2" t="inlineStr">
        <is>
          <t>Approved</t>
        </is>
      </c>
      <c r="O679" s="2" t="n"/>
      <c r="P679" s="2" t="n"/>
      <c r="Q679" s="2" t="n"/>
      <c r="R679" s="2" t="n"/>
    </row>
    <row r="680">
      <c r="A680" s="2" t="inlineStr">
        <is>
          <t>INV00677</t>
        </is>
      </c>
      <c r="B680" s="7" t="n">
        <v>46137</v>
      </c>
      <c r="C680" s="2" t="inlineStr">
        <is>
          <t>Adobe</t>
        </is>
      </c>
      <c r="D680" s="2" t="inlineStr">
        <is>
          <t>HR</t>
        </is>
      </c>
      <c r="E680" s="2" t="inlineStr">
        <is>
          <t>Facilities</t>
        </is>
      </c>
      <c r="F680" s="8" t="n">
        <v>616500</v>
      </c>
      <c r="G680" s="2" t="n">
        <v>45</v>
      </c>
      <c r="H680" s="7" t="n">
        <v>46182</v>
      </c>
      <c r="I680" s="7" t="n">
        <v>46187</v>
      </c>
      <c r="J680" s="2" t="inlineStr">
        <is>
          <t>Paid</t>
        </is>
      </c>
      <c r="K680" s="2" t="inlineStr">
        <is>
          <t>No</t>
        </is>
      </c>
      <c r="L680" s="9" t="n">
        <v>0</v>
      </c>
      <c r="M680" s="2" t="inlineStr">
        <is>
          <t>Received</t>
        </is>
      </c>
      <c r="N680" s="2" t="inlineStr">
        <is>
          <t>Approved</t>
        </is>
      </c>
      <c r="O680" s="2" t="n"/>
      <c r="P680" s="2" t="n"/>
      <c r="Q680" s="2" t="n"/>
      <c r="R680" s="2" t="n"/>
    </row>
    <row r="681">
      <c r="A681" s="2" t="inlineStr">
        <is>
          <t>INV00678</t>
        </is>
      </c>
      <c r="B681" s="7" t="n">
        <v>46049</v>
      </c>
      <c r="C681" s="2" t="inlineStr">
        <is>
          <t>Oracle</t>
        </is>
      </c>
      <c r="D681" s="2" t="inlineStr">
        <is>
          <t>Sales</t>
        </is>
      </c>
      <c r="E681" s="2" t="inlineStr">
        <is>
          <t>Travel</t>
        </is>
      </c>
      <c r="F681" s="8" t="n">
        <v>734000</v>
      </c>
      <c r="G681" s="2" t="n">
        <v>15</v>
      </c>
      <c r="H681" s="7" t="n">
        <v>46064</v>
      </c>
      <c r="I681" s="7" t="n">
        <v>46124</v>
      </c>
      <c r="J681" s="2" t="inlineStr">
        <is>
          <t>Paid</t>
        </is>
      </c>
      <c r="K681" s="2" t="inlineStr">
        <is>
          <t>Yes</t>
        </is>
      </c>
      <c r="L681" s="9" t="n">
        <v>0.02</v>
      </c>
      <c r="M681" s="2" t="inlineStr">
        <is>
          <t>Received</t>
        </is>
      </c>
      <c r="N681" s="2" t="inlineStr">
        <is>
          <t>Approved</t>
        </is>
      </c>
      <c r="O681" s="2" t="n"/>
      <c r="P681" s="2" t="n"/>
      <c r="Q681" s="2" t="n"/>
      <c r="R681" s="2" t="n"/>
    </row>
    <row r="682">
      <c r="A682" s="2" t="inlineStr">
        <is>
          <t>INV00679</t>
        </is>
      </c>
      <c r="B682" s="7" t="n">
        <v>46353</v>
      </c>
      <c r="C682" s="2" t="inlineStr">
        <is>
          <t>Deloitte</t>
        </is>
      </c>
      <c r="D682" s="2" t="inlineStr">
        <is>
          <t>IT</t>
        </is>
      </c>
      <c r="E682" s="2" t="inlineStr">
        <is>
          <t>Software</t>
        </is>
      </c>
      <c r="F682" s="8" t="n">
        <v>937700</v>
      </c>
      <c r="G682" s="2" t="n">
        <v>15</v>
      </c>
      <c r="H682" s="7" t="n">
        <v>46368</v>
      </c>
      <c r="I682" s="7" t="n">
        <v>46458</v>
      </c>
      <c r="J682" s="2" t="inlineStr">
        <is>
          <t>Paid</t>
        </is>
      </c>
      <c r="K682" s="2" t="inlineStr">
        <is>
          <t>Yes</t>
        </is>
      </c>
      <c r="L682" s="9" t="n">
        <v>0.02</v>
      </c>
      <c r="M682" s="2" t="inlineStr">
        <is>
          <t>Pending</t>
        </is>
      </c>
      <c r="N682" s="2" t="inlineStr">
        <is>
          <t>Approved</t>
        </is>
      </c>
      <c r="O682" s="2" t="n"/>
      <c r="P682" s="2" t="n"/>
      <c r="Q682" s="2" t="n"/>
      <c r="R682" s="2" t="n"/>
    </row>
    <row r="683">
      <c r="A683" s="2" t="inlineStr">
        <is>
          <t>INV00680</t>
        </is>
      </c>
      <c r="B683" s="7" t="n">
        <v>46108</v>
      </c>
      <c r="C683" s="2" t="inlineStr">
        <is>
          <t>Adobe</t>
        </is>
      </c>
      <c r="D683" s="2" t="inlineStr">
        <is>
          <t>HR</t>
        </is>
      </c>
      <c r="E683" s="2" t="inlineStr">
        <is>
          <t>Travel</t>
        </is>
      </c>
      <c r="F683" s="8" t="n">
        <v>649900</v>
      </c>
      <c r="G683" s="2" t="n">
        <v>45</v>
      </c>
      <c r="H683" s="7" t="n">
        <v>46153</v>
      </c>
      <c r="I683" s="7" t="n">
        <v>46168</v>
      </c>
      <c r="J683" s="2" t="inlineStr">
        <is>
          <t>Paid</t>
        </is>
      </c>
      <c r="K683" s="2" t="inlineStr">
        <is>
          <t>No</t>
        </is>
      </c>
      <c r="L683" s="9" t="n">
        <v>0</v>
      </c>
      <c r="M683" s="2" t="inlineStr">
        <is>
          <t>Pending</t>
        </is>
      </c>
      <c r="N683" s="2" t="inlineStr">
        <is>
          <t>Approved</t>
        </is>
      </c>
      <c r="O683" s="2" t="n"/>
      <c r="P683" s="2" t="n"/>
      <c r="Q683" s="2" t="n"/>
      <c r="R683" s="2" t="n"/>
    </row>
    <row r="684">
      <c r="A684" s="2" t="inlineStr">
        <is>
          <t>INV00681</t>
        </is>
      </c>
      <c r="B684" s="7" t="n">
        <v>46074</v>
      </c>
      <c r="C684" s="2" t="inlineStr">
        <is>
          <t>Accenture</t>
        </is>
      </c>
      <c r="D684" s="2" t="inlineStr">
        <is>
          <t>HR</t>
        </is>
      </c>
      <c r="E684" s="2" t="inlineStr">
        <is>
          <t>Facilities</t>
        </is>
      </c>
      <c r="F684" s="8" t="n">
        <v>407100</v>
      </c>
      <c r="G684" s="2" t="n">
        <v>30</v>
      </c>
      <c r="H684" s="7" t="n">
        <v>46104</v>
      </c>
      <c r="I684" s="7" t="n">
        <v>46104</v>
      </c>
      <c r="J684" s="2" t="inlineStr">
        <is>
          <t>Paid</t>
        </is>
      </c>
      <c r="K684" s="2" t="inlineStr">
        <is>
          <t>Yes</t>
        </is>
      </c>
      <c r="L684" s="9" t="n">
        <v>0.02</v>
      </c>
      <c r="M684" s="2" t="inlineStr">
        <is>
          <t>Received</t>
        </is>
      </c>
      <c r="N684" s="2" t="inlineStr">
        <is>
          <t>Approved</t>
        </is>
      </c>
      <c r="O684" s="2" t="n"/>
      <c r="P684" s="2" t="n"/>
      <c r="Q684" s="2" t="n"/>
      <c r="R684" s="2" t="n"/>
    </row>
    <row r="685">
      <c r="A685" s="2" t="inlineStr">
        <is>
          <t>INV00682</t>
        </is>
      </c>
      <c r="B685" s="7" t="n">
        <v>46370</v>
      </c>
      <c r="C685" s="2" t="inlineStr">
        <is>
          <t>Google Cloud</t>
        </is>
      </c>
      <c r="D685" s="2" t="inlineStr">
        <is>
          <t>Operations</t>
        </is>
      </c>
      <c r="E685" s="2" t="inlineStr">
        <is>
          <t>Travel</t>
        </is>
      </c>
      <c r="F685" s="8" t="n">
        <v>378000</v>
      </c>
      <c r="G685" s="2" t="n">
        <v>45</v>
      </c>
      <c r="H685" s="7" t="n">
        <v>46415</v>
      </c>
      <c r="I685" s="7" t="n">
        <v>46415</v>
      </c>
      <c r="J685" s="2" t="inlineStr">
        <is>
          <t>Paid</t>
        </is>
      </c>
      <c r="K685" s="2" t="inlineStr">
        <is>
          <t>No</t>
        </is>
      </c>
      <c r="L685" s="9" t="n">
        <v>0</v>
      </c>
      <c r="M685" s="2" t="inlineStr">
        <is>
          <t>Received</t>
        </is>
      </c>
      <c r="N685" s="2" t="inlineStr">
        <is>
          <t>Approved</t>
        </is>
      </c>
      <c r="O685" s="2" t="n"/>
      <c r="P685" s="2" t="n"/>
      <c r="Q685" s="2" t="n"/>
      <c r="R685" s="2" t="n"/>
    </row>
    <row r="686">
      <c r="A686" s="2" t="inlineStr">
        <is>
          <t>INV00683</t>
        </is>
      </c>
      <c r="B686" s="7" t="n">
        <v>46322</v>
      </c>
      <c r="C686" s="2" t="inlineStr">
        <is>
          <t>TCS</t>
        </is>
      </c>
      <c r="D686" s="2" t="inlineStr">
        <is>
          <t>Finance</t>
        </is>
      </c>
      <c r="E686" s="2" t="inlineStr">
        <is>
          <t>Cloud</t>
        </is>
      </c>
      <c r="F686" s="8" t="n">
        <v>188700</v>
      </c>
      <c r="G686" s="2" t="n">
        <v>15</v>
      </c>
      <c r="H686" s="7" t="n">
        <v>46337</v>
      </c>
      <c r="I686" s="7" t="n">
        <v>46397</v>
      </c>
      <c r="J686" s="2" t="inlineStr">
        <is>
          <t>Paid</t>
        </is>
      </c>
      <c r="K686" s="2" t="inlineStr">
        <is>
          <t>No</t>
        </is>
      </c>
      <c r="L686" s="9" t="n">
        <v>0</v>
      </c>
      <c r="M686" s="2" t="inlineStr">
        <is>
          <t>Received</t>
        </is>
      </c>
      <c r="N686" s="2" t="inlineStr">
        <is>
          <t>Approved</t>
        </is>
      </c>
      <c r="O686" s="2" t="n"/>
      <c r="P686" s="2" t="n"/>
      <c r="Q686" s="2" t="n"/>
      <c r="R686" s="2" t="n"/>
    </row>
    <row r="687">
      <c r="A687" s="2" t="inlineStr">
        <is>
          <t>INV00684</t>
        </is>
      </c>
      <c r="B687" s="7" t="n">
        <v>46332</v>
      </c>
      <c r="C687" s="2" t="inlineStr">
        <is>
          <t>Amazon Web Services</t>
        </is>
      </c>
      <c r="D687" s="2" t="inlineStr">
        <is>
          <t>HR</t>
        </is>
      </c>
      <c r="E687" s="2" t="inlineStr">
        <is>
          <t>Software</t>
        </is>
      </c>
      <c r="F687" s="8" t="n">
        <v>35500</v>
      </c>
      <c r="G687" s="2" t="n">
        <v>60</v>
      </c>
      <c r="H687" s="7" t="n">
        <v>46392</v>
      </c>
      <c r="I687" s="7" t="n">
        <v>46392</v>
      </c>
      <c r="J687" s="2" t="inlineStr">
        <is>
          <t>Paid</t>
        </is>
      </c>
      <c r="K687" s="2" t="inlineStr">
        <is>
          <t>No</t>
        </is>
      </c>
      <c r="L687" s="9" t="n">
        <v>0</v>
      </c>
      <c r="M687" s="2" t="inlineStr">
        <is>
          <t>Received</t>
        </is>
      </c>
      <c r="N687" s="2" t="inlineStr">
        <is>
          <t>Approved</t>
        </is>
      </c>
      <c r="O687" s="2" t="n"/>
      <c r="P687" s="2" t="n"/>
      <c r="Q687" s="2" t="n"/>
      <c r="R687" s="2" t="n"/>
    </row>
    <row r="688">
      <c r="A688" s="2" t="inlineStr">
        <is>
          <t>INV00685</t>
        </is>
      </c>
      <c r="B688" s="7" t="n">
        <v>46044</v>
      </c>
      <c r="C688" s="2" t="inlineStr">
        <is>
          <t>Accenture</t>
        </is>
      </c>
      <c r="D688" s="2" t="inlineStr">
        <is>
          <t>IT</t>
        </is>
      </c>
      <c r="E688" s="2" t="inlineStr">
        <is>
          <t>Software</t>
        </is>
      </c>
      <c r="F688" s="8" t="n">
        <v>255400</v>
      </c>
      <c r="G688" s="2" t="n">
        <v>30</v>
      </c>
      <c r="H688" s="7" t="n">
        <v>46074</v>
      </c>
      <c r="I688" s="2" t="n"/>
      <c r="J688" s="2" t="inlineStr">
        <is>
          <t>Pending</t>
        </is>
      </c>
      <c r="K688" s="2" t="inlineStr">
        <is>
          <t>No</t>
        </is>
      </c>
      <c r="L688" s="9" t="n">
        <v>0</v>
      </c>
      <c r="M688" s="2" t="inlineStr">
        <is>
          <t>Received</t>
        </is>
      </c>
      <c r="N688" s="2" t="inlineStr">
        <is>
          <t>Approved</t>
        </is>
      </c>
      <c r="O688" s="2" t="n"/>
      <c r="P688" s="2" t="n"/>
      <c r="Q688" s="2" t="n"/>
      <c r="R688" s="2" t="n"/>
    </row>
    <row r="689">
      <c r="A689" s="2" t="inlineStr">
        <is>
          <t>INV00686</t>
        </is>
      </c>
      <c r="B689" s="7" t="n">
        <v>46195</v>
      </c>
      <c r="C689" s="2" t="inlineStr">
        <is>
          <t>Zoho</t>
        </is>
      </c>
      <c r="D689" s="2" t="inlineStr">
        <is>
          <t>HR</t>
        </is>
      </c>
      <c r="E689" s="2" t="inlineStr">
        <is>
          <t>Consulting</t>
        </is>
      </c>
      <c r="F689" s="8" t="n">
        <v>748800</v>
      </c>
      <c r="G689" s="2" t="n">
        <v>30</v>
      </c>
      <c r="H689" s="7" t="n">
        <v>46225</v>
      </c>
      <c r="I689" s="7" t="n">
        <v>46315</v>
      </c>
      <c r="J689" s="2" t="inlineStr">
        <is>
          <t>Paid</t>
        </is>
      </c>
      <c r="K689" s="2" t="inlineStr">
        <is>
          <t>No</t>
        </is>
      </c>
      <c r="L689" s="9" t="n">
        <v>0</v>
      </c>
      <c r="M689" s="2" t="inlineStr">
        <is>
          <t>Received</t>
        </is>
      </c>
      <c r="N689" s="2" t="inlineStr">
        <is>
          <t>Approved</t>
        </is>
      </c>
      <c r="O689" s="2" t="n"/>
      <c r="P689" s="2" t="n"/>
      <c r="Q689" s="2" t="n"/>
      <c r="R689" s="2" t="n"/>
    </row>
    <row r="690">
      <c r="A690" s="2" t="inlineStr">
        <is>
          <t>INV00687</t>
        </is>
      </c>
      <c r="B690" s="7" t="n">
        <v>46369</v>
      </c>
      <c r="C690" s="2" t="inlineStr">
        <is>
          <t>Wipro</t>
        </is>
      </c>
      <c r="D690" s="2" t="inlineStr">
        <is>
          <t>Finance</t>
        </is>
      </c>
      <c r="E690" s="2" t="inlineStr">
        <is>
          <t>Software</t>
        </is>
      </c>
      <c r="F690" s="8" t="n">
        <v>217900</v>
      </c>
      <c r="G690" s="2" t="n">
        <v>15</v>
      </c>
      <c r="H690" s="7" t="n">
        <v>46384</v>
      </c>
      <c r="I690" s="7" t="n">
        <v>46389</v>
      </c>
      <c r="J690" s="2" t="inlineStr">
        <is>
          <t>Paid</t>
        </is>
      </c>
      <c r="K690" s="2" t="inlineStr">
        <is>
          <t>No</t>
        </is>
      </c>
      <c r="L690" s="9" t="n">
        <v>0</v>
      </c>
      <c r="M690" s="2" t="inlineStr">
        <is>
          <t>Received</t>
        </is>
      </c>
      <c r="N690" s="2" t="inlineStr">
        <is>
          <t>Approved</t>
        </is>
      </c>
      <c r="O690" s="2" t="n"/>
      <c r="P690" s="2" t="n"/>
      <c r="Q690" s="2" t="n"/>
      <c r="R690" s="2" t="n"/>
    </row>
    <row r="691">
      <c r="A691" s="2" t="inlineStr">
        <is>
          <t>INV00688</t>
        </is>
      </c>
      <c r="B691" s="7" t="n">
        <v>46113</v>
      </c>
      <c r="C691" s="2" t="inlineStr">
        <is>
          <t>SAP</t>
        </is>
      </c>
      <c r="D691" s="2" t="inlineStr">
        <is>
          <t>HR</t>
        </is>
      </c>
      <c r="E691" s="2" t="inlineStr">
        <is>
          <t>Software</t>
        </is>
      </c>
      <c r="F691" s="8" t="n">
        <v>977200</v>
      </c>
      <c r="G691" s="2" t="n">
        <v>45</v>
      </c>
      <c r="H691" s="7" t="n">
        <v>46158</v>
      </c>
      <c r="I691" s="7" t="n">
        <v>46158</v>
      </c>
      <c r="J691" s="2" t="inlineStr">
        <is>
          <t>Paid</t>
        </is>
      </c>
      <c r="K691" s="2" t="inlineStr">
        <is>
          <t>No</t>
        </is>
      </c>
      <c r="L691" s="9" t="n">
        <v>0</v>
      </c>
      <c r="M691" s="2" t="inlineStr">
        <is>
          <t>Received</t>
        </is>
      </c>
      <c r="N691" s="2" t="inlineStr">
        <is>
          <t>Approved</t>
        </is>
      </c>
      <c r="O691" s="2" t="n"/>
      <c r="P691" s="2" t="n"/>
      <c r="Q691" s="2" t="n"/>
      <c r="R691" s="2" t="n"/>
    </row>
    <row r="692">
      <c r="A692" s="2" t="inlineStr">
        <is>
          <t>INV00689</t>
        </is>
      </c>
      <c r="B692" s="7" t="n">
        <v>46187</v>
      </c>
      <c r="C692" s="2" t="inlineStr">
        <is>
          <t>Zoho</t>
        </is>
      </c>
      <c r="D692" s="2" t="inlineStr">
        <is>
          <t>Operations</t>
        </is>
      </c>
      <c r="E692" s="2" t="inlineStr">
        <is>
          <t>Travel</t>
        </is>
      </c>
      <c r="F692" s="8" t="n">
        <v>184900</v>
      </c>
      <c r="G692" s="2" t="n">
        <v>15</v>
      </c>
      <c r="H692" s="7" t="n">
        <v>46202</v>
      </c>
      <c r="I692" s="7" t="n">
        <v>46232</v>
      </c>
      <c r="J692" s="2" t="inlineStr">
        <is>
          <t>Paid</t>
        </is>
      </c>
      <c r="K692" s="2" t="inlineStr">
        <is>
          <t>No</t>
        </is>
      </c>
      <c r="L692" s="9" t="n">
        <v>0</v>
      </c>
      <c r="M692" s="2" t="inlineStr">
        <is>
          <t>Received</t>
        </is>
      </c>
      <c r="N692" s="2" t="inlineStr">
        <is>
          <t>Approved</t>
        </is>
      </c>
      <c r="O692" s="2" t="n"/>
      <c r="P692" s="2" t="n"/>
      <c r="Q692" s="2" t="n"/>
      <c r="R692" s="2" t="n"/>
    </row>
    <row r="693">
      <c r="A693" s="2" t="inlineStr">
        <is>
          <t>INV00690</t>
        </is>
      </c>
      <c r="B693" s="7" t="n">
        <v>46027</v>
      </c>
      <c r="C693" s="2" t="inlineStr">
        <is>
          <t>IBM</t>
        </is>
      </c>
      <c r="D693" s="2" t="inlineStr">
        <is>
          <t>IT</t>
        </is>
      </c>
      <c r="E693" s="2" t="inlineStr">
        <is>
          <t>Consulting</t>
        </is>
      </c>
      <c r="F693" s="8" t="n">
        <v>46200</v>
      </c>
      <c r="G693" s="2" t="n">
        <v>60</v>
      </c>
      <c r="H693" s="7" t="n">
        <v>46087</v>
      </c>
      <c r="I693" s="7" t="n">
        <v>46087</v>
      </c>
      <c r="J693" s="2" t="inlineStr">
        <is>
          <t>Paid</t>
        </is>
      </c>
      <c r="K693" s="2" t="inlineStr">
        <is>
          <t>Yes</t>
        </is>
      </c>
      <c r="L693" s="9" t="n">
        <v>0.02</v>
      </c>
      <c r="M693" s="2" t="inlineStr">
        <is>
          <t>Received</t>
        </is>
      </c>
      <c r="N693" s="2" t="inlineStr">
        <is>
          <t>Pending</t>
        </is>
      </c>
      <c r="O693" s="2" t="n"/>
      <c r="P693" s="2" t="n"/>
      <c r="Q693" s="2" t="n"/>
      <c r="R693" s="2" t="n"/>
    </row>
    <row r="694">
      <c r="A694" s="2" t="inlineStr">
        <is>
          <t>INV00691</t>
        </is>
      </c>
      <c r="B694" s="7" t="n">
        <v>46359</v>
      </c>
      <c r="C694" s="2" t="inlineStr">
        <is>
          <t>Amazon Web Services</t>
        </is>
      </c>
      <c r="D694" s="2" t="inlineStr">
        <is>
          <t>Operations</t>
        </is>
      </c>
      <c r="E694" s="2" t="inlineStr">
        <is>
          <t>Travel</t>
        </is>
      </c>
      <c r="F694" s="8" t="n">
        <v>946700</v>
      </c>
      <c r="G694" s="2" t="n">
        <v>15</v>
      </c>
      <c r="H694" s="7" t="n">
        <v>46374</v>
      </c>
      <c r="I694" s="2" t="n"/>
      <c r="J694" s="2" t="inlineStr">
        <is>
          <t>Pending</t>
        </is>
      </c>
      <c r="K694" s="2" t="inlineStr">
        <is>
          <t>Yes</t>
        </is>
      </c>
      <c r="L694" s="9" t="n">
        <v>0.02</v>
      </c>
      <c r="M694" s="2" t="inlineStr">
        <is>
          <t>Received</t>
        </is>
      </c>
      <c r="N694" s="2" t="inlineStr">
        <is>
          <t>Approved</t>
        </is>
      </c>
      <c r="O694" s="2" t="n"/>
      <c r="P694" s="2" t="n"/>
      <c r="Q694" s="2" t="n"/>
      <c r="R694" s="2" t="n"/>
    </row>
    <row r="695">
      <c r="A695" s="2" t="inlineStr">
        <is>
          <t>INV00692</t>
        </is>
      </c>
      <c r="B695" s="7" t="n">
        <v>46330</v>
      </c>
      <c r="C695" s="2" t="inlineStr">
        <is>
          <t>SAP</t>
        </is>
      </c>
      <c r="D695" s="2" t="inlineStr">
        <is>
          <t>Finance</t>
        </is>
      </c>
      <c r="E695" s="2" t="inlineStr">
        <is>
          <t>Office Supplies</t>
        </is>
      </c>
      <c r="F695" s="8" t="n">
        <v>27200</v>
      </c>
      <c r="G695" s="2" t="n">
        <v>60</v>
      </c>
      <c r="H695" s="7" t="n">
        <v>46390</v>
      </c>
      <c r="I695" s="2" t="n"/>
      <c r="J695" s="2" t="inlineStr">
        <is>
          <t>Pending</t>
        </is>
      </c>
      <c r="K695" s="2" t="inlineStr">
        <is>
          <t>No</t>
        </is>
      </c>
      <c r="L695" s="9" t="n">
        <v>0</v>
      </c>
      <c r="M695" s="2" t="inlineStr">
        <is>
          <t>Received</t>
        </is>
      </c>
      <c r="N695" s="2" t="inlineStr">
        <is>
          <t>Approved</t>
        </is>
      </c>
      <c r="O695" s="2" t="n"/>
      <c r="P695" s="2" t="n"/>
      <c r="Q695" s="2" t="n"/>
      <c r="R695" s="2" t="n"/>
    </row>
    <row r="696">
      <c r="A696" s="2" t="inlineStr">
        <is>
          <t>INV00693</t>
        </is>
      </c>
      <c r="B696" s="7" t="n">
        <v>46226</v>
      </c>
      <c r="C696" s="2" t="inlineStr">
        <is>
          <t>Wipro</t>
        </is>
      </c>
      <c r="D696" s="2" t="inlineStr">
        <is>
          <t>Sales</t>
        </is>
      </c>
      <c r="E696" s="2" t="inlineStr">
        <is>
          <t>Travel</t>
        </is>
      </c>
      <c r="F696" s="8" t="n">
        <v>838800</v>
      </c>
      <c r="G696" s="2" t="n">
        <v>60</v>
      </c>
      <c r="H696" s="7" t="n">
        <v>46286</v>
      </c>
      <c r="I696" s="2" t="n"/>
      <c r="J696" s="2" t="inlineStr">
        <is>
          <t>Pending</t>
        </is>
      </c>
      <c r="K696" s="2" t="inlineStr">
        <is>
          <t>Yes</t>
        </is>
      </c>
      <c r="L696" s="9" t="n">
        <v>0.02</v>
      </c>
      <c r="M696" s="2" t="inlineStr">
        <is>
          <t>Received</t>
        </is>
      </c>
      <c r="N696" s="2" t="inlineStr">
        <is>
          <t>Approved</t>
        </is>
      </c>
      <c r="O696" s="2" t="n"/>
      <c r="P696" s="2" t="n"/>
      <c r="Q696" s="2" t="n"/>
      <c r="R696" s="2" t="n"/>
    </row>
    <row r="697">
      <c r="A697" s="2" t="inlineStr">
        <is>
          <t>INV00694</t>
        </is>
      </c>
      <c r="B697" s="7" t="n">
        <v>46064</v>
      </c>
      <c r="C697" s="2" t="inlineStr">
        <is>
          <t>Wipro</t>
        </is>
      </c>
      <c r="D697" s="2" t="inlineStr">
        <is>
          <t>Marketing</t>
        </is>
      </c>
      <c r="E697" s="2" t="inlineStr">
        <is>
          <t>Cloud</t>
        </is>
      </c>
      <c r="F697" s="8" t="n">
        <v>345600</v>
      </c>
      <c r="G697" s="2" t="n">
        <v>15</v>
      </c>
      <c r="H697" s="7" t="n">
        <v>46079</v>
      </c>
      <c r="I697" s="2" t="n"/>
      <c r="J697" s="2" t="inlineStr">
        <is>
          <t>Pending</t>
        </is>
      </c>
      <c r="K697" s="2" t="inlineStr">
        <is>
          <t>No</t>
        </is>
      </c>
      <c r="L697" s="9" t="n">
        <v>0</v>
      </c>
      <c r="M697" s="2" t="inlineStr">
        <is>
          <t>Received</t>
        </is>
      </c>
      <c r="N697" s="2" t="inlineStr">
        <is>
          <t>Approved</t>
        </is>
      </c>
      <c r="O697" s="2" t="n"/>
      <c r="P697" s="2" t="n"/>
      <c r="Q697" s="2" t="n"/>
      <c r="R697" s="2" t="n"/>
    </row>
    <row r="698">
      <c r="A698" s="2" t="inlineStr">
        <is>
          <t>INV00695</t>
        </is>
      </c>
      <c r="B698" s="7" t="n">
        <v>46272</v>
      </c>
      <c r="C698" s="2" t="inlineStr">
        <is>
          <t>HCLTech</t>
        </is>
      </c>
      <c r="D698" s="2" t="inlineStr">
        <is>
          <t>Operations</t>
        </is>
      </c>
      <c r="E698" s="2" t="inlineStr">
        <is>
          <t>Professional Services</t>
        </is>
      </c>
      <c r="F698" s="8" t="n">
        <v>194000</v>
      </c>
      <c r="G698" s="2" t="n">
        <v>45</v>
      </c>
      <c r="H698" s="7" t="n">
        <v>46317</v>
      </c>
      <c r="I698" s="7" t="n">
        <v>46322</v>
      </c>
      <c r="J698" s="2" t="inlineStr">
        <is>
          <t>Paid</t>
        </is>
      </c>
      <c r="K698" s="2" t="inlineStr">
        <is>
          <t>Yes</t>
        </is>
      </c>
      <c r="L698" s="9" t="n">
        <v>0.02</v>
      </c>
      <c r="M698" s="2" t="inlineStr">
        <is>
          <t>Received</t>
        </is>
      </c>
      <c r="N698" s="2" t="inlineStr">
        <is>
          <t>Approved</t>
        </is>
      </c>
      <c r="O698" s="2" t="n"/>
      <c r="P698" s="2" t="n"/>
      <c r="Q698" s="2" t="n"/>
      <c r="R698" s="2" t="n"/>
    </row>
    <row r="699">
      <c r="A699" s="2" t="inlineStr">
        <is>
          <t>INV00696</t>
        </is>
      </c>
      <c r="B699" s="7" t="n">
        <v>46245</v>
      </c>
      <c r="C699" s="2" t="inlineStr">
        <is>
          <t>Deloitte</t>
        </is>
      </c>
      <c r="D699" s="2" t="inlineStr">
        <is>
          <t>HR</t>
        </is>
      </c>
      <c r="E699" s="2" t="inlineStr">
        <is>
          <t>Facilities</t>
        </is>
      </c>
      <c r="F699" s="8" t="n">
        <v>591800</v>
      </c>
      <c r="G699" s="2" t="n">
        <v>30</v>
      </c>
      <c r="H699" s="7" t="n">
        <v>46275</v>
      </c>
      <c r="I699" s="7" t="n">
        <v>46280</v>
      </c>
      <c r="J699" s="2" t="inlineStr">
        <is>
          <t>Paid</t>
        </is>
      </c>
      <c r="K699" s="2" t="inlineStr">
        <is>
          <t>No</t>
        </is>
      </c>
      <c r="L699" s="9" t="n">
        <v>0</v>
      </c>
      <c r="M699" s="2" t="inlineStr">
        <is>
          <t>Received</t>
        </is>
      </c>
      <c r="N699" s="2" t="inlineStr">
        <is>
          <t>Approved</t>
        </is>
      </c>
      <c r="O699" s="2" t="n"/>
      <c r="P699" s="2" t="n"/>
      <c r="Q699" s="2" t="n"/>
      <c r="R699" s="2" t="n"/>
    </row>
    <row r="700">
      <c r="A700" s="2" t="inlineStr">
        <is>
          <t>INV00697</t>
        </is>
      </c>
      <c r="B700" s="7" t="n">
        <v>46159</v>
      </c>
      <c r="C700" s="2" t="inlineStr">
        <is>
          <t>Wipro</t>
        </is>
      </c>
      <c r="D700" s="2" t="inlineStr">
        <is>
          <t>IT</t>
        </is>
      </c>
      <c r="E700" s="2" t="inlineStr">
        <is>
          <t>Consulting</t>
        </is>
      </c>
      <c r="F700" s="8" t="n">
        <v>411800</v>
      </c>
      <c r="G700" s="2" t="n">
        <v>60</v>
      </c>
      <c r="H700" s="7" t="n">
        <v>46219</v>
      </c>
      <c r="I700" s="7" t="n">
        <v>46219</v>
      </c>
      <c r="J700" s="2" t="inlineStr">
        <is>
          <t>Paid</t>
        </is>
      </c>
      <c r="K700" s="2" t="inlineStr">
        <is>
          <t>No</t>
        </is>
      </c>
      <c r="L700" s="9" t="n">
        <v>0</v>
      </c>
      <c r="M700" s="2" t="inlineStr">
        <is>
          <t>Received</t>
        </is>
      </c>
      <c r="N700" s="2" t="inlineStr">
        <is>
          <t>Approved</t>
        </is>
      </c>
      <c r="O700" s="2" t="n"/>
      <c r="P700" s="2" t="n"/>
      <c r="Q700" s="2" t="n"/>
      <c r="R700" s="2" t="n"/>
    </row>
    <row r="701">
      <c r="A701" s="2" t="inlineStr">
        <is>
          <t>INV00698</t>
        </is>
      </c>
      <c r="B701" s="7" t="n">
        <v>46140</v>
      </c>
      <c r="C701" s="2" t="inlineStr">
        <is>
          <t>Wipro</t>
        </is>
      </c>
      <c r="D701" s="2" t="inlineStr">
        <is>
          <t>Finance</t>
        </is>
      </c>
      <c r="E701" s="2" t="inlineStr">
        <is>
          <t>Travel</t>
        </is>
      </c>
      <c r="F701" s="8" t="n">
        <v>832000</v>
      </c>
      <c r="G701" s="2" t="n">
        <v>15</v>
      </c>
      <c r="H701" s="7" t="n">
        <v>46155</v>
      </c>
      <c r="I701" s="2" t="n"/>
      <c r="J701" s="2" t="inlineStr">
        <is>
          <t>Pending</t>
        </is>
      </c>
      <c r="K701" s="2" t="inlineStr">
        <is>
          <t>Yes</t>
        </is>
      </c>
      <c r="L701" s="9" t="n">
        <v>0.02</v>
      </c>
      <c r="M701" s="2" t="inlineStr">
        <is>
          <t>Received</t>
        </is>
      </c>
      <c r="N701" s="2" t="inlineStr">
        <is>
          <t>Pending</t>
        </is>
      </c>
      <c r="O701" s="2" t="n"/>
      <c r="P701" s="2" t="n"/>
      <c r="Q701" s="2" t="n"/>
      <c r="R701" s="2" t="n"/>
    </row>
    <row r="702">
      <c r="A702" s="2" t="inlineStr">
        <is>
          <t>INV00699</t>
        </is>
      </c>
      <c r="B702" s="7" t="n">
        <v>46082</v>
      </c>
      <c r="C702" s="2" t="inlineStr">
        <is>
          <t>Google Cloud</t>
        </is>
      </c>
      <c r="D702" s="2" t="inlineStr">
        <is>
          <t>Operations</t>
        </is>
      </c>
      <c r="E702" s="2" t="inlineStr">
        <is>
          <t>Consulting</t>
        </is>
      </c>
      <c r="F702" s="8" t="n">
        <v>992700</v>
      </c>
      <c r="G702" s="2" t="n">
        <v>60</v>
      </c>
      <c r="H702" s="7" t="n">
        <v>46142</v>
      </c>
      <c r="I702" s="7" t="n">
        <v>46142</v>
      </c>
      <c r="J702" s="2" t="inlineStr">
        <is>
          <t>Paid</t>
        </is>
      </c>
      <c r="K702" s="2" t="inlineStr">
        <is>
          <t>Yes</t>
        </is>
      </c>
      <c r="L702" s="9" t="n">
        <v>0.02</v>
      </c>
      <c r="M702" s="2" t="inlineStr">
        <is>
          <t>Received</t>
        </is>
      </c>
      <c r="N702" s="2" t="inlineStr">
        <is>
          <t>Approved</t>
        </is>
      </c>
      <c r="O702" s="2" t="n"/>
      <c r="P702" s="2" t="n"/>
      <c r="Q702" s="2" t="n"/>
      <c r="R702" s="2" t="n"/>
    </row>
    <row r="703">
      <c r="A703" s="2" t="inlineStr">
        <is>
          <t>INV00700</t>
        </is>
      </c>
      <c r="B703" s="7" t="n">
        <v>46278</v>
      </c>
      <c r="C703" s="2" t="inlineStr">
        <is>
          <t>Amazon Web Services</t>
        </is>
      </c>
      <c r="D703" s="2" t="inlineStr">
        <is>
          <t>Finance</t>
        </is>
      </c>
      <c r="E703" s="2" t="inlineStr">
        <is>
          <t>Consulting</t>
        </is>
      </c>
      <c r="F703" s="8" t="n">
        <v>782200</v>
      </c>
      <c r="G703" s="2" t="n">
        <v>15</v>
      </c>
      <c r="H703" s="7" t="n">
        <v>46293</v>
      </c>
      <c r="I703" s="7" t="n">
        <v>46298</v>
      </c>
      <c r="J703" s="2" t="inlineStr">
        <is>
          <t>Paid</t>
        </is>
      </c>
      <c r="K703" s="2" t="inlineStr">
        <is>
          <t>No</t>
        </is>
      </c>
      <c r="L703" s="9" t="n">
        <v>0</v>
      </c>
      <c r="M703" s="2" t="inlineStr">
        <is>
          <t>Received</t>
        </is>
      </c>
      <c r="N703" s="2" t="inlineStr">
        <is>
          <t>Approved</t>
        </is>
      </c>
      <c r="O703" s="2" t="n"/>
      <c r="P703" s="2" t="n"/>
      <c r="Q703" s="2" t="n"/>
      <c r="R703" s="2" t="n"/>
    </row>
    <row r="704">
      <c r="A704" s="2" t="inlineStr">
        <is>
          <t>INV00701</t>
        </is>
      </c>
      <c r="B704" s="7" t="n">
        <v>46119</v>
      </c>
      <c r="C704" s="2" t="inlineStr">
        <is>
          <t>Cognizant</t>
        </is>
      </c>
      <c r="D704" s="2" t="inlineStr">
        <is>
          <t>Sales</t>
        </is>
      </c>
      <c r="E704" s="2" t="inlineStr">
        <is>
          <t>Cloud</t>
        </is>
      </c>
      <c r="F704" s="8" t="n">
        <v>93700</v>
      </c>
      <c r="G704" s="2" t="n">
        <v>15</v>
      </c>
      <c r="H704" s="7" t="n">
        <v>46134</v>
      </c>
      <c r="I704" s="7" t="n">
        <v>46224</v>
      </c>
      <c r="J704" s="2" t="inlineStr">
        <is>
          <t>Paid</t>
        </is>
      </c>
      <c r="K704" s="2" t="inlineStr">
        <is>
          <t>Yes</t>
        </is>
      </c>
      <c r="L704" s="9" t="n">
        <v>0.02</v>
      </c>
      <c r="M704" s="2" t="inlineStr">
        <is>
          <t>Pending</t>
        </is>
      </c>
      <c r="N704" s="2" t="inlineStr">
        <is>
          <t>Approved</t>
        </is>
      </c>
      <c r="O704" s="2" t="n"/>
      <c r="P704" s="2" t="n"/>
      <c r="Q704" s="2" t="n"/>
      <c r="R704" s="2" t="n"/>
    </row>
    <row r="705">
      <c r="A705" s="2" t="inlineStr">
        <is>
          <t>INV00702</t>
        </is>
      </c>
      <c r="B705" s="7" t="n">
        <v>46083</v>
      </c>
      <c r="C705" s="2" t="inlineStr">
        <is>
          <t>Amazon Web Services</t>
        </is>
      </c>
      <c r="D705" s="2" t="inlineStr">
        <is>
          <t>HR</t>
        </is>
      </c>
      <c r="E705" s="2" t="inlineStr">
        <is>
          <t>Professional Services</t>
        </is>
      </c>
      <c r="F705" s="8" t="n">
        <v>338000</v>
      </c>
      <c r="G705" s="2" t="n">
        <v>30</v>
      </c>
      <c r="H705" s="7" t="n">
        <v>46113</v>
      </c>
      <c r="I705" s="7" t="n">
        <v>46203</v>
      </c>
      <c r="J705" s="2" t="inlineStr">
        <is>
          <t>Paid</t>
        </is>
      </c>
      <c r="K705" s="2" t="inlineStr">
        <is>
          <t>No</t>
        </is>
      </c>
      <c r="L705" s="9" t="n">
        <v>0</v>
      </c>
      <c r="M705" s="2" t="inlineStr">
        <is>
          <t>Received</t>
        </is>
      </c>
      <c r="N705" s="2" t="inlineStr">
        <is>
          <t>Approved</t>
        </is>
      </c>
      <c r="O705" s="2" t="n"/>
      <c r="P705" s="2" t="n"/>
      <c r="Q705" s="2" t="n"/>
      <c r="R705" s="2" t="n"/>
    </row>
    <row r="706">
      <c r="A706" s="2" t="inlineStr">
        <is>
          <t>INV00703</t>
        </is>
      </c>
      <c r="B706" s="7" t="n">
        <v>46125</v>
      </c>
      <c r="C706" s="2" t="inlineStr">
        <is>
          <t>IBM</t>
        </is>
      </c>
      <c r="D706" s="2" t="inlineStr">
        <is>
          <t>HR</t>
        </is>
      </c>
      <c r="E706" s="2" t="inlineStr">
        <is>
          <t>Travel</t>
        </is>
      </c>
      <c r="F706" s="8" t="n">
        <v>164900</v>
      </c>
      <c r="G706" s="2" t="n">
        <v>30</v>
      </c>
      <c r="H706" s="7" t="n">
        <v>46155</v>
      </c>
      <c r="I706" s="2" t="n"/>
      <c r="J706" s="2" t="inlineStr">
        <is>
          <t>Pending</t>
        </is>
      </c>
      <c r="K706" s="2" t="inlineStr">
        <is>
          <t>No</t>
        </is>
      </c>
      <c r="L706" s="9" t="n">
        <v>0</v>
      </c>
      <c r="M706" s="2" t="inlineStr">
        <is>
          <t>Received</t>
        </is>
      </c>
      <c r="N706" s="2" t="inlineStr">
        <is>
          <t>Approved</t>
        </is>
      </c>
      <c r="O706" s="2" t="n"/>
      <c r="P706" s="2" t="n"/>
      <c r="Q706" s="2" t="n"/>
      <c r="R706" s="2" t="n"/>
    </row>
    <row r="707">
      <c r="A707" s="2" t="inlineStr">
        <is>
          <t>INV00704</t>
        </is>
      </c>
      <c r="B707" s="7" t="n">
        <v>46341</v>
      </c>
      <c r="C707" s="2" t="inlineStr">
        <is>
          <t>Oracle</t>
        </is>
      </c>
      <c r="D707" s="2" t="inlineStr">
        <is>
          <t>IT</t>
        </is>
      </c>
      <c r="E707" s="2" t="inlineStr">
        <is>
          <t>Software</t>
        </is>
      </c>
      <c r="F707" s="8" t="n">
        <v>25200</v>
      </c>
      <c r="G707" s="2" t="n">
        <v>15</v>
      </c>
      <c r="H707" s="7" t="n">
        <v>46356</v>
      </c>
      <c r="I707" s="7" t="n">
        <v>46361</v>
      </c>
      <c r="J707" s="2" t="inlineStr">
        <is>
          <t>Paid</t>
        </is>
      </c>
      <c r="K707" s="2" t="inlineStr">
        <is>
          <t>No</t>
        </is>
      </c>
      <c r="L707" s="9" t="n">
        <v>0</v>
      </c>
      <c r="M707" s="2" t="inlineStr">
        <is>
          <t>Received</t>
        </is>
      </c>
      <c r="N707" s="2" t="inlineStr">
        <is>
          <t>Approved</t>
        </is>
      </c>
      <c r="O707" s="2" t="n"/>
      <c r="P707" s="2" t="n"/>
      <c r="Q707" s="2" t="n"/>
      <c r="R707" s="2" t="n"/>
    </row>
    <row r="708">
      <c r="A708" s="2" t="inlineStr">
        <is>
          <t>INV00705</t>
        </is>
      </c>
      <c r="B708" s="7" t="n">
        <v>46301</v>
      </c>
      <c r="C708" s="2" t="inlineStr">
        <is>
          <t>Adobe</t>
        </is>
      </c>
      <c r="D708" s="2" t="inlineStr">
        <is>
          <t>Operations</t>
        </is>
      </c>
      <c r="E708" s="2" t="inlineStr">
        <is>
          <t>Travel</t>
        </is>
      </c>
      <c r="F708" s="8" t="n">
        <v>343900</v>
      </c>
      <c r="G708" s="2" t="n">
        <v>60</v>
      </c>
      <c r="H708" s="7" t="n">
        <v>46361</v>
      </c>
      <c r="I708" s="7" t="n">
        <v>46421</v>
      </c>
      <c r="J708" s="2" t="inlineStr">
        <is>
          <t>Paid</t>
        </is>
      </c>
      <c r="K708" s="2" t="inlineStr">
        <is>
          <t>No</t>
        </is>
      </c>
      <c r="L708" s="9" t="n">
        <v>0</v>
      </c>
      <c r="M708" s="2" t="inlineStr">
        <is>
          <t>Received</t>
        </is>
      </c>
      <c r="N708" s="2" t="inlineStr">
        <is>
          <t>Approved</t>
        </is>
      </c>
      <c r="O708" s="2" t="n"/>
      <c r="P708" s="2" t="n"/>
      <c r="Q708" s="2" t="n"/>
      <c r="R708" s="2" t="n"/>
    </row>
    <row r="709">
      <c r="A709" s="2" t="inlineStr">
        <is>
          <t>INV00706</t>
        </is>
      </c>
      <c r="B709" s="7" t="n">
        <v>46035</v>
      </c>
      <c r="C709" s="2" t="inlineStr">
        <is>
          <t>Google Cloud</t>
        </is>
      </c>
      <c r="D709" s="2" t="inlineStr">
        <is>
          <t>Marketing</t>
        </is>
      </c>
      <c r="E709" s="2" t="inlineStr">
        <is>
          <t>Facilities</t>
        </is>
      </c>
      <c r="F709" s="8" t="n">
        <v>20700</v>
      </c>
      <c r="G709" s="2" t="n">
        <v>60</v>
      </c>
      <c r="H709" s="7" t="n">
        <v>46095</v>
      </c>
      <c r="I709" s="2" t="n"/>
      <c r="J709" s="2" t="inlineStr">
        <is>
          <t>Pending</t>
        </is>
      </c>
      <c r="K709" s="2" t="inlineStr">
        <is>
          <t>Yes</t>
        </is>
      </c>
      <c r="L709" s="9" t="n">
        <v>0.02</v>
      </c>
      <c r="M709" s="2" t="inlineStr">
        <is>
          <t>Received</t>
        </is>
      </c>
      <c r="N709" s="2" t="inlineStr">
        <is>
          <t>Approved</t>
        </is>
      </c>
      <c r="O709" s="2" t="n"/>
      <c r="P709" s="2" t="n"/>
      <c r="Q709" s="2" t="n"/>
      <c r="R709" s="2" t="n"/>
    </row>
    <row r="710">
      <c r="A710" s="2" t="inlineStr">
        <is>
          <t>INV00707</t>
        </is>
      </c>
      <c r="B710" s="7" t="n">
        <v>46318</v>
      </c>
      <c r="C710" s="2" t="inlineStr">
        <is>
          <t>Deloitte</t>
        </is>
      </c>
      <c r="D710" s="2" t="inlineStr">
        <is>
          <t>IT</t>
        </is>
      </c>
      <c r="E710" s="2" t="inlineStr">
        <is>
          <t>Office Supplies</t>
        </is>
      </c>
      <c r="F710" s="8" t="n">
        <v>201100</v>
      </c>
      <c r="G710" s="2" t="n">
        <v>60</v>
      </c>
      <c r="H710" s="7" t="n">
        <v>46378</v>
      </c>
      <c r="I710" s="7" t="n">
        <v>46383</v>
      </c>
      <c r="J710" s="2" t="inlineStr">
        <is>
          <t>Paid</t>
        </is>
      </c>
      <c r="K710" s="2" t="inlineStr">
        <is>
          <t>Yes</t>
        </is>
      </c>
      <c r="L710" s="9" t="n">
        <v>0.02</v>
      </c>
      <c r="M710" s="2" t="inlineStr">
        <is>
          <t>Received</t>
        </is>
      </c>
      <c r="N710" s="2" t="inlineStr">
        <is>
          <t>Approved</t>
        </is>
      </c>
      <c r="O710" s="2" t="n"/>
      <c r="P710" s="2" t="n"/>
      <c r="Q710" s="2" t="n"/>
      <c r="R710" s="2" t="n"/>
    </row>
    <row r="711">
      <c r="A711" s="2" t="inlineStr">
        <is>
          <t>INV00708</t>
        </is>
      </c>
      <c r="B711" s="7" t="n">
        <v>46057</v>
      </c>
      <c r="C711" s="2" t="inlineStr">
        <is>
          <t>Google Cloud</t>
        </is>
      </c>
      <c r="D711" s="2" t="inlineStr">
        <is>
          <t>HR</t>
        </is>
      </c>
      <c r="E711" s="2" t="inlineStr">
        <is>
          <t>Consulting</t>
        </is>
      </c>
      <c r="F711" s="8" t="n">
        <v>108600</v>
      </c>
      <c r="G711" s="2" t="n">
        <v>30</v>
      </c>
      <c r="H711" s="7" t="n">
        <v>46087</v>
      </c>
      <c r="I711" s="7" t="n">
        <v>46087</v>
      </c>
      <c r="J711" s="2" t="inlineStr">
        <is>
          <t>Paid</t>
        </is>
      </c>
      <c r="K711" s="2" t="inlineStr">
        <is>
          <t>No</t>
        </is>
      </c>
      <c r="L711" s="9" t="n">
        <v>0</v>
      </c>
      <c r="M711" s="2" t="inlineStr">
        <is>
          <t>Pending</t>
        </is>
      </c>
      <c r="N711" s="2" t="inlineStr">
        <is>
          <t>Approved</t>
        </is>
      </c>
      <c r="O711" s="2" t="n"/>
      <c r="P711" s="2" t="n"/>
      <c r="Q711" s="2" t="n"/>
      <c r="R711" s="2" t="n"/>
    </row>
    <row r="712">
      <c r="A712" s="2" t="inlineStr">
        <is>
          <t>INV00709</t>
        </is>
      </c>
      <c r="B712" s="7" t="n">
        <v>46280</v>
      </c>
      <c r="C712" s="2" t="inlineStr">
        <is>
          <t>Deloitte</t>
        </is>
      </c>
      <c r="D712" s="2" t="inlineStr">
        <is>
          <t>Marketing</t>
        </is>
      </c>
      <c r="E712" s="2" t="inlineStr">
        <is>
          <t>Professional Services</t>
        </is>
      </c>
      <c r="F712" s="8" t="n">
        <v>989500</v>
      </c>
      <c r="G712" s="2" t="n">
        <v>45</v>
      </c>
      <c r="H712" s="7" t="n">
        <v>46325</v>
      </c>
      <c r="I712" s="7" t="n">
        <v>46325</v>
      </c>
      <c r="J712" s="2" t="inlineStr">
        <is>
          <t>Paid</t>
        </is>
      </c>
      <c r="K712" s="2" t="inlineStr">
        <is>
          <t>No</t>
        </is>
      </c>
      <c r="L712" s="9" t="n">
        <v>0</v>
      </c>
      <c r="M712" s="2" t="inlineStr">
        <is>
          <t>Received</t>
        </is>
      </c>
      <c r="N712" s="2" t="inlineStr">
        <is>
          <t>Approved</t>
        </is>
      </c>
      <c r="O712" s="2" t="n"/>
      <c r="P712" s="2" t="n"/>
      <c r="Q712" s="2" t="n"/>
      <c r="R712" s="2" t="n"/>
    </row>
    <row r="713">
      <c r="A713" s="2" t="inlineStr">
        <is>
          <t>INV00710</t>
        </is>
      </c>
      <c r="B713" s="7" t="n">
        <v>46029</v>
      </c>
      <c r="C713" s="2" t="inlineStr">
        <is>
          <t>Deloitte</t>
        </is>
      </c>
      <c r="D713" s="2" t="inlineStr">
        <is>
          <t>HR</t>
        </is>
      </c>
      <c r="E713" s="2" t="inlineStr">
        <is>
          <t>Facilities</t>
        </is>
      </c>
      <c r="F713" s="8" t="n">
        <v>239600</v>
      </c>
      <c r="G713" s="2" t="n">
        <v>30</v>
      </c>
      <c r="H713" s="7" t="n">
        <v>46059</v>
      </c>
      <c r="I713" s="7" t="n">
        <v>46059</v>
      </c>
      <c r="J713" s="2" t="inlineStr">
        <is>
          <t>Paid</t>
        </is>
      </c>
      <c r="K713" s="2" t="inlineStr">
        <is>
          <t>No</t>
        </is>
      </c>
      <c r="L713" s="9" t="n">
        <v>0</v>
      </c>
      <c r="M713" s="2" t="inlineStr">
        <is>
          <t>Received</t>
        </is>
      </c>
      <c r="N713" s="2" t="inlineStr">
        <is>
          <t>Approved</t>
        </is>
      </c>
      <c r="O713" s="2" t="n"/>
      <c r="P713" s="2" t="n"/>
      <c r="Q713" s="2" t="n"/>
      <c r="R713" s="2" t="n"/>
    </row>
    <row r="714">
      <c r="A714" s="2" t="inlineStr">
        <is>
          <t>INV00711</t>
        </is>
      </c>
      <c r="B714" s="7" t="n">
        <v>46155</v>
      </c>
      <c r="C714" s="2" t="inlineStr">
        <is>
          <t>SAP</t>
        </is>
      </c>
      <c r="D714" s="2" t="inlineStr">
        <is>
          <t>Finance</t>
        </is>
      </c>
      <c r="E714" s="2" t="inlineStr">
        <is>
          <t>Professional Services</t>
        </is>
      </c>
      <c r="F714" s="8" t="n">
        <v>440600</v>
      </c>
      <c r="G714" s="2" t="n">
        <v>60</v>
      </c>
      <c r="H714" s="7" t="n">
        <v>46215</v>
      </c>
      <c r="I714" s="2" t="n"/>
      <c r="J714" s="2" t="inlineStr">
        <is>
          <t>Pending</t>
        </is>
      </c>
      <c r="K714" s="2" t="inlineStr">
        <is>
          <t>Yes</t>
        </is>
      </c>
      <c r="L714" s="9" t="n">
        <v>0.02</v>
      </c>
      <c r="M714" s="2" t="inlineStr">
        <is>
          <t>Received</t>
        </is>
      </c>
      <c r="N714" s="2" t="inlineStr">
        <is>
          <t>Approved</t>
        </is>
      </c>
      <c r="O714" s="2" t="n"/>
      <c r="P714" s="2" t="n"/>
      <c r="Q714" s="2" t="n"/>
      <c r="R714" s="2" t="n"/>
    </row>
    <row r="715">
      <c r="A715" s="2" t="inlineStr">
        <is>
          <t>INV00712</t>
        </is>
      </c>
      <c r="B715" s="7" t="n">
        <v>46163</v>
      </c>
      <c r="C715" s="2" t="inlineStr">
        <is>
          <t>Wipro</t>
        </is>
      </c>
      <c r="D715" s="2" t="inlineStr">
        <is>
          <t>Sales</t>
        </is>
      </c>
      <c r="E715" s="2" t="inlineStr">
        <is>
          <t>Cloud</t>
        </is>
      </c>
      <c r="F715" s="8" t="n">
        <v>143100</v>
      </c>
      <c r="G715" s="2" t="n">
        <v>45</v>
      </c>
      <c r="H715" s="7" t="n">
        <v>46208</v>
      </c>
      <c r="I715" s="7" t="n">
        <v>46208</v>
      </c>
      <c r="J715" s="2" t="inlineStr">
        <is>
          <t>Paid</t>
        </is>
      </c>
      <c r="K715" s="2" t="inlineStr">
        <is>
          <t>No</t>
        </is>
      </c>
      <c r="L715" s="9" t="n">
        <v>0</v>
      </c>
      <c r="M715" s="2" t="inlineStr">
        <is>
          <t>Received</t>
        </is>
      </c>
      <c r="N715" s="2" t="inlineStr">
        <is>
          <t>Approved</t>
        </is>
      </c>
      <c r="O715" s="2" t="n"/>
      <c r="P715" s="2" t="n"/>
      <c r="Q715" s="2" t="n"/>
      <c r="R715" s="2" t="n"/>
    </row>
    <row r="716">
      <c r="A716" s="2" t="inlineStr">
        <is>
          <t>INV00713</t>
        </is>
      </c>
      <c r="B716" s="7" t="n">
        <v>46303</v>
      </c>
      <c r="C716" s="2" t="inlineStr">
        <is>
          <t>Amazon Web Services</t>
        </is>
      </c>
      <c r="D716" s="2" t="inlineStr">
        <is>
          <t>HR</t>
        </is>
      </c>
      <c r="E716" s="2" t="inlineStr">
        <is>
          <t>Software</t>
        </is>
      </c>
      <c r="F716" s="8" t="n">
        <v>555100</v>
      </c>
      <c r="G716" s="2" t="n">
        <v>15</v>
      </c>
      <c r="H716" s="7" t="n">
        <v>46318</v>
      </c>
      <c r="I716" s="7" t="n">
        <v>46318</v>
      </c>
      <c r="J716" s="2" t="inlineStr">
        <is>
          <t>Paid</t>
        </is>
      </c>
      <c r="K716" s="2" t="inlineStr">
        <is>
          <t>Yes</t>
        </is>
      </c>
      <c r="L716" s="9" t="n">
        <v>0.02</v>
      </c>
      <c r="M716" s="2" t="inlineStr">
        <is>
          <t>Received</t>
        </is>
      </c>
      <c r="N716" s="2" t="inlineStr">
        <is>
          <t>Approved</t>
        </is>
      </c>
      <c r="O716" s="2" t="n"/>
      <c r="P716" s="2" t="n"/>
      <c r="Q716" s="2" t="n"/>
      <c r="R716" s="2" t="n"/>
    </row>
    <row r="717">
      <c r="A717" s="2" t="inlineStr">
        <is>
          <t>INV00714</t>
        </is>
      </c>
      <c r="B717" s="7" t="n">
        <v>46121</v>
      </c>
      <c r="C717" s="2" t="inlineStr">
        <is>
          <t>Microsoft</t>
        </is>
      </c>
      <c r="D717" s="2" t="inlineStr">
        <is>
          <t>IT</t>
        </is>
      </c>
      <c r="E717" s="2" t="inlineStr">
        <is>
          <t>Professional Services</t>
        </is>
      </c>
      <c r="F717" s="8" t="n">
        <v>97800</v>
      </c>
      <c r="G717" s="2" t="n">
        <v>30</v>
      </c>
      <c r="H717" s="7" t="n">
        <v>46151</v>
      </c>
      <c r="I717" s="7" t="n">
        <v>46166</v>
      </c>
      <c r="J717" s="2" t="inlineStr">
        <is>
          <t>Paid</t>
        </is>
      </c>
      <c r="K717" s="2" t="inlineStr">
        <is>
          <t>Yes</t>
        </is>
      </c>
      <c r="L717" s="9" t="n">
        <v>0.02</v>
      </c>
      <c r="M717" s="2" t="inlineStr">
        <is>
          <t>Received</t>
        </is>
      </c>
      <c r="N717" s="2" t="inlineStr">
        <is>
          <t>Approved</t>
        </is>
      </c>
      <c r="O717" s="2" t="n"/>
      <c r="P717" s="2" t="n"/>
      <c r="Q717" s="2" t="n"/>
      <c r="R717" s="2" t="n"/>
    </row>
    <row r="718">
      <c r="A718" s="2" t="inlineStr">
        <is>
          <t>INV00715</t>
        </is>
      </c>
      <c r="B718" s="7" t="n">
        <v>46277</v>
      </c>
      <c r="C718" s="2" t="inlineStr">
        <is>
          <t>Wipro</t>
        </is>
      </c>
      <c r="D718" s="2" t="inlineStr">
        <is>
          <t>Marketing</t>
        </is>
      </c>
      <c r="E718" s="2" t="inlineStr">
        <is>
          <t>Facilities</t>
        </is>
      </c>
      <c r="F718" s="8" t="n">
        <v>140100</v>
      </c>
      <c r="G718" s="2" t="n">
        <v>45</v>
      </c>
      <c r="H718" s="7" t="n">
        <v>46322</v>
      </c>
      <c r="I718" s="7" t="n">
        <v>46382</v>
      </c>
      <c r="J718" s="2" t="inlineStr">
        <is>
          <t>Paid</t>
        </is>
      </c>
      <c r="K718" s="2" t="inlineStr">
        <is>
          <t>No</t>
        </is>
      </c>
      <c r="L718" s="9" t="n">
        <v>0</v>
      </c>
      <c r="M718" s="2" t="inlineStr">
        <is>
          <t>Received</t>
        </is>
      </c>
      <c r="N718" s="2" t="inlineStr">
        <is>
          <t>Approved</t>
        </is>
      </c>
      <c r="O718" s="2" t="n"/>
      <c r="P718" s="2" t="n"/>
      <c r="Q718" s="2" t="n"/>
      <c r="R718" s="2" t="n"/>
    </row>
    <row r="719">
      <c r="A719" s="2" t="inlineStr">
        <is>
          <t>INV00716</t>
        </is>
      </c>
      <c r="B719" s="7" t="n">
        <v>46283</v>
      </c>
      <c r="C719" s="2" t="inlineStr">
        <is>
          <t>Accenture</t>
        </is>
      </c>
      <c r="D719" s="2" t="inlineStr">
        <is>
          <t>Operations</t>
        </is>
      </c>
      <c r="E719" s="2" t="inlineStr">
        <is>
          <t>Professional Services</t>
        </is>
      </c>
      <c r="F719" s="8" t="n">
        <v>68500</v>
      </c>
      <c r="G719" s="2" t="n">
        <v>30</v>
      </c>
      <c r="H719" s="7" t="n">
        <v>46313</v>
      </c>
      <c r="I719" s="7" t="n">
        <v>46313</v>
      </c>
      <c r="J719" s="2" t="inlineStr">
        <is>
          <t>Paid</t>
        </is>
      </c>
      <c r="K719" s="2" t="inlineStr">
        <is>
          <t>No</t>
        </is>
      </c>
      <c r="L719" s="9" t="n">
        <v>0</v>
      </c>
      <c r="M719" s="2" t="inlineStr">
        <is>
          <t>Received</t>
        </is>
      </c>
      <c r="N719" s="2" t="inlineStr">
        <is>
          <t>Pending</t>
        </is>
      </c>
      <c r="O719" s="2" t="n"/>
      <c r="P719" s="2" t="n"/>
      <c r="Q719" s="2" t="n"/>
      <c r="R719" s="2" t="n"/>
    </row>
    <row r="720">
      <c r="A720" s="2" t="inlineStr">
        <is>
          <t>INV00717</t>
        </is>
      </c>
      <c r="B720" s="7" t="n">
        <v>46338</v>
      </c>
      <c r="C720" s="2" t="inlineStr">
        <is>
          <t>Wipro</t>
        </is>
      </c>
      <c r="D720" s="2" t="inlineStr">
        <is>
          <t>Finance</t>
        </is>
      </c>
      <c r="E720" s="2" t="inlineStr">
        <is>
          <t>Travel</t>
        </is>
      </c>
      <c r="F720" s="8" t="n">
        <v>387300</v>
      </c>
      <c r="G720" s="2" t="n">
        <v>60</v>
      </c>
      <c r="H720" s="7" t="n">
        <v>46398</v>
      </c>
      <c r="I720" s="2" t="n"/>
      <c r="J720" s="2" t="inlineStr">
        <is>
          <t>Pending</t>
        </is>
      </c>
      <c r="K720" s="2" t="inlineStr">
        <is>
          <t>No</t>
        </is>
      </c>
      <c r="L720" s="9" t="n">
        <v>0</v>
      </c>
      <c r="M720" s="2" t="inlineStr">
        <is>
          <t>Received</t>
        </is>
      </c>
      <c r="N720" s="2" t="inlineStr">
        <is>
          <t>Approved</t>
        </is>
      </c>
      <c r="O720" s="2" t="n"/>
      <c r="P720" s="2" t="n"/>
      <c r="Q720" s="2" t="n"/>
      <c r="R720" s="2" t="n"/>
    </row>
    <row r="721">
      <c r="A721" s="2" t="inlineStr">
        <is>
          <t>INV00718</t>
        </is>
      </c>
      <c r="B721" s="7" t="n">
        <v>46383</v>
      </c>
      <c r="C721" s="2" t="inlineStr">
        <is>
          <t>TCS</t>
        </is>
      </c>
      <c r="D721" s="2" t="inlineStr">
        <is>
          <t>HR</t>
        </is>
      </c>
      <c r="E721" s="2" t="inlineStr">
        <is>
          <t>Travel</t>
        </is>
      </c>
      <c r="F721" s="8" t="n">
        <v>554900</v>
      </c>
      <c r="G721" s="2" t="n">
        <v>15</v>
      </c>
      <c r="H721" s="7" t="n">
        <v>46398</v>
      </c>
      <c r="I721" s="2" t="n"/>
      <c r="J721" s="2" t="inlineStr">
        <is>
          <t>Pending</t>
        </is>
      </c>
      <c r="K721" s="2" t="inlineStr">
        <is>
          <t>No</t>
        </is>
      </c>
      <c r="L721" s="9" t="n">
        <v>0</v>
      </c>
      <c r="M721" s="2" t="inlineStr">
        <is>
          <t>Received</t>
        </is>
      </c>
      <c r="N721" s="2" t="inlineStr">
        <is>
          <t>Approved</t>
        </is>
      </c>
      <c r="O721" s="2" t="n"/>
      <c r="P721" s="2" t="n"/>
      <c r="Q721" s="2" t="n"/>
      <c r="R721" s="2" t="n"/>
    </row>
    <row r="722">
      <c r="A722" s="2" t="inlineStr">
        <is>
          <t>INV00719</t>
        </is>
      </c>
      <c r="B722" s="7" t="n">
        <v>46059</v>
      </c>
      <c r="C722" s="2" t="inlineStr">
        <is>
          <t>Accenture</t>
        </is>
      </c>
      <c r="D722" s="2" t="inlineStr">
        <is>
          <t>IT</t>
        </is>
      </c>
      <c r="E722" s="2" t="inlineStr">
        <is>
          <t>Software</t>
        </is>
      </c>
      <c r="F722" s="8" t="n">
        <v>140800</v>
      </c>
      <c r="G722" s="2" t="n">
        <v>45</v>
      </c>
      <c r="H722" s="7" t="n">
        <v>46104</v>
      </c>
      <c r="I722" s="2" t="n"/>
      <c r="J722" s="2" t="inlineStr">
        <is>
          <t>Pending</t>
        </is>
      </c>
      <c r="K722" s="2" t="inlineStr">
        <is>
          <t>No</t>
        </is>
      </c>
      <c r="L722" s="9" t="n">
        <v>0</v>
      </c>
      <c r="M722" s="2" t="inlineStr">
        <is>
          <t>Received</t>
        </is>
      </c>
      <c r="N722" s="2" t="inlineStr">
        <is>
          <t>Approved</t>
        </is>
      </c>
      <c r="O722" s="2" t="n"/>
      <c r="P722" s="2" t="n"/>
      <c r="Q722" s="2" t="n"/>
      <c r="R722" s="2" t="n"/>
    </row>
    <row r="723">
      <c r="A723" s="2" t="inlineStr">
        <is>
          <t>INV00720</t>
        </is>
      </c>
      <c r="B723" s="7" t="n">
        <v>46250</v>
      </c>
      <c r="C723" s="2" t="inlineStr">
        <is>
          <t>Google Cloud</t>
        </is>
      </c>
      <c r="D723" s="2" t="inlineStr">
        <is>
          <t>Sales</t>
        </is>
      </c>
      <c r="E723" s="2" t="inlineStr">
        <is>
          <t>Travel</t>
        </is>
      </c>
      <c r="F723" s="8" t="n">
        <v>104300</v>
      </c>
      <c r="G723" s="2" t="n">
        <v>15</v>
      </c>
      <c r="H723" s="7" t="n">
        <v>46265</v>
      </c>
      <c r="I723" s="7" t="n">
        <v>46280</v>
      </c>
      <c r="J723" s="2" t="inlineStr">
        <is>
          <t>Paid</t>
        </is>
      </c>
      <c r="K723" s="2" t="inlineStr">
        <is>
          <t>No</t>
        </is>
      </c>
      <c r="L723" s="9" t="n">
        <v>0</v>
      </c>
      <c r="M723" s="2" t="inlineStr">
        <is>
          <t>Received</t>
        </is>
      </c>
      <c r="N723" s="2" t="inlineStr">
        <is>
          <t>Approved</t>
        </is>
      </c>
      <c r="O723" s="2" t="n"/>
      <c r="P723" s="2" t="n"/>
      <c r="Q723" s="2" t="n"/>
      <c r="R723" s="2" t="n"/>
    </row>
    <row r="724">
      <c r="A724" s="2" t="inlineStr">
        <is>
          <t>INV00721</t>
        </is>
      </c>
      <c r="B724" s="7" t="n">
        <v>46287</v>
      </c>
      <c r="C724" s="2" t="inlineStr">
        <is>
          <t>Accenture</t>
        </is>
      </c>
      <c r="D724" s="2" t="inlineStr">
        <is>
          <t>IT</t>
        </is>
      </c>
      <c r="E724" s="2" t="inlineStr">
        <is>
          <t>Office Supplies</t>
        </is>
      </c>
      <c r="F724" s="8" t="n">
        <v>241300</v>
      </c>
      <c r="G724" s="2" t="n">
        <v>60</v>
      </c>
      <c r="H724" s="7" t="n">
        <v>46347</v>
      </c>
      <c r="I724" s="7" t="n">
        <v>46347</v>
      </c>
      <c r="J724" s="2" t="inlineStr">
        <is>
          <t>Paid</t>
        </is>
      </c>
      <c r="K724" s="2" t="inlineStr">
        <is>
          <t>Yes</t>
        </is>
      </c>
      <c r="L724" s="9" t="n">
        <v>0.02</v>
      </c>
      <c r="M724" s="2" t="inlineStr">
        <is>
          <t>Received</t>
        </is>
      </c>
      <c r="N724" s="2" t="inlineStr">
        <is>
          <t>Approved</t>
        </is>
      </c>
      <c r="O724" s="2" t="n"/>
      <c r="P724" s="2" t="n"/>
      <c r="Q724" s="2" t="n"/>
      <c r="R724" s="2" t="n"/>
    </row>
    <row r="725">
      <c r="A725" s="2" t="inlineStr">
        <is>
          <t>INV00722</t>
        </is>
      </c>
      <c r="B725" s="7" t="n">
        <v>46247</v>
      </c>
      <c r="C725" s="2" t="inlineStr">
        <is>
          <t>Deloitte</t>
        </is>
      </c>
      <c r="D725" s="2" t="inlineStr">
        <is>
          <t>HR</t>
        </is>
      </c>
      <c r="E725" s="2" t="inlineStr">
        <is>
          <t>Software</t>
        </is>
      </c>
      <c r="F725" s="8" t="n">
        <v>228900</v>
      </c>
      <c r="G725" s="2" t="n">
        <v>45</v>
      </c>
      <c r="H725" s="7" t="n">
        <v>46292</v>
      </c>
      <c r="I725" s="7" t="n">
        <v>46292</v>
      </c>
      <c r="J725" s="2" t="inlineStr">
        <is>
          <t>Paid</t>
        </is>
      </c>
      <c r="K725" s="2" t="inlineStr">
        <is>
          <t>Yes</t>
        </is>
      </c>
      <c r="L725" s="9" t="n">
        <v>0.02</v>
      </c>
      <c r="M725" s="2" t="inlineStr">
        <is>
          <t>Received</t>
        </is>
      </c>
      <c r="N725" s="2" t="inlineStr">
        <is>
          <t>Approved</t>
        </is>
      </c>
      <c r="O725" s="2" t="n"/>
      <c r="P725" s="2" t="n"/>
      <c r="Q725" s="2" t="n"/>
      <c r="R725" s="2" t="n"/>
    </row>
    <row r="726">
      <c r="A726" s="2" t="inlineStr">
        <is>
          <t>INV00723</t>
        </is>
      </c>
      <c r="B726" s="7" t="n">
        <v>46210</v>
      </c>
      <c r="C726" s="2" t="inlineStr">
        <is>
          <t>Zoho</t>
        </is>
      </c>
      <c r="D726" s="2" t="inlineStr">
        <is>
          <t>HR</t>
        </is>
      </c>
      <c r="E726" s="2" t="inlineStr">
        <is>
          <t>Travel</t>
        </is>
      </c>
      <c r="F726" s="8" t="n">
        <v>919400</v>
      </c>
      <c r="G726" s="2" t="n">
        <v>15</v>
      </c>
      <c r="H726" s="7" t="n">
        <v>46225</v>
      </c>
      <c r="I726" s="7" t="n">
        <v>46225</v>
      </c>
      <c r="J726" s="2" t="inlineStr">
        <is>
          <t>Paid</t>
        </is>
      </c>
      <c r="K726" s="2" t="inlineStr">
        <is>
          <t>No</t>
        </is>
      </c>
      <c r="L726" s="9" t="n">
        <v>0</v>
      </c>
      <c r="M726" s="2" t="inlineStr">
        <is>
          <t>Received</t>
        </is>
      </c>
      <c r="N726" s="2" t="inlineStr">
        <is>
          <t>Approved</t>
        </is>
      </c>
      <c r="O726" s="2" t="n"/>
      <c r="P726" s="2" t="n"/>
      <c r="Q726" s="2" t="n"/>
      <c r="R726" s="2" t="n"/>
    </row>
    <row r="727">
      <c r="A727" s="2" t="inlineStr">
        <is>
          <t>INV00724</t>
        </is>
      </c>
      <c r="B727" s="7" t="n">
        <v>46197</v>
      </c>
      <c r="C727" s="2" t="inlineStr">
        <is>
          <t>Deloitte</t>
        </is>
      </c>
      <c r="D727" s="2" t="inlineStr">
        <is>
          <t>Operations</t>
        </is>
      </c>
      <c r="E727" s="2" t="inlineStr">
        <is>
          <t>Consulting</t>
        </is>
      </c>
      <c r="F727" s="8" t="n">
        <v>29800</v>
      </c>
      <c r="G727" s="2" t="n">
        <v>15</v>
      </c>
      <c r="H727" s="7" t="n">
        <v>46212</v>
      </c>
      <c r="I727" s="7" t="n">
        <v>46272</v>
      </c>
      <c r="J727" s="2" t="inlineStr">
        <is>
          <t>Paid</t>
        </is>
      </c>
      <c r="K727" s="2" t="inlineStr">
        <is>
          <t>No</t>
        </is>
      </c>
      <c r="L727" s="9" t="n">
        <v>0</v>
      </c>
      <c r="M727" s="2" t="inlineStr">
        <is>
          <t>Pending</t>
        </is>
      </c>
      <c r="N727" s="2" t="inlineStr">
        <is>
          <t>Approved</t>
        </is>
      </c>
      <c r="O727" s="2" t="n"/>
      <c r="P727" s="2" t="n"/>
      <c r="Q727" s="2" t="n"/>
      <c r="R727" s="2" t="n"/>
    </row>
    <row r="728">
      <c r="A728" s="2" t="inlineStr">
        <is>
          <t>INV00725</t>
        </is>
      </c>
      <c r="B728" s="7" t="n">
        <v>46335</v>
      </c>
      <c r="C728" s="2" t="inlineStr">
        <is>
          <t>TCS</t>
        </is>
      </c>
      <c r="D728" s="2" t="inlineStr">
        <is>
          <t>Operations</t>
        </is>
      </c>
      <c r="E728" s="2" t="inlineStr">
        <is>
          <t>Professional Services</t>
        </is>
      </c>
      <c r="F728" s="8" t="n">
        <v>78300</v>
      </c>
      <c r="G728" s="2" t="n">
        <v>45</v>
      </c>
      <c r="H728" s="7" t="n">
        <v>46380</v>
      </c>
      <c r="I728" s="7" t="n">
        <v>46380</v>
      </c>
      <c r="J728" s="2" t="inlineStr">
        <is>
          <t>Paid</t>
        </is>
      </c>
      <c r="K728" s="2" t="inlineStr">
        <is>
          <t>No</t>
        </is>
      </c>
      <c r="L728" s="9" t="n">
        <v>0</v>
      </c>
      <c r="M728" s="2" t="inlineStr">
        <is>
          <t>Received</t>
        </is>
      </c>
      <c r="N728" s="2" t="inlineStr">
        <is>
          <t>Approved</t>
        </is>
      </c>
      <c r="O728" s="2" t="n"/>
      <c r="P728" s="2" t="n"/>
      <c r="Q728" s="2" t="n"/>
      <c r="R728" s="2" t="n"/>
    </row>
    <row r="729">
      <c r="A729" s="2" t="inlineStr">
        <is>
          <t>INV00726</t>
        </is>
      </c>
      <c r="B729" s="7" t="n">
        <v>46093</v>
      </c>
      <c r="C729" s="2" t="inlineStr">
        <is>
          <t>Wipro</t>
        </is>
      </c>
      <c r="D729" s="2" t="inlineStr">
        <is>
          <t>Operations</t>
        </is>
      </c>
      <c r="E729" s="2" t="inlineStr">
        <is>
          <t>Software</t>
        </is>
      </c>
      <c r="F729" s="8" t="n">
        <v>221500</v>
      </c>
      <c r="G729" s="2" t="n">
        <v>45</v>
      </c>
      <c r="H729" s="7" t="n">
        <v>46138</v>
      </c>
      <c r="I729" s="7" t="n">
        <v>46138</v>
      </c>
      <c r="J729" s="2" t="inlineStr">
        <is>
          <t>Paid</t>
        </is>
      </c>
      <c r="K729" s="2" t="inlineStr">
        <is>
          <t>No</t>
        </is>
      </c>
      <c r="L729" s="9" t="n">
        <v>0</v>
      </c>
      <c r="M729" s="2" t="inlineStr">
        <is>
          <t>Received</t>
        </is>
      </c>
      <c r="N729" s="2" t="inlineStr">
        <is>
          <t>Pending</t>
        </is>
      </c>
      <c r="O729" s="2" t="n"/>
      <c r="P729" s="2" t="n"/>
      <c r="Q729" s="2" t="n"/>
      <c r="R729" s="2" t="n"/>
    </row>
    <row r="730">
      <c r="A730" s="2" t="inlineStr">
        <is>
          <t>INV00727</t>
        </is>
      </c>
      <c r="B730" s="7" t="n">
        <v>46103</v>
      </c>
      <c r="C730" s="2" t="inlineStr">
        <is>
          <t>TCS</t>
        </is>
      </c>
      <c r="D730" s="2" t="inlineStr">
        <is>
          <t>Operations</t>
        </is>
      </c>
      <c r="E730" s="2" t="inlineStr">
        <is>
          <t>Travel</t>
        </is>
      </c>
      <c r="F730" s="8" t="n">
        <v>616800</v>
      </c>
      <c r="G730" s="2" t="n">
        <v>45</v>
      </c>
      <c r="H730" s="7" t="n">
        <v>46148</v>
      </c>
      <c r="I730" s="2" t="n"/>
      <c r="J730" s="2" t="inlineStr">
        <is>
          <t>Pending</t>
        </is>
      </c>
      <c r="K730" s="2" t="inlineStr">
        <is>
          <t>No</t>
        </is>
      </c>
      <c r="L730" s="9" t="n">
        <v>0</v>
      </c>
      <c r="M730" s="2" t="inlineStr">
        <is>
          <t>Received</t>
        </is>
      </c>
      <c r="N730" s="2" t="inlineStr">
        <is>
          <t>Approved</t>
        </is>
      </c>
      <c r="O730" s="2" t="n"/>
      <c r="P730" s="2" t="n"/>
      <c r="Q730" s="2" t="n"/>
      <c r="R730" s="2" t="n"/>
    </row>
    <row r="731">
      <c r="A731" s="2" t="inlineStr">
        <is>
          <t>INV00728</t>
        </is>
      </c>
      <c r="B731" s="7" t="n">
        <v>46220</v>
      </c>
      <c r="C731" s="2" t="inlineStr">
        <is>
          <t>Wipro</t>
        </is>
      </c>
      <c r="D731" s="2" t="inlineStr">
        <is>
          <t>Sales</t>
        </is>
      </c>
      <c r="E731" s="2" t="inlineStr">
        <is>
          <t>Facilities</t>
        </is>
      </c>
      <c r="F731" s="8" t="n">
        <v>37200</v>
      </c>
      <c r="G731" s="2" t="n">
        <v>60</v>
      </c>
      <c r="H731" s="7" t="n">
        <v>46280</v>
      </c>
      <c r="I731" s="7" t="n">
        <v>46280</v>
      </c>
      <c r="J731" s="2" t="inlineStr">
        <is>
          <t>Paid</t>
        </is>
      </c>
      <c r="K731" s="2" t="inlineStr">
        <is>
          <t>Yes</t>
        </is>
      </c>
      <c r="L731" s="9" t="n">
        <v>0.02</v>
      </c>
      <c r="M731" s="2" t="inlineStr">
        <is>
          <t>Received</t>
        </is>
      </c>
      <c r="N731" s="2" t="inlineStr">
        <is>
          <t>Approved</t>
        </is>
      </c>
      <c r="O731" s="2" t="n"/>
      <c r="P731" s="2" t="n"/>
      <c r="Q731" s="2" t="n"/>
      <c r="R731" s="2" t="n"/>
    </row>
    <row r="732">
      <c r="A732" s="2" t="inlineStr">
        <is>
          <t>INV00729</t>
        </is>
      </c>
      <c r="B732" s="7" t="n">
        <v>46187</v>
      </c>
      <c r="C732" s="2" t="inlineStr">
        <is>
          <t>Accenture</t>
        </is>
      </c>
      <c r="D732" s="2" t="inlineStr">
        <is>
          <t>Sales</t>
        </is>
      </c>
      <c r="E732" s="2" t="inlineStr">
        <is>
          <t>Software</t>
        </is>
      </c>
      <c r="F732" s="8" t="n">
        <v>122600</v>
      </c>
      <c r="G732" s="2" t="n">
        <v>60</v>
      </c>
      <c r="H732" s="7" t="n">
        <v>46247</v>
      </c>
      <c r="I732" s="2" t="n"/>
      <c r="J732" s="2" t="inlineStr">
        <is>
          <t>Pending</t>
        </is>
      </c>
      <c r="K732" s="2" t="inlineStr">
        <is>
          <t>Yes</t>
        </is>
      </c>
      <c r="L732" s="9" t="n">
        <v>0.02</v>
      </c>
      <c r="M732" s="2" t="inlineStr">
        <is>
          <t>Received</t>
        </is>
      </c>
      <c r="N732" s="2" t="inlineStr">
        <is>
          <t>Approved</t>
        </is>
      </c>
      <c r="O732" s="2" t="n"/>
      <c r="P732" s="2" t="n"/>
      <c r="Q732" s="2" t="n"/>
      <c r="R732" s="2" t="n"/>
    </row>
    <row r="733">
      <c r="A733" s="2" t="inlineStr">
        <is>
          <t>INV00730</t>
        </is>
      </c>
      <c r="B733" s="7" t="n">
        <v>46121</v>
      </c>
      <c r="C733" s="2" t="inlineStr">
        <is>
          <t>Cognizant</t>
        </is>
      </c>
      <c r="D733" s="2" t="inlineStr">
        <is>
          <t>IT</t>
        </is>
      </c>
      <c r="E733" s="2" t="inlineStr">
        <is>
          <t>Facilities</t>
        </is>
      </c>
      <c r="F733" s="8" t="n">
        <v>435500</v>
      </c>
      <c r="G733" s="2" t="n">
        <v>45</v>
      </c>
      <c r="H733" s="7" t="n">
        <v>46166</v>
      </c>
      <c r="I733" s="7" t="n">
        <v>46181</v>
      </c>
      <c r="J733" s="2" t="inlineStr">
        <is>
          <t>Paid</t>
        </is>
      </c>
      <c r="K733" s="2" t="inlineStr">
        <is>
          <t>No</t>
        </is>
      </c>
      <c r="L733" s="9" t="n">
        <v>0</v>
      </c>
      <c r="M733" s="2" t="inlineStr">
        <is>
          <t>Received</t>
        </is>
      </c>
      <c r="N733" s="2" t="inlineStr">
        <is>
          <t>Approved</t>
        </is>
      </c>
      <c r="O733" s="2" t="n"/>
      <c r="P733" s="2" t="n"/>
      <c r="Q733" s="2" t="n"/>
      <c r="R733" s="2" t="n"/>
    </row>
    <row r="734">
      <c r="A734" s="2" t="inlineStr">
        <is>
          <t>INV00731</t>
        </is>
      </c>
      <c r="B734" s="7" t="n">
        <v>46088</v>
      </c>
      <c r="C734" s="2" t="inlineStr">
        <is>
          <t>HCLTech</t>
        </is>
      </c>
      <c r="D734" s="2" t="inlineStr">
        <is>
          <t>Marketing</t>
        </is>
      </c>
      <c r="E734" s="2" t="inlineStr">
        <is>
          <t>Travel</t>
        </is>
      </c>
      <c r="F734" s="8" t="n">
        <v>61200</v>
      </c>
      <c r="G734" s="2" t="n">
        <v>30</v>
      </c>
      <c r="H734" s="7" t="n">
        <v>46118</v>
      </c>
      <c r="I734" s="7" t="n">
        <v>46118</v>
      </c>
      <c r="J734" s="2" t="inlineStr">
        <is>
          <t>Paid</t>
        </is>
      </c>
      <c r="K734" s="2" t="inlineStr">
        <is>
          <t>Yes</t>
        </is>
      </c>
      <c r="L734" s="9" t="n">
        <v>0.02</v>
      </c>
      <c r="M734" s="2" t="inlineStr">
        <is>
          <t>Received</t>
        </is>
      </c>
      <c r="N734" s="2" t="inlineStr">
        <is>
          <t>Approved</t>
        </is>
      </c>
      <c r="O734" s="2" t="n"/>
      <c r="P734" s="2" t="n"/>
      <c r="Q734" s="2" t="n"/>
      <c r="R734" s="2" t="n"/>
    </row>
    <row r="735">
      <c r="A735" s="2" t="inlineStr">
        <is>
          <t>INV00732</t>
        </is>
      </c>
      <c r="B735" s="7" t="n">
        <v>46035</v>
      </c>
      <c r="C735" s="2" t="inlineStr">
        <is>
          <t>Adobe</t>
        </is>
      </c>
      <c r="D735" s="2" t="inlineStr">
        <is>
          <t>Marketing</t>
        </is>
      </c>
      <c r="E735" s="2" t="inlineStr">
        <is>
          <t>Consulting</t>
        </is>
      </c>
      <c r="F735" s="8" t="n">
        <v>59300</v>
      </c>
      <c r="G735" s="2" t="n">
        <v>30</v>
      </c>
      <c r="H735" s="7" t="n">
        <v>46065</v>
      </c>
      <c r="I735" s="7" t="n">
        <v>46070</v>
      </c>
      <c r="J735" s="2" t="inlineStr">
        <is>
          <t>Paid</t>
        </is>
      </c>
      <c r="K735" s="2" t="inlineStr">
        <is>
          <t>Yes</t>
        </is>
      </c>
      <c r="L735" s="9" t="n">
        <v>0.02</v>
      </c>
      <c r="M735" s="2" t="inlineStr">
        <is>
          <t>Received</t>
        </is>
      </c>
      <c r="N735" s="2" t="inlineStr">
        <is>
          <t>Approved</t>
        </is>
      </c>
      <c r="O735" s="2" t="n"/>
      <c r="P735" s="2" t="n"/>
      <c r="Q735" s="2" t="n"/>
      <c r="R735" s="2" t="n"/>
    </row>
    <row r="736">
      <c r="A736" s="2" t="inlineStr">
        <is>
          <t>INV00733</t>
        </is>
      </c>
      <c r="B736" s="7" t="n">
        <v>46196</v>
      </c>
      <c r="C736" s="2" t="inlineStr">
        <is>
          <t>Adobe</t>
        </is>
      </c>
      <c r="D736" s="2" t="inlineStr">
        <is>
          <t>Finance</t>
        </is>
      </c>
      <c r="E736" s="2" t="inlineStr">
        <is>
          <t>Consulting</t>
        </is>
      </c>
      <c r="F736" s="8" t="n">
        <v>250400</v>
      </c>
      <c r="G736" s="2" t="n">
        <v>15</v>
      </c>
      <c r="H736" s="7" t="n">
        <v>46211</v>
      </c>
      <c r="I736" s="7" t="n">
        <v>46211</v>
      </c>
      <c r="J736" s="2" t="inlineStr">
        <is>
          <t>Paid</t>
        </is>
      </c>
      <c r="K736" s="2" t="inlineStr">
        <is>
          <t>No</t>
        </is>
      </c>
      <c r="L736" s="9" t="n">
        <v>0</v>
      </c>
      <c r="M736" s="2" t="inlineStr">
        <is>
          <t>Received</t>
        </is>
      </c>
      <c r="N736" s="2" t="inlineStr">
        <is>
          <t>Approved</t>
        </is>
      </c>
      <c r="O736" s="2" t="n"/>
      <c r="P736" s="2" t="n"/>
      <c r="Q736" s="2" t="n"/>
      <c r="R736" s="2" t="n"/>
    </row>
    <row r="737">
      <c r="A737" s="2" t="inlineStr">
        <is>
          <t>INV00734</t>
        </is>
      </c>
      <c r="B737" s="7" t="n">
        <v>46246</v>
      </c>
      <c r="C737" s="2" t="inlineStr">
        <is>
          <t>Oracle</t>
        </is>
      </c>
      <c r="D737" s="2" t="inlineStr">
        <is>
          <t>HR</t>
        </is>
      </c>
      <c r="E737" s="2" t="inlineStr">
        <is>
          <t>Software</t>
        </is>
      </c>
      <c r="F737" s="8" t="n">
        <v>168900</v>
      </c>
      <c r="G737" s="2" t="n">
        <v>15</v>
      </c>
      <c r="H737" s="7" t="n">
        <v>46261</v>
      </c>
      <c r="I737" s="7" t="n">
        <v>46276</v>
      </c>
      <c r="J737" s="2" t="inlineStr">
        <is>
          <t>Paid</t>
        </is>
      </c>
      <c r="K737" s="2" t="inlineStr">
        <is>
          <t>No</t>
        </is>
      </c>
      <c r="L737" s="9" t="n">
        <v>0</v>
      </c>
      <c r="M737" s="2" t="inlineStr">
        <is>
          <t>Received</t>
        </is>
      </c>
      <c r="N737" s="2" t="inlineStr">
        <is>
          <t>Approved</t>
        </is>
      </c>
      <c r="O737" s="2" t="n"/>
      <c r="P737" s="2" t="n"/>
      <c r="Q737" s="2" t="n"/>
      <c r="R737" s="2" t="n"/>
    </row>
    <row r="738">
      <c r="A738" s="2" t="inlineStr">
        <is>
          <t>INV00735</t>
        </is>
      </c>
      <c r="B738" s="7" t="n">
        <v>46181</v>
      </c>
      <c r="C738" s="2" t="inlineStr">
        <is>
          <t>SAP</t>
        </is>
      </c>
      <c r="D738" s="2" t="inlineStr">
        <is>
          <t>HR</t>
        </is>
      </c>
      <c r="E738" s="2" t="inlineStr">
        <is>
          <t>Cloud</t>
        </is>
      </c>
      <c r="F738" s="8" t="n">
        <v>26400</v>
      </c>
      <c r="G738" s="2" t="n">
        <v>60</v>
      </c>
      <c r="H738" s="7" t="n">
        <v>46241</v>
      </c>
      <c r="I738" s="7" t="n">
        <v>46331</v>
      </c>
      <c r="J738" s="2" t="inlineStr">
        <is>
          <t>Paid</t>
        </is>
      </c>
      <c r="K738" s="2" t="inlineStr">
        <is>
          <t>No</t>
        </is>
      </c>
      <c r="L738" s="9" t="n">
        <v>0</v>
      </c>
      <c r="M738" s="2" t="inlineStr">
        <is>
          <t>Received</t>
        </is>
      </c>
      <c r="N738" s="2" t="inlineStr">
        <is>
          <t>Approved</t>
        </is>
      </c>
      <c r="O738" s="2" t="n"/>
      <c r="P738" s="2" t="n"/>
      <c r="Q738" s="2" t="n"/>
      <c r="R738" s="2" t="n"/>
    </row>
    <row r="739">
      <c r="A739" s="2" t="inlineStr">
        <is>
          <t>INV00736</t>
        </is>
      </c>
      <c r="B739" s="7" t="n">
        <v>46238</v>
      </c>
      <c r="C739" s="2" t="inlineStr">
        <is>
          <t>Amazon Web Services</t>
        </is>
      </c>
      <c r="D739" s="2" t="inlineStr">
        <is>
          <t>Marketing</t>
        </is>
      </c>
      <c r="E739" s="2" t="inlineStr">
        <is>
          <t>Office Supplies</t>
        </is>
      </c>
      <c r="F739" s="8" t="n">
        <v>78900</v>
      </c>
      <c r="G739" s="2" t="n">
        <v>45</v>
      </c>
      <c r="H739" s="7" t="n">
        <v>46283</v>
      </c>
      <c r="I739" s="7" t="n">
        <v>46283</v>
      </c>
      <c r="J739" s="2" t="inlineStr">
        <is>
          <t>Paid</t>
        </is>
      </c>
      <c r="K739" s="2" t="inlineStr">
        <is>
          <t>Yes</t>
        </is>
      </c>
      <c r="L739" s="9" t="n">
        <v>0.02</v>
      </c>
      <c r="M739" s="2" t="inlineStr">
        <is>
          <t>Received</t>
        </is>
      </c>
      <c r="N739" s="2" t="inlineStr">
        <is>
          <t>Approved</t>
        </is>
      </c>
      <c r="O739" s="2" t="n"/>
      <c r="P739" s="2" t="n"/>
      <c r="Q739" s="2" t="n"/>
      <c r="R739" s="2" t="n"/>
    </row>
    <row r="740">
      <c r="A740" s="2" t="inlineStr">
        <is>
          <t>INV00737</t>
        </is>
      </c>
      <c r="B740" s="7" t="n">
        <v>46277</v>
      </c>
      <c r="C740" s="2" t="inlineStr">
        <is>
          <t>Zoho</t>
        </is>
      </c>
      <c r="D740" s="2" t="inlineStr">
        <is>
          <t>HR</t>
        </is>
      </c>
      <c r="E740" s="2" t="inlineStr">
        <is>
          <t>Professional Services</t>
        </is>
      </c>
      <c r="F740" s="8" t="n">
        <v>300800</v>
      </c>
      <c r="G740" s="2" t="n">
        <v>15</v>
      </c>
      <c r="H740" s="7" t="n">
        <v>46292</v>
      </c>
      <c r="I740" s="7" t="n">
        <v>46382</v>
      </c>
      <c r="J740" s="2" t="inlineStr">
        <is>
          <t>Paid</t>
        </is>
      </c>
      <c r="K740" s="2" t="inlineStr">
        <is>
          <t>No</t>
        </is>
      </c>
      <c r="L740" s="9" t="n">
        <v>0</v>
      </c>
      <c r="M740" s="2" t="inlineStr">
        <is>
          <t>Received</t>
        </is>
      </c>
      <c r="N740" s="2" t="inlineStr">
        <is>
          <t>Approved</t>
        </is>
      </c>
      <c r="O740" s="2" t="n"/>
      <c r="P740" s="2" t="n"/>
      <c r="Q740" s="2" t="n"/>
      <c r="R740" s="2" t="n"/>
    </row>
    <row r="741">
      <c r="A741" s="2" t="inlineStr">
        <is>
          <t>INV00738</t>
        </is>
      </c>
      <c r="B741" s="7" t="n">
        <v>46091</v>
      </c>
      <c r="C741" s="2" t="inlineStr">
        <is>
          <t>Microsoft</t>
        </is>
      </c>
      <c r="D741" s="2" t="inlineStr">
        <is>
          <t>Marketing</t>
        </is>
      </c>
      <c r="E741" s="2" t="inlineStr">
        <is>
          <t>Software</t>
        </is>
      </c>
      <c r="F741" s="8" t="n">
        <v>186500</v>
      </c>
      <c r="G741" s="2" t="n">
        <v>30</v>
      </c>
      <c r="H741" s="7" t="n">
        <v>46121</v>
      </c>
      <c r="I741" s="7" t="n">
        <v>46136</v>
      </c>
      <c r="J741" s="2" t="inlineStr">
        <is>
          <t>Paid</t>
        </is>
      </c>
      <c r="K741" s="2" t="inlineStr">
        <is>
          <t>No</t>
        </is>
      </c>
      <c r="L741" s="9" t="n">
        <v>0</v>
      </c>
      <c r="M741" s="2" t="inlineStr">
        <is>
          <t>Received</t>
        </is>
      </c>
      <c r="N741" s="2" t="inlineStr">
        <is>
          <t>Approved</t>
        </is>
      </c>
      <c r="O741" s="2" t="n"/>
      <c r="P741" s="2" t="n"/>
      <c r="Q741" s="2" t="n"/>
      <c r="R741" s="2" t="n"/>
    </row>
    <row r="742">
      <c r="A742" s="2" t="inlineStr">
        <is>
          <t>INV00739</t>
        </is>
      </c>
      <c r="B742" s="7" t="n">
        <v>46149</v>
      </c>
      <c r="C742" s="2" t="inlineStr">
        <is>
          <t>Deloitte</t>
        </is>
      </c>
      <c r="D742" s="2" t="inlineStr">
        <is>
          <t>IT</t>
        </is>
      </c>
      <c r="E742" s="2" t="inlineStr">
        <is>
          <t>Cloud</t>
        </is>
      </c>
      <c r="F742" s="8" t="n">
        <v>256600</v>
      </c>
      <c r="G742" s="2" t="n">
        <v>30</v>
      </c>
      <c r="H742" s="7" t="n">
        <v>46179</v>
      </c>
      <c r="I742" s="7" t="n">
        <v>46194</v>
      </c>
      <c r="J742" s="2" t="inlineStr">
        <is>
          <t>Paid</t>
        </is>
      </c>
      <c r="K742" s="2" t="inlineStr">
        <is>
          <t>Yes</t>
        </is>
      </c>
      <c r="L742" s="9" t="n">
        <v>0.02</v>
      </c>
      <c r="M742" s="2" t="inlineStr">
        <is>
          <t>Received</t>
        </is>
      </c>
      <c r="N742" s="2" t="inlineStr">
        <is>
          <t>Approved</t>
        </is>
      </c>
      <c r="O742" s="2" t="n"/>
      <c r="P742" s="2" t="n"/>
      <c r="Q742" s="2" t="n"/>
      <c r="R742" s="2" t="n"/>
    </row>
    <row r="743">
      <c r="A743" s="2" t="inlineStr">
        <is>
          <t>INV00740</t>
        </is>
      </c>
      <c r="B743" s="7" t="n">
        <v>46160</v>
      </c>
      <c r="C743" s="2" t="inlineStr">
        <is>
          <t>Amazon Web Services</t>
        </is>
      </c>
      <c r="D743" s="2" t="inlineStr">
        <is>
          <t>Finance</t>
        </is>
      </c>
      <c r="E743" s="2" t="inlineStr">
        <is>
          <t>Cloud</t>
        </is>
      </c>
      <c r="F743" s="8" t="n">
        <v>135700</v>
      </c>
      <c r="G743" s="2" t="n">
        <v>15</v>
      </c>
      <c r="H743" s="7" t="n">
        <v>46175</v>
      </c>
      <c r="I743" s="2" t="n"/>
      <c r="J743" s="2" t="inlineStr">
        <is>
          <t>Pending</t>
        </is>
      </c>
      <c r="K743" s="2" t="inlineStr">
        <is>
          <t>Yes</t>
        </is>
      </c>
      <c r="L743" s="9" t="n">
        <v>0.02</v>
      </c>
      <c r="M743" s="2" t="inlineStr">
        <is>
          <t>Received</t>
        </is>
      </c>
      <c r="N743" s="2" t="inlineStr">
        <is>
          <t>Approved</t>
        </is>
      </c>
      <c r="O743" s="2" t="n"/>
      <c r="P743" s="2" t="n"/>
      <c r="Q743" s="2" t="n"/>
      <c r="R743" s="2" t="n"/>
    </row>
    <row r="744">
      <c r="A744" s="2" t="inlineStr">
        <is>
          <t>INV00741</t>
        </is>
      </c>
      <c r="B744" s="7" t="n">
        <v>46043</v>
      </c>
      <c r="C744" s="2" t="inlineStr">
        <is>
          <t>TCS</t>
        </is>
      </c>
      <c r="D744" s="2" t="inlineStr">
        <is>
          <t>Finance</t>
        </is>
      </c>
      <c r="E744" s="2" t="inlineStr">
        <is>
          <t>Office Supplies</t>
        </is>
      </c>
      <c r="F744" s="8" t="n">
        <v>510600</v>
      </c>
      <c r="G744" s="2" t="n">
        <v>15</v>
      </c>
      <c r="H744" s="7" t="n">
        <v>46058</v>
      </c>
      <c r="I744" s="7" t="n">
        <v>46118</v>
      </c>
      <c r="J744" s="2" t="inlineStr">
        <is>
          <t>Paid</t>
        </is>
      </c>
      <c r="K744" s="2" t="inlineStr">
        <is>
          <t>No</t>
        </is>
      </c>
      <c r="L744" s="9" t="n">
        <v>0</v>
      </c>
      <c r="M744" s="2" t="inlineStr">
        <is>
          <t>Received</t>
        </is>
      </c>
      <c r="N744" s="2" t="inlineStr">
        <is>
          <t>Approved</t>
        </is>
      </c>
      <c r="O744" s="2" t="n"/>
      <c r="P744" s="2" t="n"/>
      <c r="Q744" s="2" t="n"/>
      <c r="R744" s="2" t="n"/>
    </row>
    <row r="745">
      <c r="A745" s="2" t="inlineStr">
        <is>
          <t>INV00742</t>
        </is>
      </c>
      <c r="B745" s="7" t="n">
        <v>46305</v>
      </c>
      <c r="C745" s="2" t="inlineStr">
        <is>
          <t>Oracle</t>
        </is>
      </c>
      <c r="D745" s="2" t="inlineStr">
        <is>
          <t>IT</t>
        </is>
      </c>
      <c r="E745" s="2" t="inlineStr">
        <is>
          <t>Travel</t>
        </is>
      </c>
      <c r="F745" s="8" t="n">
        <v>414500</v>
      </c>
      <c r="G745" s="2" t="n">
        <v>15</v>
      </c>
      <c r="H745" s="7" t="n">
        <v>46320</v>
      </c>
      <c r="I745" s="7" t="n">
        <v>46410</v>
      </c>
      <c r="J745" s="2" t="inlineStr">
        <is>
          <t>Paid</t>
        </is>
      </c>
      <c r="K745" s="2" t="inlineStr">
        <is>
          <t>No</t>
        </is>
      </c>
      <c r="L745" s="9" t="n">
        <v>0</v>
      </c>
      <c r="M745" s="2" t="inlineStr">
        <is>
          <t>Pending</t>
        </is>
      </c>
      <c r="N745" s="2" t="inlineStr">
        <is>
          <t>Approved</t>
        </is>
      </c>
      <c r="O745" s="2" t="n"/>
      <c r="P745" s="2" t="n"/>
      <c r="Q745" s="2" t="n"/>
      <c r="R745" s="2" t="n"/>
    </row>
    <row r="746">
      <c r="A746" s="2" t="inlineStr">
        <is>
          <t>INV00743</t>
        </is>
      </c>
      <c r="B746" s="7" t="n">
        <v>46299</v>
      </c>
      <c r="C746" s="2" t="inlineStr">
        <is>
          <t>Wipro</t>
        </is>
      </c>
      <c r="D746" s="2" t="inlineStr">
        <is>
          <t>Sales</t>
        </is>
      </c>
      <c r="E746" s="2" t="inlineStr">
        <is>
          <t>Travel</t>
        </is>
      </c>
      <c r="F746" s="8" t="n">
        <v>236700</v>
      </c>
      <c r="G746" s="2" t="n">
        <v>60</v>
      </c>
      <c r="H746" s="7" t="n">
        <v>46359</v>
      </c>
      <c r="I746" s="2" t="n"/>
      <c r="J746" s="2" t="inlineStr">
        <is>
          <t>Pending</t>
        </is>
      </c>
      <c r="K746" s="2" t="inlineStr">
        <is>
          <t>Yes</t>
        </is>
      </c>
      <c r="L746" s="9" t="n">
        <v>0.02</v>
      </c>
      <c r="M746" s="2" t="inlineStr">
        <is>
          <t>Received</t>
        </is>
      </c>
      <c r="N746" s="2" t="inlineStr">
        <is>
          <t>Approved</t>
        </is>
      </c>
      <c r="O746" s="2" t="n"/>
      <c r="P746" s="2" t="n"/>
      <c r="Q746" s="2" t="n"/>
      <c r="R746" s="2" t="n"/>
    </row>
    <row r="747">
      <c r="A747" s="2" t="inlineStr">
        <is>
          <t>INV00744</t>
        </is>
      </c>
      <c r="B747" s="7" t="n">
        <v>46208</v>
      </c>
      <c r="C747" s="2" t="inlineStr">
        <is>
          <t>IBM</t>
        </is>
      </c>
      <c r="D747" s="2" t="inlineStr">
        <is>
          <t>Finance</t>
        </is>
      </c>
      <c r="E747" s="2" t="inlineStr">
        <is>
          <t>Travel</t>
        </is>
      </c>
      <c r="F747" s="8" t="n">
        <v>95300</v>
      </c>
      <c r="G747" s="2" t="n">
        <v>60</v>
      </c>
      <c r="H747" s="7" t="n">
        <v>46268</v>
      </c>
      <c r="I747" s="7" t="n">
        <v>46268</v>
      </c>
      <c r="J747" s="2" t="inlineStr">
        <is>
          <t>Paid</t>
        </is>
      </c>
      <c r="K747" s="2" t="inlineStr">
        <is>
          <t>No</t>
        </is>
      </c>
      <c r="L747" s="9" t="n">
        <v>0</v>
      </c>
      <c r="M747" s="2" t="inlineStr">
        <is>
          <t>Received</t>
        </is>
      </c>
      <c r="N747" s="2" t="inlineStr">
        <is>
          <t>Approved</t>
        </is>
      </c>
      <c r="O747" s="2" t="n"/>
      <c r="P747" s="2" t="n"/>
      <c r="Q747" s="2" t="n"/>
      <c r="R747" s="2" t="n"/>
    </row>
    <row r="748">
      <c r="A748" s="2" t="inlineStr">
        <is>
          <t>INV00745</t>
        </is>
      </c>
      <c r="B748" s="7" t="n">
        <v>46362</v>
      </c>
      <c r="C748" s="2" t="inlineStr">
        <is>
          <t>SAP</t>
        </is>
      </c>
      <c r="D748" s="2" t="inlineStr">
        <is>
          <t>HR</t>
        </is>
      </c>
      <c r="E748" s="2" t="inlineStr">
        <is>
          <t>Software</t>
        </is>
      </c>
      <c r="F748" s="8" t="n">
        <v>383300</v>
      </c>
      <c r="G748" s="2" t="n">
        <v>45</v>
      </c>
      <c r="H748" s="7" t="n">
        <v>46407</v>
      </c>
      <c r="I748" s="7" t="n">
        <v>46407</v>
      </c>
      <c r="J748" s="2" t="inlineStr">
        <is>
          <t>Paid</t>
        </is>
      </c>
      <c r="K748" s="2" t="inlineStr">
        <is>
          <t>Yes</t>
        </is>
      </c>
      <c r="L748" s="9" t="n">
        <v>0.02</v>
      </c>
      <c r="M748" s="2" t="inlineStr">
        <is>
          <t>Received</t>
        </is>
      </c>
      <c r="N748" s="2" t="inlineStr">
        <is>
          <t>Approved</t>
        </is>
      </c>
      <c r="O748" s="2" t="n"/>
      <c r="P748" s="2" t="n"/>
      <c r="Q748" s="2" t="n"/>
      <c r="R748" s="2" t="n"/>
    </row>
    <row r="749">
      <c r="A749" s="2" t="inlineStr">
        <is>
          <t>INV00746</t>
        </is>
      </c>
      <c r="B749" s="7" t="n">
        <v>46339</v>
      </c>
      <c r="C749" s="2" t="inlineStr">
        <is>
          <t>Amazon Web Services</t>
        </is>
      </c>
      <c r="D749" s="2" t="inlineStr">
        <is>
          <t>Sales</t>
        </is>
      </c>
      <c r="E749" s="2" t="inlineStr">
        <is>
          <t>Office Supplies</t>
        </is>
      </c>
      <c r="F749" s="8" t="n">
        <v>183100</v>
      </c>
      <c r="G749" s="2" t="n">
        <v>30</v>
      </c>
      <c r="H749" s="7" t="n">
        <v>46369</v>
      </c>
      <c r="I749" s="7" t="n">
        <v>46369</v>
      </c>
      <c r="J749" s="2" t="inlineStr">
        <is>
          <t>Paid</t>
        </is>
      </c>
      <c r="K749" s="2" t="inlineStr">
        <is>
          <t>No</t>
        </is>
      </c>
      <c r="L749" s="9" t="n">
        <v>0</v>
      </c>
      <c r="M749" s="2" t="inlineStr">
        <is>
          <t>Received</t>
        </is>
      </c>
      <c r="N749" s="2" t="inlineStr">
        <is>
          <t>Approved</t>
        </is>
      </c>
      <c r="O749" s="2" t="n"/>
      <c r="P749" s="2" t="n"/>
      <c r="Q749" s="2" t="n"/>
      <c r="R749" s="2" t="n"/>
    </row>
    <row r="750">
      <c r="A750" s="2" t="inlineStr">
        <is>
          <t>INV00747</t>
        </is>
      </c>
      <c r="B750" s="7" t="n">
        <v>46027</v>
      </c>
      <c r="C750" s="2" t="inlineStr">
        <is>
          <t>TCS</t>
        </is>
      </c>
      <c r="D750" s="2" t="inlineStr">
        <is>
          <t>IT</t>
        </is>
      </c>
      <c r="E750" s="2" t="inlineStr">
        <is>
          <t>Consulting</t>
        </is>
      </c>
      <c r="F750" s="8" t="n">
        <v>235000</v>
      </c>
      <c r="G750" s="2" t="n">
        <v>30</v>
      </c>
      <c r="H750" s="7" t="n">
        <v>46057</v>
      </c>
      <c r="I750" s="2" t="n"/>
      <c r="J750" s="2" t="inlineStr">
        <is>
          <t>Pending</t>
        </is>
      </c>
      <c r="K750" s="2" t="inlineStr">
        <is>
          <t>Yes</t>
        </is>
      </c>
      <c r="L750" s="9" t="n">
        <v>0.02</v>
      </c>
      <c r="M750" s="2" t="inlineStr">
        <is>
          <t>Received</t>
        </is>
      </c>
      <c r="N750" s="2" t="inlineStr">
        <is>
          <t>Approved</t>
        </is>
      </c>
      <c r="O750" s="2" t="n"/>
      <c r="P750" s="2" t="n"/>
      <c r="Q750" s="2" t="n"/>
      <c r="R750" s="2" t="n"/>
    </row>
    <row r="751">
      <c r="A751" s="2" t="inlineStr">
        <is>
          <t>INV00748</t>
        </is>
      </c>
      <c r="B751" s="7" t="n">
        <v>46359</v>
      </c>
      <c r="C751" s="2" t="inlineStr">
        <is>
          <t>TCS</t>
        </is>
      </c>
      <c r="D751" s="2" t="inlineStr">
        <is>
          <t>Finance</t>
        </is>
      </c>
      <c r="E751" s="2" t="inlineStr">
        <is>
          <t>Professional Services</t>
        </is>
      </c>
      <c r="F751" s="8" t="n">
        <v>480500</v>
      </c>
      <c r="G751" s="2" t="n">
        <v>60</v>
      </c>
      <c r="H751" s="7" t="n">
        <v>46419</v>
      </c>
      <c r="I751" s="7" t="n">
        <v>46419</v>
      </c>
      <c r="J751" s="2" t="inlineStr">
        <is>
          <t>Paid</t>
        </is>
      </c>
      <c r="K751" s="2" t="inlineStr">
        <is>
          <t>No</t>
        </is>
      </c>
      <c r="L751" s="9" t="n">
        <v>0</v>
      </c>
      <c r="M751" s="2" t="inlineStr">
        <is>
          <t>Received</t>
        </is>
      </c>
      <c r="N751" s="2" t="inlineStr">
        <is>
          <t>Approved</t>
        </is>
      </c>
      <c r="O751" s="2" t="n"/>
      <c r="P751" s="2" t="n"/>
      <c r="Q751" s="2" t="n"/>
      <c r="R751" s="2" t="n"/>
    </row>
    <row r="752">
      <c r="A752" s="2" t="inlineStr">
        <is>
          <t>INV00749</t>
        </is>
      </c>
      <c r="B752" s="7" t="n">
        <v>46026</v>
      </c>
      <c r="C752" s="2" t="inlineStr">
        <is>
          <t>Google Cloud</t>
        </is>
      </c>
      <c r="D752" s="2" t="inlineStr">
        <is>
          <t>HR</t>
        </is>
      </c>
      <c r="E752" s="2" t="inlineStr">
        <is>
          <t>Software</t>
        </is>
      </c>
      <c r="F752" s="8" t="n">
        <v>39700</v>
      </c>
      <c r="G752" s="2" t="n">
        <v>60</v>
      </c>
      <c r="H752" s="7" t="n">
        <v>46086</v>
      </c>
      <c r="I752" s="7" t="n">
        <v>46086</v>
      </c>
      <c r="J752" s="2" t="inlineStr">
        <is>
          <t>Paid</t>
        </is>
      </c>
      <c r="K752" s="2" t="inlineStr">
        <is>
          <t>No</t>
        </is>
      </c>
      <c r="L752" s="9" t="n">
        <v>0</v>
      </c>
      <c r="M752" s="2" t="inlineStr">
        <is>
          <t>Received</t>
        </is>
      </c>
      <c r="N752" s="2" t="inlineStr">
        <is>
          <t>Pending</t>
        </is>
      </c>
      <c r="O752" s="2" t="n"/>
      <c r="P752" s="2" t="n"/>
      <c r="Q752" s="2" t="n"/>
      <c r="R752" s="2" t="n"/>
    </row>
    <row r="753">
      <c r="A753" s="2" t="inlineStr">
        <is>
          <t>INV00750</t>
        </is>
      </c>
      <c r="B753" s="7" t="n">
        <v>46339</v>
      </c>
      <c r="C753" s="2" t="inlineStr">
        <is>
          <t>SAP</t>
        </is>
      </c>
      <c r="D753" s="2" t="inlineStr">
        <is>
          <t>Sales</t>
        </is>
      </c>
      <c r="E753" s="2" t="inlineStr">
        <is>
          <t>Facilities</t>
        </is>
      </c>
      <c r="F753" s="8" t="n">
        <v>125500</v>
      </c>
      <c r="G753" s="2" t="n">
        <v>15</v>
      </c>
      <c r="H753" s="7" t="n">
        <v>46354</v>
      </c>
      <c r="I753" s="7" t="n">
        <v>46444</v>
      </c>
      <c r="J753" s="2" t="inlineStr">
        <is>
          <t>Paid</t>
        </is>
      </c>
      <c r="K753" s="2" t="inlineStr">
        <is>
          <t>No</t>
        </is>
      </c>
      <c r="L753" s="9" t="n">
        <v>0</v>
      </c>
      <c r="M753" s="2" t="inlineStr">
        <is>
          <t>Received</t>
        </is>
      </c>
      <c r="N753" s="2" t="inlineStr">
        <is>
          <t>Approved</t>
        </is>
      </c>
      <c r="O753" s="2" t="n"/>
      <c r="P753" s="2" t="n"/>
      <c r="Q753" s="2" t="n"/>
      <c r="R753" s="2" t="n"/>
    </row>
    <row r="754">
      <c r="A754" s="2" t="inlineStr">
        <is>
          <t>INV00751</t>
        </is>
      </c>
      <c r="B754" s="7" t="n">
        <v>46055</v>
      </c>
      <c r="C754" s="2" t="inlineStr">
        <is>
          <t>Accenture</t>
        </is>
      </c>
      <c r="D754" s="2" t="inlineStr">
        <is>
          <t>Finance</t>
        </is>
      </c>
      <c r="E754" s="2" t="inlineStr">
        <is>
          <t>Cloud</t>
        </is>
      </c>
      <c r="F754" s="8" t="n">
        <v>699700</v>
      </c>
      <c r="G754" s="2" t="n">
        <v>60</v>
      </c>
      <c r="H754" s="7" t="n">
        <v>46115</v>
      </c>
      <c r="I754" s="7" t="n">
        <v>46120</v>
      </c>
      <c r="J754" s="2" t="inlineStr">
        <is>
          <t>Paid</t>
        </is>
      </c>
      <c r="K754" s="2" t="inlineStr">
        <is>
          <t>Yes</t>
        </is>
      </c>
      <c r="L754" s="9" t="n">
        <v>0.02</v>
      </c>
      <c r="M754" s="2" t="inlineStr">
        <is>
          <t>Received</t>
        </is>
      </c>
      <c r="N754" s="2" t="inlineStr">
        <is>
          <t>Approved</t>
        </is>
      </c>
      <c r="O754" s="2" t="n"/>
      <c r="P754" s="2" t="n"/>
      <c r="Q754" s="2" t="n"/>
      <c r="R754" s="2" t="n"/>
    </row>
    <row r="755">
      <c r="A755" s="2" t="inlineStr">
        <is>
          <t>INV00752</t>
        </is>
      </c>
      <c r="B755" s="7" t="n">
        <v>46062</v>
      </c>
      <c r="C755" s="2" t="inlineStr">
        <is>
          <t>Zoho</t>
        </is>
      </c>
      <c r="D755" s="2" t="inlineStr">
        <is>
          <t>Operations</t>
        </is>
      </c>
      <c r="E755" s="2" t="inlineStr">
        <is>
          <t>Travel</t>
        </is>
      </c>
      <c r="F755" s="8" t="n">
        <v>233600</v>
      </c>
      <c r="G755" s="2" t="n">
        <v>45</v>
      </c>
      <c r="H755" s="7" t="n">
        <v>46107</v>
      </c>
      <c r="I755" s="2" t="n"/>
      <c r="J755" s="2" t="inlineStr">
        <is>
          <t>Pending</t>
        </is>
      </c>
      <c r="K755" s="2" t="inlineStr">
        <is>
          <t>No</t>
        </is>
      </c>
      <c r="L755" s="9" t="n">
        <v>0</v>
      </c>
      <c r="M755" s="2" t="inlineStr">
        <is>
          <t>Pending</t>
        </is>
      </c>
      <c r="N755" s="2" t="inlineStr">
        <is>
          <t>Approved</t>
        </is>
      </c>
      <c r="O755" s="2" t="n"/>
      <c r="P755" s="2" t="n"/>
      <c r="Q755" s="2" t="n"/>
      <c r="R755" s="2" t="n"/>
    </row>
    <row r="756">
      <c r="A756" s="2" t="inlineStr">
        <is>
          <t>INV00753</t>
        </is>
      </c>
      <c r="B756" s="7" t="n">
        <v>46092</v>
      </c>
      <c r="C756" s="2" t="inlineStr">
        <is>
          <t>Deloitte</t>
        </is>
      </c>
      <c r="D756" s="2" t="inlineStr">
        <is>
          <t>Operations</t>
        </is>
      </c>
      <c r="E756" s="2" t="inlineStr">
        <is>
          <t>Professional Services</t>
        </is>
      </c>
      <c r="F756" s="8" t="n">
        <v>334900</v>
      </c>
      <c r="G756" s="2" t="n">
        <v>60</v>
      </c>
      <c r="H756" s="7" t="n">
        <v>46152</v>
      </c>
      <c r="I756" s="2" t="n"/>
      <c r="J756" s="2" t="inlineStr">
        <is>
          <t>Pending</t>
        </is>
      </c>
      <c r="K756" s="2" t="inlineStr">
        <is>
          <t>Yes</t>
        </is>
      </c>
      <c r="L756" s="9" t="n">
        <v>0.02</v>
      </c>
      <c r="M756" s="2" t="inlineStr">
        <is>
          <t>Received</t>
        </is>
      </c>
      <c r="N756" s="2" t="inlineStr">
        <is>
          <t>Pending</t>
        </is>
      </c>
      <c r="O756" s="2" t="n"/>
      <c r="P756" s="2" t="n"/>
      <c r="Q756" s="2" t="n"/>
      <c r="R756" s="2" t="n"/>
    </row>
    <row r="757">
      <c r="A757" s="2" t="inlineStr">
        <is>
          <t>INV00754</t>
        </is>
      </c>
      <c r="B757" s="7" t="n">
        <v>46106</v>
      </c>
      <c r="C757" s="2" t="inlineStr">
        <is>
          <t>Adobe</t>
        </is>
      </c>
      <c r="D757" s="2" t="inlineStr">
        <is>
          <t>HR</t>
        </is>
      </c>
      <c r="E757" s="2" t="inlineStr">
        <is>
          <t>Consulting</t>
        </is>
      </c>
      <c r="F757" s="8" t="n">
        <v>770100</v>
      </c>
      <c r="G757" s="2" t="n">
        <v>60</v>
      </c>
      <c r="H757" s="7" t="n">
        <v>46166</v>
      </c>
      <c r="I757" s="7" t="n">
        <v>46171</v>
      </c>
      <c r="J757" s="2" t="inlineStr">
        <is>
          <t>Paid</t>
        </is>
      </c>
      <c r="K757" s="2" t="inlineStr">
        <is>
          <t>Yes</t>
        </is>
      </c>
      <c r="L757" s="9" t="n">
        <v>0.02</v>
      </c>
      <c r="M757" s="2" t="inlineStr">
        <is>
          <t>Pending</t>
        </is>
      </c>
      <c r="N757" s="2" t="inlineStr">
        <is>
          <t>Pending</t>
        </is>
      </c>
      <c r="O757" s="2" t="n"/>
      <c r="P757" s="2" t="n"/>
      <c r="Q757" s="2" t="n"/>
      <c r="R757" s="2" t="n"/>
    </row>
    <row r="758">
      <c r="A758" s="2" t="inlineStr">
        <is>
          <t>INV00755</t>
        </is>
      </c>
      <c r="B758" s="7" t="n">
        <v>46217</v>
      </c>
      <c r="C758" s="2" t="inlineStr">
        <is>
          <t>Google Cloud</t>
        </is>
      </c>
      <c r="D758" s="2" t="inlineStr">
        <is>
          <t>Operations</t>
        </is>
      </c>
      <c r="E758" s="2" t="inlineStr">
        <is>
          <t>Office Supplies</t>
        </is>
      </c>
      <c r="F758" s="8" t="n">
        <v>866100</v>
      </c>
      <c r="G758" s="2" t="n">
        <v>60</v>
      </c>
      <c r="H758" s="7" t="n">
        <v>46277</v>
      </c>
      <c r="I758" s="7" t="n">
        <v>46292</v>
      </c>
      <c r="J758" s="2" t="inlineStr">
        <is>
          <t>Paid</t>
        </is>
      </c>
      <c r="K758" s="2" t="inlineStr">
        <is>
          <t>No</t>
        </is>
      </c>
      <c r="L758" s="9" t="n">
        <v>0</v>
      </c>
      <c r="M758" s="2" t="inlineStr">
        <is>
          <t>Received</t>
        </is>
      </c>
      <c r="N758" s="2" t="inlineStr">
        <is>
          <t>Approved</t>
        </is>
      </c>
      <c r="O758" s="2" t="n"/>
      <c r="P758" s="2" t="n"/>
      <c r="Q758" s="2" t="n"/>
      <c r="R758" s="2" t="n"/>
    </row>
    <row r="759">
      <c r="A759" s="2" t="inlineStr">
        <is>
          <t>INV00756</t>
        </is>
      </c>
      <c r="B759" s="7" t="n">
        <v>46135</v>
      </c>
      <c r="C759" s="2" t="inlineStr">
        <is>
          <t>Amazon Web Services</t>
        </is>
      </c>
      <c r="D759" s="2" t="inlineStr">
        <is>
          <t>Finance</t>
        </is>
      </c>
      <c r="E759" s="2" t="inlineStr">
        <is>
          <t>Consulting</t>
        </is>
      </c>
      <c r="F759" s="8" t="n">
        <v>887900</v>
      </c>
      <c r="G759" s="2" t="n">
        <v>15</v>
      </c>
      <c r="H759" s="7" t="n">
        <v>46150</v>
      </c>
      <c r="I759" s="7" t="n">
        <v>46240</v>
      </c>
      <c r="J759" s="2" t="inlineStr">
        <is>
          <t>Paid</t>
        </is>
      </c>
      <c r="K759" s="2" t="inlineStr">
        <is>
          <t>No</t>
        </is>
      </c>
      <c r="L759" s="9" t="n">
        <v>0</v>
      </c>
      <c r="M759" s="2" t="inlineStr">
        <is>
          <t>Received</t>
        </is>
      </c>
      <c r="N759" s="2" t="inlineStr">
        <is>
          <t>Approved</t>
        </is>
      </c>
      <c r="O759" s="2" t="n"/>
      <c r="P759" s="2" t="n"/>
      <c r="Q759" s="2" t="n"/>
      <c r="R759" s="2" t="n"/>
    </row>
    <row r="760">
      <c r="A760" s="2" t="inlineStr">
        <is>
          <t>INV00757</t>
        </is>
      </c>
      <c r="B760" s="7" t="n">
        <v>46091</v>
      </c>
      <c r="C760" s="2" t="inlineStr">
        <is>
          <t>IBM</t>
        </is>
      </c>
      <c r="D760" s="2" t="inlineStr">
        <is>
          <t>Finance</t>
        </is>
      </c>
      <c r="E760" s="2" t="inlineStr">
        <is>
          <t>Facilities</t>
        </is>
      </c>
      <c r="F760" s="8" t="n">
        <v>64400</v>
      </c>
      <c r="G760" s="2" t="n">
        <v>60</v>
      </c>
      <c r="H760" s="7" t="n">
        <v>46151</v>
      </c>
      <c r="I760" s="2" t="n"/>
      <c r="J760" s="2" t="inlineStr">
        <is>
          <t>Pending</t>
        </is>
      </c>
      <c r="K760" s="2" t="inlineStr">
        <is>
          <t>Yes</t>
        </is>
      </c>
      <c r="L760" s="9" t="n">
        <v>0.02</v>
      </c>
      <c r="M760" s="2" t="inlineStr">
        <is>
          <t>Received</t>
        </is>
      </c>
      <c r="N760" s="2" t="inlineStr">
        <is>
          <t>Approved</t>
        </is>
      </c>
      <c r="O760" s="2" t="n"/>
      <c r="P760" s="2" t="n"/>
      <c r="Q760" s="2" t="n"/>
      <c r="R760" s="2" t="n"/>
    </row>
    <row r="761">
      <c r="A761" s="2" t="inlineStr">
        <is>
          <t>INV00758</t>
        </is>
      </c>
      <c r="B761" s="7" t="n">
        <v>46357</v>
      </c>
      <c r="C761" s="2" t="inlineStr">
        <is>
          <t>Wipro</t>
        </is>
      </c>
      <c r="D761" s="2" t="inlineStr">
        <is>
          <t>Operations</t>
        </is>
      </c>
      <c r="E761" s="2" t="inlineStr">
        <is>
          <t>Consulting</t>
        </is>
      </c>
      <c r="F761" s="8" t="n">
        <v>176800</v>
      </c>
      <c r="G761" s="2" t="n">
        <v>15</v>
      </c>
      <c r="H761" s="7" t="n">
        <v>46372</v>
      </c>
      <c r="I761" s="7" t="n">
        <v>46377</v>
      </c>
      <c r="J761" s="2" t="inlineStr">
        <is>
          <t>Paid</t>
        </is>
      </c>
      <c r="K761" s="2" t="inlineStr">
        <is>
          <t>Yes</t>
        </is>
      </c>
      <c r="L761" s="9" t="n">
        <v>0.02</v>
      </c>
      <c r="M761" s="2" t="inlineStr">
        <is>
          <t>Received</t>
        </is>
      </c>
      <c r="N761" s="2" t="inlineStr">
        <is>
          <t>Approved</t>
        </is>
      </c>
      <c r="O761" s="2" t="n"/>
      <c r="P761" s="2" t="n"/>
      <c r="Q761" s="2" t="n"/>
      <c r="R761" s="2" t="n"/>
    </row>
    <row r="762">
      <c r="A762" s="2" t="inlineStr">
        <is>
          <t>INV00759</t>
        </is>
      </c>
      <c r="B762" s="7" t="n">
        <v>46115</v>
      </c>
      <c r="C762" s="2" t="inlineStr">
        <is>
          <t>Microsoft</t>
        </is>
      </c>
      <c r="D762" s="2" t="inlineStr">
        <is>
          <t>Marketing</t>
        </is>
      </c>
      <c r="E762" s="2" t="inlineStr">
        <is>
          <t>Facilities</t>
        </is>
      </c>
      <c r="F762" s="8" t="n">
        <v>41700</v>
      </c>
      <c r="G762" s="2" t="n">
        <v>60</v>
      </c>
      <c r="H762" s="7" t="n">
        <v>46175</v>
      </c>
      <c r="I762" s="2" t="n"/>
      <c r="J762" s="2" t="inlineStr">
        <is>
          <t>Pending</t>
        </is>
      </c>
      <c r="K762" s="2" t="inlineStr">
        <is>
          <t>No</t>
        </is>
      </c>
      <c r="L762" s="9" t="n">
        <v>0</v>
      </c>
      <c r="M762" s="2" t="inlineStr">
        <is>
          <t>Received</t>
        </is>
      </c>
      <c r="N762" s="2" t="inlineStr">
        <is>
          <t>Approved</t>
        </is>
      </c>
      <c r="O762" s="2" t="n"/>
      <c r="P762" s="2" t="n"/>
      <c r="Q762" s="2" t="n"/>
      <c r="R762" s="2" t="n"/>
    </row>
    <row r="763">
      <c r="A763" s="2" t="inlineStr">
        <is>
          <t>INV00760</t>
        </is>
      </c>
      <c r="B763" s="7" t="n">
        <v>46188</v>
      </c>
      <c r="C763" s="2" t="inlineStr">
        <is>
          <t>Cognizant</t>
        </is>
      </c>
      <c r="D763" s="2" t="inlineStr">
        <is>
          <t>Sales</t>
        </is>
      </c>
      <c r="E763" s="2" t="inlineStr">
        <is>
          <t>Travel</t>
        </is>
      </c>
      <c r="F763" s="8" t="n">
        <v>75300</v>
      </c>
      <c r="G763" s="2" t="n">
        <v>15</v>
      </c>
      <c r="H763" s="7" t="n">
        <v>46203</v>
      </c>
      <c r="I763" s="7" t="n">
        <v>46203</v>
      </c>
      <c r="J763" s="2" t="inlineStr">
        <is>
          <t>Paid</t>
        </is>
      </c>
      <c r="K763" s="2" t="inlineStr">
        <is>
          <t>Yes</t>
        </is>
      </c>
      <c r="L763" s="9" t="n">
        <v>0.02</v>
      </c>
      <c r="M763" s="2" t="inlineStr">
        <is>
          <t>Received</t>
        </is>
      </c>
      <c r="N763" s="2" t="inlineStr">
        <is>
          <t>Approved</t>
        </is>
      </c>
      <c r="O763" s="2" t="n"/>
      <c r="P763" s="2" t="n"/>
      <c r="Q763" s="2" t="n"/>
      <c r="R763" s="2" t="n"/>
    </row>
    <row r="764">
      <c r="A764" s="2" t="inlineStr">
        <is>
          <t>INV00761</t>
        </is>
      </c>
      <c r="B764" s="7" t="n">
        <v>46252</v>
      </c>
      <c r="C764" s="2" t="inlineStr">
        <is>
          <t>Wipro</t>
        </is>
      </c>
      <c r="D764" s="2" t="inlineStr">
        <is>
          <t>HR</t>
        </is>
      </c>
      <c r="E764" s="2" t="inlineStr">
        <is>
          <t>Office Supplies</t>
        </is>
      </c>
      <c r="F764" s="8" t="n">
        <v>178800</v>
      </c>
      <c r="G764" s="2" t="n">
        <v>45</v>
      </c>
      <c r="H764" s="7" t="n">
        <v>46297</v>
      </c>
      <c r="I764" s="7" t="n">
        <v>46297</v>
      </c>
      <c r="J764" s="2" t="inlineStr">
        <is>
          <t>Paid</t>
        </is>
      </c>
      <c r="K764" s="2" t="inlineStr">
        <is>
          <t>No</t>
        </is>
      </c>
      <c r="L764" s="9" t="n">
        <v>0</v>
      </c>
      <c r="M764" s="2" t="inlineStr">
        <is>
          <t>Pending</t>
        </is>
      </c>
      <c r="N764" s="2" t="inlineStr">
        <is>
          <t>Approved</t>
        </is>
      </c>
      <c r="O764" s="2" t="n"/>
      <c r="P764" s="2" t="n"/>
      <c r="Q764" s="2" t="n"/>
      <c r="R764" s="2" t="n"/>
    </row>
    <row r="765">
      <c r="A765" s="2" t="inlineStr">
        <is>
          <t>INV00762</t>
        </is>
      </c>
      <c r="B765" s="7" t="n">
        <v>46223</v>
      </c>
      <c r="C765" s="2" t="inlineStr">
        <is>
          <t>Microsoft</t>
        </is>
      </c>
      <c r="D765" s="2" t="inlineStr">
        <is>
          <t>Finance</t>
        </is>
      </c>
      <c r="E765" s="2" t="inlineStr">
        <is>
          <t>Professional Services</t>
        </is>
      </c>
      <c r="F765" s="8" t="n">
        <v>206500</v>
      </c>
      <c r="G765" s="2" t="n">
        <v>30</v>
      </c>
      <c r="H765" s="7" t="n">
        <v>46253</v>
      </c>
      <c r="I765" s="2" t="n"/>
      <c r="J765" s="2" t="inlineStr">
        <is>
          <t>Pending</t>
        </is>
      </c>
      <c r="K765" s="2" t="inlineStr">
        <is>
          <t>No</t>
        </is>
      </c>
      <c r="L765" s="9" t="n">
        <v>0</v>
      </c>
      <c r="M765" s="2" t="inlineStr">
        <is>
          <t>Received</t>
        </is>
      </c>
      <c r="N765" s="2" t="inlineStr">
        <is>
          <t>Approved</t>
        </is>
      </c>
      <c r="O765" s="2" t="n"/>
      <c r="P765" s="2" t="n"/>
      <c r="Q765" s="2" t="n"/>
      <c r="R765" s="2" t="n"/>
    </row>
    <row r="766">
      <c r="A766" s="2" t="inlineStr">
        <is>
          <t>INV00763</t>
        </is>
      </c>
      <c r="B766" s="7" t="n">
        <v>46209</v>
      </c>
      <c r="C766" s="2" t="inlineStr">
        <is>
          <t>Microsoft</t>
        </is>
      </c>
      <c r="D766" s="2" t="inlineStr">
        <is>
          <t>HR</t>
        </is>
      </c>
      <c r="E766" s="2" t="inlineStr">
        <is>
          <t>Travel</t>
        </is>
      </c>
      <c r="F766" s="8" t="n">
        <v>52700</v>
      </c>
      <c r="G766" s="2" t="n">
        <v>60</v>
      </c>
      <c r="H766" s="7" t="n">
        <v>46269</v>
      </c>
      <c r="I766" s="7" t="n">
        <v>46284</v>
      </c>
      <c r="J766" s="2" t="inlineStr">
        <is>
          <t>Paid</t>
        </is>
      </c>
      <c r="K766" s="2" t="inlineStr">
        <is>
          <t>Yes</t>
        </is>
      </c>
      <c r="L766" s="9" t="n">
        <v>0.02</v>
      </c>
      <c r="M766" s="2" t="inlineStr">
        <is>
          <t>Received</t>
        </is>
      </c>
      <c r="N766" s="2" t="inlineStr">
        <is>
          <t>Approved</t>
        </is>
      </c>
      <c r="O766" s="2" t="n"/>
      <c r="P766" s="2" t="n"/>
      <c r="Q766" s="2" t="n"/>
      <c r="R766" s="2" t="n"/>
    </row>
    <row r="767">
      <c r="A767" s="2" t="inlineStr">
        <is>
          <t>INV00764</t>
        </is>
      </c>
      <c r="B767" s="7" t="n">
        <v>46056</v>
      </c>
      <c r="C767" s="2" t="inlineStr">
        <is>
          <t>TCS</t>
        </is>
      </c>
      <c r="D767" s="2" t="inlineStr">
        <is>
          <t>Marketing</t>
        </is>
      </c>
      <c r="E767" s="2" t="inlineStr">
        <is>
          <t>Software</t>
        </is>
      </c>
      <c r="F767" s="8" t="n">
        <v>51000</v>
      </c>
      <c r="G767" s="2" t="n">
        <v>45</v>
      </c>
      <c r="H767" s="7" t="n">
        <v>46101</v>
      </c>
      <c r="I767" s="7" t="n">
        <v>46101</v>
      </c>
      <c r="J767" s="2" t="inlineStr">
        <is>
          <t>Paid</t>
        </is>
      </c>
      <c r="K767" s="2" t="inlineStr">
        <is>
          <t>No</t>
        </is>
      </c>
      <c r="L767" s="9" t="n">
        <v>0</v>
      </c>
      <c r="M767" s="2" t="inlineStr">
        <is>
          <t>Received</t>
        </is>
      </c>
      <c r="N767" s="2" t="inlineStr">
        <is>
          <t>Pending</t>
        </is>
      </c>
      <c r="O767" s="2" t="n"/>
      <c r="P767" s="2" t="n"/>
      <c r="Q767" s="2" t="n"/>
      <c r="R767" s="2" t="n"/>
    </row>
    <row r="768">
      <c r="A768" s="2" t="inlineStr">
        <is>
          <t>INV00765</t>
        </is>
      </c>
      <c r="B768" s="7" t="n">
        <v>46236</v>
      </c>
      <c r="C768" s="2" t="inlineStr">
        <is>
          <t>Microsoft</t>
        </is>
      </c>
      <c r="D768" s="2" t="inlineStr">
        <is>
          <t>HR</t>
        </is>
      </c>
      <c r="E768" s="2" t="inlineStr">
        <is>
          <t>Software</t>
        </is>
      </c>
      <c r="F768" s="8" t="n">
        <v>517500</v>
      </c>
      <c r="G768" s="2" t="n">
        <v>45</v>
      </c>
      <c r="H768" s="7" t="n">
        <v>46281</v>
      </c>
      <c r="I768" s="2" t="n"/>
      <c r="J768" s="2" t="inlineStr">
        <is>
          <t>Pending</t>
        </is>
      </c>
      <c r="K768" s="2" t="inlineStr">
        <is>
          <t>No</t>
        </is>
      </c>
      <c r="L768" s="9" t="n">
        <v>0</v>
      </c>
      <c r="M768" s="2" t="inlineStr">
        <is>
          <t>Received</t>
        </is>
      </c>
      <c r="N768" s="2" t="inlineStr">
        <is>
          <t>Approved</t>
        </is>
      </c>
      <c r="O768" s="2" t="n"/>
      <c r="P768" s="2" t="n"/>
      <c r="Q768" s="2" t="n"/>
      <c r="R768" s="2" t="n"/>
    </row>
    <row r="769">
      <c r="A769" s="2" t="inlineStr">
        <is>
          <t>INV00766</t>
        </is>
      </c>
      <c r="B769" s="7" t="n">
        <v>46178</v>
      </c>
      <c r="C769" s="2" t="inlineStr">
        <is>
          <t>Wipro</t>
        </is>
      </c>
      <c r="D769" s="2" t="inlineStr">
        <is>
          <t>Sales</t>
        </is>
      </c>
      <c r="E769" s="2" t="inlineStr">
        <is>
          <t>Software</t>
        </is>
      </c>
      <c r="F769" s="8" t="n">
        <v>104800</v>
      </c>
      <c r="G769" s="2" t="n">
        <v>45</v>
      </c>
      <c r="H769" s="7" t="n">
        <v>46223</v>
      </c>
      <c r="I769" s="7" t="n">
        <v>46238</v>
      </c>
      <c r="J769" s="2" t="inlineStr">
        <is>
          <t>Paid</t>
        </is>
      </c>
      <c r="K769" s="2" t="inlineStr">
        <is>
          <t>Yes</t>
        </is>
      </c>
      <c r="L769" s="9" t="n">
        <v>0.02</v>
      </c>
      <c r="M769" s="2" t="inlineStr">
        <is>
          <t>Received</t>
        </is>
      </c>
      <c r="N769" s="2" t="inlineStr">
        <is>
          <t>Approved</t>
        </is>
      </c>
      <c r="O769" s="2" t="n"/>
      <c r="P769" s="2" t="n"/>
      <c r="Q769" s="2" t="n"/>
      <c r="R769" s="2" t="n"/>
    </row>
    <row r="770">
      <c r="A770" s="2" t="inlineStr">
        <is>
          <t>INV00767</t>
        </is>
      </c>
      <c r="B770" s="7" t="n">
        <v>46032</v>
      </c>
      <c r="C770" s="2" t="inlineStr">
        <is>
          <t>Deloitte</t>
        </is>
      </c>
      <c r="D770" s="2" t="inlineStr">
        <is>
          <t>Finance</t>
        </is>
      </c>
      <c r="E770" s="2" t="inlineStr">
        <is>
          <t>Travel</t>
        </is>
      </c>
      <c r="F770" s="8" t="n">
        <v>24300</v>
      </c>
      <c r="G770" s="2" t="n">
        <v>60</v>
      </c>
      <c r="H770" s="7" t="n">
        <v>46092</v>
      </c>
      <c r="I770" s="2" t="n"/>
      <c r="J770" s="2" t="inlineStr">
        <is>
          <t>Pending</t>
        </is>
      </c>
      <c r="K770" s="2" t="inlineStr">
        <is>
          <t>No</t>
        </is>
      </c>
      <c r="L770" s="9" t="n">
        <v>0</v>
      </c>
      <c r="M770" s="2" t="inlineStr">
        <is>
          <t>Received</t>
        </is>
      </c>
      <c r="N770" s="2" t="inlineStr">
        <is>
          <t>Approved</t>
        </is>
      </c>
      <c r="O770" s="2" t="n"/>
      <c r="P770" s="2" t="n"/>
      <c r="Q770" s="2" t="n"/>
      <c r="R770" s="2" t="n"/>
    </row>
    <row r="771">
      <c r="A771" s="2" t="inlineStr">
        <is>
          <t>INV00768</t>
        </is>
      </c>
      <c r="B771" s="7" t="n">
        <v>46098</v>
      </c>
      <c r="C771" s="2" t="inlineStr">
        <is>
          <t>Google Cloud</t>
        </is>
      </c>
      <c r="D771" s="2" t="inlineStr">
        <is>
          <t>Sales</t>
        </is>
      </c>
      <c r="E771" s="2" t="inlineStr">
        <is>
          <t>Office Supplies</t>
        </is>
      </c>
      <c r="F771" s="8" t="n">
        <v>348400</v>
      </c>
      <c r="G771" s="2" t="n">
        <v>45</v>
      </c>
      <c r="H771" s="7" t="n">
        <v>46143</v>
      </c>
      <c r="I771" s="7" t="n">
        <v>46173</v>
      </c>
      <c r="J771" s="2" t="inlineStr">
        <is>
          <t>Paid</t>
        </is>
      </c>
      <c r="K771" s="2" t="inlineStr">
        <is>
          <t>No</t>
        </is>
      </c>
      <c r="L771" s="9" t="n">
        <v>0</v>
      </c>
      <c r="M771" s="2" t="inlineStr">
        <is>
          <t>Pending</t>
        </is>
      </c>
      <c r="N771" s="2" t="inlineStr">
        <is>
          <t>Approved</t>
        </is>
      </c>
      <c r="O771" s="2" t="n"/>
      <c r="P771" s="2" t="n"/>
      <c r="Q771" s="2" t="n"/>
      <c r="R771" s="2" t="n"/>
    </row>
    <row r="772">
      <c r="A772" s="2" t="inlineStr">
        <is>
          <t>INV00769</t>
        </is>
      </c>
      <c r="B772" s="7" t="n">
        <v>46211</v>
      </c>
      <c r="C772" s="2" t="inlineStr">
        <is>
          <t>TCS</t>
        </is>
      </c>
      <c r="D772" s="2" t="inlineStr">
        <is>
          <t>Marketing</t>
        </is>
      </c>
      <c r="E772" s="2" t="inlineStr">
        <is>
          <t>Office Supplies</t>
        </is>
      </c>
      <c r="F772" s="8" t="n">
        <v>675200</v>
      </c>
      <c r="G772" s="2" t="n">
        <v>15</v>
      </c>
      <c r="H772" s="7" t="n">
        <v>46226</v>
      </c>
      <c r="I772" s="7" t="n">
        <v>46226</v>
      </c>
      <c r="J772" s="2" t="inlineStr">
        <is>
          <t>Paid</t>
        </is>
      </c>
      <c r="K772" s="2" t="inlineStr">
        <is>
          <t>No</t>
        </is>
      </c>
      <c r="L772" s="9" t="n">
        <v>0</v>
      </c>
      <c r="M772" s="2" t="inlineStr">
        <is>
          <t>Received</t>
        </is>
      </c>
      <c r="N772" s="2" t="inlineStr">
        <is>
          <t>Approved</t>
        </is>
      </c>
      <c r="O772" s="2" t="n"/>
      <c r="P772" s="2" t="n"/>
      <c r="Q772" s="2" t="n"/>
      <c r="R772" s="2" t="n"/>
    </row>
    <row r="773">
      <c r="A773" s="2" t="inlineStr">
        <is>
          <t>INV00770</t>
        </is>
      </c>
      <c r="B773" s="7" t="n">
        <v>46069</v>
      </c>
      <c r="C773" s="2" t="inlineStr">
        <is>
          <t>Amazon Web Services</t>
        </is>
      </c>
      <c r="D773" s="2" t="inlineStr">
        <is>
          <t>Operations</t>
        </is>
      </c>
      <c r="E773" s="2" t="inlineStr">
        <is>
          <t>Consulting</t>
        </is>
      </c>
      <c r="F773" s="8" t="n">
        <v>371100</v>
      </c>
      <c r="G773" s="2" t="n">
        <v>30</v>
      </c>
      <c r="H773" s="7" t="n">
        <v>46099</v>
      </c>
      <c r="I773" s="7" t="n">
        <v>46099</v>
      </c>
      <c r="J773" s="2" t="inlineStr">
        <is>
          <t>Paid</t>
        </is>
      </c>
      <c r="K773" s="2" t="inlineStr">
        <is>
          <t>Yes</t>
        </is>
      </c>
      <c r="L773" s="9" t="n">
        <v>0.02</v>
      </c>
      <c r="M773" s="2" t="inlineStr">
        <is>
          <t>Received</t>
        </is>
      </c>
      <c r="N773" s="2" t="inlineStr">
        <is>
          <t>Approved</t>
        </is>
      </c>
      <c r="O773" s="2" t="n"/>
      <c r="P773" s="2" t="n"/>
      <c r="Q773" s="2" t="n"/>
      <c r="R773" s="2" t="n"/>
    </row>
    <row r="774">
      <c r="A774" s="2" t="inlineStr">
        <is>
          <t>INV00771</t>
        </is>
      </c>
      <c r="B774" s="7" t="n">
        <v>46243</v>
      </c>
      <c r="C774" s="2" t="inlineStr">
        <is>
          <t>Cognizant</t>
        </is>
      </c>
      <c r="D774" s="2" t="inlineStr">
        <is>
          <t>Operations</t>
        </is>
      </c>
      <c r="E774" s="2" t="inlineStr">
        <is>
          <t>Travel</t>
        </is>
      </c>
      <c r="F774" s="8" t="n">
        <v>978800</v>
      </c>
      <c r="G774" s="2" t="n">
        <v>30</v>
      </c>
      <c r="H774" s="7" t="n">
        <v>46273</v>
      </c>
      <c r="I774" s="7" t="n">
        <v>46303</v>
      </c>
      <c r="J774" s="2" t="inlineStr">
        <is>
          <t>Paid</t>
        </is>
      </c>
      <c r="K774" s="2" t="inlineStr">
        <is>
          <t>No</t>
        </is>
      </c>
      <c r="L774" s="9" t="n">
        <v>0</v>
      </c>
      <c r="M774" s="2" t="inlineStr">
        <is>
          <t>Received</t>
        </is>
      </c>
      <c r="N774" s="2" t="inlineStr">
        <is>
          <t>Pending</t>
        </is>
      </c>
      <c r="O774" s="2" t="n"/>
      <c r="P774" s="2" t="n"/>
      <c r="Q774" s="2" t="n"/>
      <c r="R774" s="2" t="n"/>
    </row>
    <row r="775">
      <c r="A775" s="2" t="inlineStr">
        <is>
          <t>INV00772</t>
        </is>
      </c>
      <c r="B775" s="7" t="n">
        <v>46096</v>
      </c>
      <c r="C775" s="2" t="inlineStr">
        <is>
          <t>Oracle</t>
        </is>
      </c>
      <c r="D775" s="2" t="inlineStr">
        <is>
          <t>Marketing</t>
        </is>
      </c>
      <c r="E775" s="2" t="inlineStr">
        <is>
          <t>Facilities</t>
        </is>
      </c>
      <c r="F775" s="8" t="n">
        <v>761700</v>
      </c>
      <c r="G775" s="2" t="n">
        <v>45</v>
      </c>
      <c r="H775" s="7" t="n">
        <v>46141</v>
      </c>
      <c r="I775" s="7" t="n">
        <v>46171</v>
      </c>
      <c r="J775" s="2" t="inlineStr">
        <is>
          <t>Paid</t>
        </is>
      </c>
      <c r="K775" s="2" t="inlineStr">
        <is>
          <t>No</t>
        </is>
      </c>
      <c r="L775" s="9" t="n">
        <v>0</v>
      </c>
      <c r="M775" s="2" t="inlineStr">
        <is>
          <t>Received</t>
        </is>
      </c>
      <c r="N775" s="2" t="inlineStr">
        <is>
          <t>Approved</t>
        </is>
      </c>
      <c r="O775" s="2" t="n"/>
      <c r="P775" s="2" t="n"/>
      <c r="Q775" s="2" t="n"/>
      <c r="R775" s="2" t="n"/>
    </row>
    <row r="776">
      <c r="A776" s="2" t="inlineStr">
        <is>
          <t>INV00773</t>
        </is>
      </c>
      <c r="B776" s="7" t="n">
        <v>46382</v>
      </c>
      <c r="C776" s="2" t="inlineStr">
        <is>
          <t>TCS</t>
        </is>
      </c>
      <c r="D776" s="2" t="inlineStr">
        <is>
          <t>Sales</t>
        </is>
      </c>
      <c r="E776" s="2" t="inlineStr">
        <is>
          <t>Facilities</t>
        </is>
      </c>
      <c r="F776" s="8" t="n">
        <v>329000</v>
      </c>
      <c r="G776" s="2" t="n">
        <v>15</v>
      </c>
      <c r="H776" s="7" t="n">
        <v>46397</v>
      </c>
      <c r="I776" s="7" t="n">
        <v>46397</v>
      </c>
      <c r="J776" s="2" t="inlineStr">
        <is>
          <t>Paid</t>
        </is>
      </c>
      <c r="K776" s="2" t="inlineStr">
        <is>
          <t>Yes</t>
        </is>
      </c>
      <c r="L776" s="9" t="n">
        <v>0.02</v>
      </c>
      <c r="M776" s="2" t="inlineStr">
        <is>
          <t>Received</t>
        </is>
      </c>
      <c r="N776" s="2" t="inlineStr">
        <is>
          <t>Approved</t>
        </is>
      </c>
      <c r="O776" s="2" t="n"/>
      <c r="P776" s="2" t="n"/>
      <c r="Q776" s="2" t="n"/>
      <c r="R776" s="2" t="n"/>
    </row>
    <row r="777">
      <c r="A777" s="2" t="inlineStr">
        <is>
          <t>INV00774</t>
        </is>
      </c>
      <c r="B777" s="7" t="n">
        <v>46065</v>
      </c>
      <c r="C777" s="2" t="inlineStr">
        <is>
          <t>IBM</t>
        </is>
      </c>
      <c r="D777" s="2" t="inlineStr">
        <is>
          <t>Operations</t>
        </is>
      </c>
      <c r="E777" s="2" t="inlineStr">
        <is>
          <t>Travel</t>
        </is>
      </c>
      <c r="F777" s="8" t="n">
        <v>31700</v>
      </c>
      <c r="G777" s="2" t="n">
        <v>60</v>
      </c>
      <c r="H777" s="7" t="n">
        <v>46125</v>
      </c>
      <c r="I777" s="2" t="n"/>
      <c r="J777" s="2" t="inlineStr">
        <is>
          <t>Pending</t>
        </is>
      </c>
      <c r="K777" s="2" t="inlineStr">
        <is>
          <t>No</t>
        </is>
      </c>
      <c r="L777" s="9" t="n">
        <v>0</v>
      </c>
      <c r="M777" s="2" t="inlineStr">
        <is>
          <t>Received</t>
        </is>
      </c>
      <c r="N777" s="2" t="inlineStr">
        <is>
          <t>Approved</t>
        </is>
      </c>
      <c r="O777" s="2" t="n"/>
      <c r="P777" s="2" t="n"/>
      <c r="Q777" s="2" t="n"/>
      <c r="R777" s="2" t="n"/>
    </row>
    <row r="778">
      <c r="A778" s="2" t="inlineStr">
        <is>
          <t>INV00775</t>
        </is>
      </c>
      <c r="B778" s="7" t="n">
        <v>46176</v>
      </c>
      <c r="C778" s="2" t="inlineStr">
        <is>
          <t>Oracle</t>
        </is>
      </c>
      <c r="D778" s="2" t="inlineStr">
        <is>
          <t>HR</t>
        </is>
      </c>
      <c r="E778" s="2" t="inlineStr">
        <is>
          <t>Office Supplies</t>
        </is>
      </c>
      <c r="F778" s="8" t="n">
        <v>57100</v>
      </c>
      <c r="G778" s="2" t="n">
        <v>60</v>
      </c>
      <c r="H778" s="7" t="n">
        <v>46236</v>
      </c>
      <c r="I778" s="7" t="n">
        <v>46236</v>
      </c>
      <c r="J778" s="2" t="inlineStr">
        <is>
          <t>Paid</t>
        </is>
      </c>
      <c r="K778" s="2" t="inlineStr">
        <is>
          <t>Yes</t>
        </is>
      </c>
      <c r="L778" s="9" t="n">
        <v>0.02</v>
      </c>
      <c r="M778" s="2" t="inlineStr">
        <is>
          <t>Received</t>
        </is>
      </c>
      <c r="N778" s="2" t="inlineStr">
        <is>
          <t>Approved</t>
        </is>
      </c>
      <c r="O778" s="2" t="n"/>
      <c r="P778" s="2" t="n"/>
      <c r="Q778" s="2" t="n"/>
      <c r="R778" s="2" t="n"/>
    </row>
    <row r="779">
      <c r="A779" s="2" t="inlineStr">
        <is>
          <t>INV00776</t>
        </is>
      </c>
      <c r="B779" s="7" t="n">
        <v>46192</v>
      </c>
      <c r="C779" s="2" t="inlineStr">
        <is>
          <t>Microsoft</t>
        </is>
      </c>
      <c r="D779" s="2" t="inlineStr">
        <is>
          <t>Marketing</t>
        </is>
      </c>
      <c r="E779" s="2" t="inlineStr">
        <is>
          <t>Facilities</t>
        </is>
      </c>
      <c r="F779" s="8" t="n">
        <v>856400</v>
      </c>
      <c r="G779" s="2" t="n">
        <v>60</v>
      </c>
      <c r="H779" s="7" t="n">
        <v>46252</v>
      </c>
      <c r="I779" s="2" t="n"/>
      <c r="J779" s="2" t="inlineStr">
        <is>
          <t>Pending</t>
        </is>
      </c>
      <c r="K779" s="2" t="inlineStr">
        <is>
          <t>Yes</t>
        </is>
      </c>
      <c r="L779" s="9" t="n">
        <v>0.02</v>
      </c>
      <c r="M779" s="2" t="inlineStr">
        <is>
          <t>Received</t>
        </is>
      </c>
      <c r="N779" s="2" t="inlineStr">
        <is>
          <t>Approved</t>
        </is>
      </c>
      <c r="O779" s="2" t="n"/>
      <c r="P779" s="2" t="n"/>
      <c r="Q779" s="2" t="n"/>
      <c r="R779" s="2" t="n"/>
    </row>
    <row r="780">
      <c r="A780" s="2" t="inlineStr">
        <is>
          <t>INV00777</t>
        </is>
      </c>
      <c r="B780" s="7" t="n">
        <v>46340</v>
      </c>
      <c r="C780" s="2" t="inlineStr">
        <is>
          <t>Infosys</t>
        </is>
      </c>
      <c r="D780" s="2" t="inlineStr">
        <is>
          <t>HR</t>
        </is>
      </c>
      <c r="E780" s="2" t="inlineStr">
        <is>
          <t>Travel</t>
        </is>
      </c>
      <c r="F780" s="8" t="n">
        <v>301900</v>
      </c>
      <c r="G780" s="2" t="n">
        <v>30</v>
      </c>
      <c r="H780" s="7" t="n">
        <v>46370</v>
      </c>
      <c r="I780" s="7" t="n">
        <v>46400</v>
      </c>
      <c r="J780" s="2" t="inlineStr">
        <is>
          <t>Paid</t>
        </is>
      </c>
      <c r="K780" s="2" t="inlineStr">
        <is>
          <t>No</t>
        </is>
      </c>
      <c r="L780" s="9" t="n">
        <v>0</v>
      </c>
      <c r="M780" s="2" t="inlineStr">
        <is>
          <t>Received</t>
        </is>
      </c>
      <c r="N780" s="2" t="inlineStr">
        <is>
          <t>Approved</t>
        </is>
      </c>
      <c r="O780" s="2" t="n"/>
      <c r="P780" s="2" t="n"/>
      <c r="Q780" s="2" t="n"/>
      <c r="R780" s="2" t="n"/>
    </row>
    <row r="781">
      <c r="A781" s="2" t="inlineStr">
        <is>
          <t>INV00778</t>
        </is>
      </c>
      <c r="B781" s="7" t="n">
        <v>46148</v>
      </c>
      <c r="C781" s="2" t="inlineStr">
        <is>
          <t>HCLTech</t>
        </is>
      </c>
      <c r="D781" s="2" t="inlineStr">
        <is>
          <t>IT</t>
        </is>
      </c>
      <c r="E781" s="2" t="inlineStr">
        <is>
          <t>Software</t>
        </is>
      </c>
      <c r="F781" s="8" t="n">
        <v>88800</v>
      </c>
      <c r="G781" s="2" t="n">
        <v>60</v>
      </c>
      <c r="H781" s="7" t="n">
        <v>46208</v>
      </c>
      <c r="I781" s="7" t="n">
        <v>46268</v>
      </c>
      <c r="J781" s="2" t="inlineStr">
        <is>
          <t>Paid</t>
        </is>
      </c>
      <c r="K781" s="2" t="inlineStr">
        <is>
          <t>No</t>
        </is>
      </c>
      <c r="L781" s="9" t="n">
        <v>0</v>
      </c>
      <c r="M781" s="2" t="inlineStr">
        <is>
          <t>Received</t>
        </is>
      </c>
      <c r="N781" s="2" t="inlineStr">
        <is>
          <t>Approved</t>
        </is>
      </c>
      <c r="O781" s="2" t="n"/>
      <c r="P781" s="2" t="n"/>
      <c r="Q781" s="2" t="n"/>
      <c r="R781" s="2" t="n"/>
    </row>
    <row r="782">
      <c r="A782" s="2" t="inlineStr">
        <is>
          <t>INV00779</t>
        </is>
      </c>
      <c r="B782" s="7" t="n">
        <v>46370</v>
      </c>
      <c r="C782" s="2" t="inlineStr">
        <is>
          <t>Oracle</t>
        </is>
      </c>
      <c r="D782" s="2" t="inlineStr">
        <is>
          <t>Sales</t>
        </is>
      </c>
      <c r="E782" s="2" t="inlineStr">
        <is>
          <t>Office Supplies</t>
        </is>
      </c>
      <c r="F782" s="8" t="n">
        <v>206600</v>
      </c>
      <c r="G782" s="2" t="n">
        <v>60</v>
      </c>
      <c r="H782" s="7" t="n">
        <v>46430</v>
      </c>
      <c r="I782" s="7" t="n">
        <v>46435</v>
      </c>
      <c r="J782" s="2" t="inlineStr">
        <is>
          <t>Paid</t>
        </is>
      </c>
      <c r="K782" s="2" t="inlineStr">
        <is>
          <t>No</t>
        </is>
      </c>
      <c r="L782" s="9" t="n">
        <v>0</v>
      </c>
      <c r="M782" s="2" t="inlineStr">
        <is>
          <t>Received</t>
        </is>
      </c>
      <c r="N782" s="2" t="inlineStr">
        <is>
          <t>Pending</t>
        </is>
      </c>
      <c r="O782" s="2" t="n"/>
      <c r="P782" s="2" t="n"/>
      <c r="Q782" s="2" t="n"/>
      <c r="R782" s="2" t="n"/>
    </row>
    <row r="783">
      <c r="A783" s="2" t="inlineStr">
        <is>
          <t>INV00780</t>
        </is>
      </c>
      <c r="B783" s="7" t="n">
        <v>46380</v>
      </c>
      <c r="C783" s="2" t="inlineStr">
        <is>
          <t>HCLTech</t>
        </is>
      </c>
      <c r="D783" s="2" t="inlineStr">
        <is>
          <t>Sales</t>
        </is>
      </c>
      <c r="E783" s="2" t="inlineStr">
        <is>
          <t>Travel</t>
        </is>
      </c>
      <c r="F783" s="8" t="n">
        <v>8500</v>
      </c>
      <c r="G783" s="2" t="n">
        <v>45</v>
      </c>
      <c r="H783" s="7" t="n">
        <v>46425</v>
      </c>
      <c r="I783" s="7" t="n">
        <v>46425</v>
      </c>
      <c r="J783" s="2" t="inlineStr">
        <is>
          <t>Paid</t>
        </is>
      </c>
      <c r="K783" s="2" t="inlineStr">
        <is>
          <t>No</t>
        </is>
      </c>
      <c r="L783" s="9" t="n">
        <v>0</v>
      </c>
      <c r="M783" s="2" t="inlineStr">
        <is>
          <t>Received</t>
        </is>
      </c>
      <c r="N783" s="2" t="inlineStr">
        <is>
          <t>Approved</t>
        </is>
      </c>
      <c r="O783" s="2" t="n"/>
      <c r="P783" s="2" t="n"/>
      <c r="Q783" s="2" t="n"/>
      <c r="R783" s="2" t="n"/>
    </row>
    <row r="784">
      <c r="A784" s="2" t="inlineStr">
        <is>
          <t>INV00781</t>
        </is>
      </c>
      <c r="B784" s="7" t="n">
        <v>46357</v>
      </c>
      <c r="C784" s="2" t="inlineStr">
        <is>
          <t>IBM</t>
        </is>
      </c>
      <c r="D784" s="2" t="inlineStr">
        <is>
          <t>Finance</t>
        </is>
      </c>
      <c r="E784" s="2" t="inlineStr">
        <is>
          <t>Travel</t>
        </is>
      </c>
      <c r="F784" s="8" t="n">
        <v>161500</v>
      </c>
      <c r="G784" s="2" t="n">
        <v>60</v>
      </c>
      <c r="H784" s="7" t="n">
        <v>46417</v>
      </c>
      <c r="I784" s="7" t="n">
        <v>46507</v>
      </c>
      <c r="J784" s="2" t="inlineStr">
        <is>
          <t>Paid</t>
        </is>
      </c>
      <c r="K784" s="2" t="inlineStr">
        <is>
          <t>No</t>
        </is>
      </c>
      <c r="L784" s="9" t="n">
        <v>0</v>
      </c>
      <c r="M784" s="2" t="inlineStr">
        <is>
          <t>Received</t>
        </is>
      </c>
      <c r="N784" s="2" t="inlineStr">
        <is>
          <t>Approved</t>
        </is>
      </c>
      <c r="O784" s="2" t="n"/>
      <c r="P784" s="2" t="n"/>
      <c r="Q784" s="2" t="n"/>
      <c r="R784" s="2" t="n"/>
    </row>
    <row r="785">
      <c r="A785" s="2" t="inlineStr">
        <is>
          <t>INV00782</t>
        </is>
      </c>
      <c r="B785" s="7" t="n">
        <v>46210</v>
      </c>
      <c r="C785" s="2" t="inlineStr">
        <is>
          <t>Oracle</t>
        </is>
      </c>
      <c r="D785" s="2" t="inlineStr">
        <is>
          <t>Finance</t>
        </is>
      </c>
      <c r="E785" s="2" t="inlineStr">
        <is>
          <t>Cloud</t>
        </is>
      </c>
      <c r="F785" s="8" t="n">
        <v>522800</v>
      </c>
      <c r="G785" s="2" t="n">
        <v>15</v>
      </c>
      <c r="H785" s="7" t="n">
        <v>46225</v>
      </c>
      <c r="I785" s="2" t="n"/>
      <c r="J785" s="2" t="inlineStr">
        <is>
          <t>Pending</t>
        </is>
      </c>
      <c r="K785" s="2" t="inlineStr">
        <is>
          <t>No</t>
        </is>
      </c>
      <c r="L785" s="9" t="n">
        <v>0</v>
      </c>
      <c r="M785" s="2" t="inlineStr">
        <is>
          <t>Received</t>
        </is>
      </c>
      <c r="N785" s="2" t="inlineStr">
        <is>
          <t>Approved</t>
        </is>
      </c>
      <c r="O785" s="2" t="n"/>
      <c r="P785" s="2" t="n"/>
      <c r="Q785" s="2" t="n"/>
      <c r="R785" s="2" t="n"/>
    </row>
    <row r="786">
      <c r="A786" s="2" t="inlineStr">
        <is>
          <t>INV00783</t>
        </is>
      </c>
      <c r="B786" s="7" t="n">
        <v>46341</v>
      </c>
      <c r="C786" s="2" t="inlineStr">
        <is>
          <t>Adobe</t>
        </is>
      </c>
      <c r="D786" s="2" t="inlineStr">
        <is>
          <t>Operations</t>
        </is>
      </c>
      <c r="E786" s="2" t="inlineStr">
        <is>
          <t>Consulting</t>
        </is>
      </c>
      <c r="F786" s="8" t="n">
        <v>569400</v>
      </c>
      <c r="G786" s="2" t="n">
        <v>45</v>
      </c>
      <c r="H786" s="7" t="n">
        <v>46386</v>
      </c>
      <c r="I786" s="7" t="n">
        <v>46386</v>
      </c>
      <c r="J786" s="2" t="inlineStr">
        <is>
          <t>Paid</t>
        </is>
      </c>
      <c r="K786" s="2" t="inlineStr">
        <is>
          <t>No</t>
        </is>
      </c>
      <c r="L786" s="9" t="n">
        <v>0</v>
      </c>
      <c r="M786" s="2" t="inlineStr">
        <is>
          <t>Received</t>
        </is>
      </c>
      <c r="N786" s="2" t="inlineStr">
        <is>
          <t>Approved</t>
        </is>
      </c>
      <c r="O786" s="2" t="n"/>
      <c r="P786" s="2" t="n"/>
      <c r="Q786" s="2" t="n"/>
      <c r="R786" s="2" t="n"/>
    </row>
    <row r="787">
      <c r="A787" s="2" t="inlineStr">
        <is>
          <t>INV00784</t>
        </is>
      </c>
      <c r="B787" s="7" t="n">
        <v>46279</v>
      </c>
      <c r="C787" s="2" t="inlineStr">
        <is>
          <t>Adobe</t>
        </is>
      </c>
      <c r="D787" s="2" t="inlineStr">
        <is>
          <t>HR</t>
        </is>
      </c>
      <c r="E787" s="2" t="inlineStr">
        <is>
          <t>Facilities</t>
        </is>
      </c>
      <c r="F787" s="8" t="n">
        <v>160400</v>
      </c>
      <c r="G787" s="2" t="n">
        <v>60</v>
      </c>
      <c r="H787" s="7" t="n">
        <v>46339</v>
      </c>
      <c r="I787" s="2" t="n"/>
      <c r="J787" s="2" t="inlineStr">
        <is>
          <t>Pending</t>
        </is>
      </c>
      <c r="K787" s="2" t="inlineStr">
        <is>
          <t>No</t>
        </is>
      </c>
      <c r="L787" s="9" t="n">
        <v>0</v>
      </c>
      <c r="M787" s="2" t="inlineStr">
        <is>
          <t>Received</t>
        </is>
      </c>
      <c r="N787" s="2" t="inlineStr">
        <is>
          <t>Approved</t>
        </is>
      </c>
      <c r="O787" s="2" t="n"/>
      <c r="P787" s="2" t="n"/>
      <c r="Q787" s="2" t="n"/>
      <c r="R787" s="2" t="n"/>
    </row>
    <row r="788">
      <c r="A788" s="2" t="inlineStr">
        <is>
          <t>INV00785</t>
        </is>
      </c>
      <c r="B788" s="7" t="n">
        <v>46309</v>
      </c>
      <c r="C788" s="2" t="inlineStr">
        <is>
          <t>Amazon Web Services</t>
        </is>
      </c>
      <c r="D788" s="2" t="inlineStr">
        <is>
          <t>Operations</t>
        </is>
      </c>
      <c r="E788" s="2" t="inlineStr">
        <is>
          <t>Travel</t>
        </is>
      </c>
      <c r="F788" s="8" t="n">
        <v>160200</v>
      </c>
      <c r="G788" s="2" t="n">
        <v>15</v>
      </c>
      <c r="H788" s="7" t="n">
        <v>46324</v>
      </c>
      <c r="I788" s="7" t="n">
        <v>46354</v>
      </c>
      <c r="J788" s="2" t="inlineStr">
        <is>
          <t>Paid</t>
        </is>
      </c>
      <c r="K788" s="2" t="inlineStr">
        <is>
          <t>Yes</t>
        </is>
      </c>
      <c r="L788" s="9" t="n">
        <v>0.02</v>
      </c>
      <c r="M788" s="2" t="inlineStr">
        <is>
          <t>Received</t>
        </is>
      </c>
      <c r="N788" s="2" t="inlineStr">
        <is>
          <t>Approved</t>
        </is>
      </c>
      <c r="O788" s="2" t="n"/>
      <c r="P788" s="2" t="n"/>
      <c r="Q788" s="2" t="n"/>
      <c r="R788" s="2" t="n"/>
    </row>
    <row r="789">
      <c r="A789" s="2" t="inlineStr">
        <is>
          <t>INV00786</t>
        </is>
      </c>
      <c r="B789" s="7" t="n">
        <v>46060</v>
      </c>
      <c r="C789" s="2" t="inlineStr">
        <is>
          <t>HCLTech</t>
        </is>
      </c>
      <c r="D789" s="2" t="inlineStr">
        <is>
          <t>Operations</t>
        </is>
      </c>
      <c r="E789" s="2" t="inlineStr">
        <is>
          <t>Software</t>
        </is>
      </c>
      <c r="F789" s="8" t="n">
        <v>935500</v>
      </c>
      <c r="G789" s="2" t="n">
        <v>45</v>
      </c>
      <c r="H789" s="7" t="n">
        <v>46105</v>
      </c>
      <c r="I789" s="2" t="n"/>
      <c r="J789" s="2" t="inlineStr">
        <is>
          <t>Pending</t>
        </is>
      </c>
      <c r="K789" s="2" t="inlineStr">
        <is>
          <t>No</t>
        </is>
      </c>
      <c r="L789" s="9" t="n">
        <v>0</v>
      </c>
      <c r="M789" s="2" t="inlineStr">
        <is>
          <t>Received</t>
        </is>
      </c>
      <c r="N789" s="2" t="inlineStr">
        <is>
          <t>Approved</t>
        </is>
      </c>
      <c r="O789" s="2" t="n"/>
      <c r="P789" s="2" t="n"/>
      <c r="Q789" s="2" t="n"/>
      <c r="R789" s="2" t="n"/>
    </row>
    <row r="790">
      <c r="A790" s="2" t="inlineStr">
        <is>
          <t>INV00787</t>
        </is>
      </c>
      <c r="B790" s="7" t="n">
        <v>46199</v>
      </c>
      <c r="C790" s="2" t="inlineStr">
        <is>
          <t>TCS</t>
        </is>
      </c>
      <c r="D790" s="2" t="inlineStr">
        <is>
          <t>Marketing</t>
        </is>
      </c>
      <c r="E790" s="2" t="inlineStr">
        <is>
          <t>Consulting</t>
        </is>
      </c>
      <c r="F790" s="8" t="n">
        <v>448400</v>
      </c>
      <c r="G790" s="2" t="n">
        <v>45</v>
      </c>
      <c r="H790" s="7" t="n">
        <v>46244</v>
      </c>
      <c r="I790" s="7" t="n">
        <v>46244</v>
      </c>
      <c r="J790" s="2" t="inlineStr">
        <is>
          <t>Paid</t>
        </is>
      </c>
      <c r="K790" s="2" t="inlineStr">
        <is>
          <t>No</t>
        </is>
      </c>
      <c r="L790" s="9" t="n">
        <v>0</v>
      </c>
      <c r="M790" s="2" t="inlineStr">
        <is>
          <t>Received</t>
        </is>
      </c>
      <c r="N790" s="2" t="inlineStr">
        <is>
          <t>Approved</t>
        </is>
      </c>
      <c r="O790" s="2" t="n"/>
      <c r="P790" s="2" t="n"/>
      <c r="Q790" s="2" t="n"/>
      <c r="R790" s="2" t="n"/>
    </row>
    <row r="791">
      <c r="A791" s="2" t="inlineStr">
        <is>
          <t>INV00788</t>
        </is>
      </c>
      <c r="B791" s="7" t="n">
        <v>46200</v>
      </c>
      <c r="C791" s="2" t="inlineStr">
        <is>
          <t>HCLTech</t>
        </is>
      </c>
      <c r="D791" s="2" t="inlineStr">
        <is>
          <t>Marketing</t>
        </is>
      </c>
      <c r="E791" s="2" t="inlineStr">
        <is>
          <t>Facilities</t>
        </is>
      </c>
      <c r="F791" s="8" t="n">
        <v>969400</v>
      </c>
      <c r="G791" s="2" t="n">
        <v>45</v>
      </c>
      <c r="H791" s="7" t="n">
        <v>46245</v>
      </c>
      <c r="I791" s="7" t="n">
        <v>46335</v>
      </c>
      <c r="J791" s="2" t="inlineStr">
        <is>
          <t>Paid</t>
        </is>
      </c>
      <c r="K791" s="2" t="inlineStr">
        <is>
          <t>Yes</t>
        </is>
      </c>
      <c r="L791" s="9" t="n">
        <v>0.02</v>
      </c>
      <c r="M791" s="2" t="inlineStr">
        <is>
          <t>Received</t>
        </is>
      </c>
      <c r="N791" s="2" t="inlineStr">
        <is>
          <t>Approved</t>
        </is>
      </c>
      <c r="O791" s="2" t="n"/>
      <c r="P791" s="2" t="n"/>
      <c r="Q791" s="2" t="n"/>
      <c r="R791" s="2" t="n"/>
    </row>
    <row r="792">
      <c r="A792" s="2" t="inlineStr">
        <is>
          <t>INV00789</t>
        </is>
      </c>
      <c r="B792" s="7" t="n">
        <v>46309</v>
      </c>
      <c r="C792" s="2" t="inlineStr">
        <is>
          <t>Deloitte</t>
        </is>
      </c>
      <c r="D792" s="2" t="inlineStr">
        <is>
          <t>Sales</t>
        </is>
      </c>
      <c r="E792" s="2" t="inlineStr">
        <is>
          <t>Professional Services</t>
        </is>
      </c>
      <c r="F792" s="8" t="n">
        <v>103800</v>
      </c>
      <c r="G792" s="2" t="n">
        <v>30</v>
      </c>
      <c r="H792" s="7" t="n">
        <v>46339</v>
      </c>
      <c r="I792" s="7" t="n">
        <v>46339</v>
      </c>
      <c r="J792" s="2" t="inlineStr">
        <is>
          <t>Paid</t>
        </is>
      </c>
      <c r="K792" s="2" t="inlineStr">
        <is>
          <t>No</t>
        </is>
      </c>
      <c r="L792" s="9" t="n">
        <v>0</v>
      </c>
      <c r="M792" s="2" t="inlineStr">
        <is>
          <t>Received</t>
        </is>
      </c>
      <c r="N792" s="2" t="inlineStr">
        <is>
          <t>Approved</t>
        </is>
      </c>
      <c r="O792" s="2" t="n"/>
      <c r="P792" s="2" t="n"/>
      <c r="Q792" s="2" t="n"/>
      <c r="R792" s="2" t="n"/>
    </row>
    <row r="793">
      <c r="A793" s="2" t="inlineStr">
        <is>
          <t>INV00790</t>
        </is>
      </c>
      <c r="B793" s="7" t="n">
        <v>46230</v>
      </c>
      <c r="C793" s="2" t="inlineStr">
        <is>
          <t>Cognizant</t>
        </is>
      </c>
      <c r="D793" s="2" t="inlineStr">
        <is>
          <t>Sales</t>
        </is>
      </c>
      <c r="E793" s="2" t="inlineStr">
        <is>
          <t>Consulting</t>
        </is>
      </c>
      <c r="F793" s="8" t="n">
        <v>237400</v>
      </c>
      <c r="G793" s="2" t="n">
        <v>30</v>
      </c>
      <c r="H793" s="7" t="n">
        <v>46260</v>
      </c>
      <c r="I793" s="7" t="n">
        <v>46260</v>
      </c>
      <c r="J793" s="2" t="inlineStr">
        <is>
          <t>Paid</t>
        </is>
      </c>
      <c r="K793" s="2" t="inlineStr">
        <is>
          <t>No</t>
        </is>
      </c>
      <c r="L793" s="9" t="n">
        <v>0</v>
      </c>
      <c r="M793" s="2" t="inlineStr">
        <is>
          <t>Received</t>
        </is>
      </c>
      <c r="N793" s="2" t="inlineStr">
        <is>
          <t>Approved</t>
        </is>
      </c>
      <c r="O793" s="2" t="n"/>
      <c r="P793" s="2" t="n"/>
      <c r="Q793" s="2" t="n"/>
      <c r="R793" s="2" t="n"/>
    </row>
    <row r="794">
      <c r="A794" s="2" t="inlineStr">
        <is>
          <t>INV00791</t>
        </is>
      </c>
      <c r="B794" s="7" t="n">
        <v>46268</v>
      </c>
      <c r="C794" s="2" t="inlineStr">
        <is>
          <t>Accenture</t>
        </is>
      </c>
      <c r="D794" s="2" t="inlineStr">
        <is>
          <t>Operations</t>
        </is>
      </c>
      <c r="E794" s="2" t="inlineStr">
        <is>
          <t>Software</t>
        </is>
      </c>
      <c r="F794" s="8" t="n">
        <v>725800</v>
      </c>
      <c r="G794" s="2" t="n">
        <v>30</v>
      </c>
      <c r="H794" s="7" t="n">
        <v>46298</v>
      </c>
      <c r="I794" s="7" t="n">
        <v>46303</v>
      </c>
      <c r="J794" s="2" t="inlineStr">
        <is>
          <t>Paid</t>
        </is>
      </c>
      <c r="K794" s="2" t="inlineStr">
        <is>
          <t>Yes</t>
        </is>
      </c>
      <c r="L794" s="9" t="n">
        <v>0.02</v>
      </c>
      <c r="M794" s="2" t="inlineStr">
        <is>
          <t>Received</t>
        </is>
      </c>
      <c r="N794" s="2" t="inlineStr">
        <is>
          <t>Approved</t>
        </is>
      </c>
      <c r="O794" s="2" t="n"/>
      <c r="P794" s="2" t="n"/>
      <c r="Q794" s="2" t="n"/>
      <c r="R794" s="2" t="n"/>
    </row>
    <row r="795">
      <c r="A795" s="2" t="inlineStr">
        <is>
          <t>INV00792</t>
        </is>
      </c>
      <c r="B795" s="7" t="n">
        <v>46381</v>
      </c>
      <c r="C795" s="2" t="inlineStr">
        <is>
          <t>Cognizant</t>
        </is>
      </c>
      <c r="D795" s="2" t="inlineStr">
        <is>
          <t>Operations</t>
        </is>
      </c>
      <c r="E795" s="2" t="inlineStr">
        <is>
          <t>Facilities</t>
        </is>
      </c>
      <c r="F795" s="8" t="n">
        <v>166500</v>
      </c>
      <c r="G795" s="2" t="n">
        <v>45</v>
      </c>
      <c r="H795" s="7" t="n">
        <v>46426</v>
      </c>
      <c r="I795" s="7" t="n">
        <v>46431</v>
      </c>
      <c r="J795" s="2" t="inlineStr">
        <is>
          <t>Paid</t>
        </is>
      </c>
      <c r="K795" s="2" t="inlineStr">
        <is>
          <t>No</t>
        </is>
      </c>
      <c r="L795" s="9" t="n">
        <v>0</v>
      </c>
      <c r="M795" s="2" t="inlineStr">
        <is>
          <t>Received</t>
        </is>
      </c>
      <c r="N795" s="2" t="inlineStr">
        <is>
          <t>Approved</t>
        </is>
      </c>
      <c r="O795" s="2" t="n"/>
      <c r="P795" s="2" t="n"/>
      <c r="Q795" s="2" t="n"/>
      <c r="R795" s="2" t="n"/>
    </row>
    <row r="796">
      <c r="A796" s="2" t="inlineStr">
        <is>
          <t>INV00793</t>
        </is>
      </c>
      <c r="B796" s="7" t="n">
        <v>46299</v>
      </c>
      <c r="C796" s="2" t="inlineStr">
        <is>
          <t>Amazon Web Services</t>
        </is>
      </c>
      <c r="D796" s="2" t="inlineStr">
        <is>
          <t>Finance</t>
        </is>
      </c>
      <c r="E796" s="2" t="inlineStr">
        <is>
          <t>Consulting</t>
        </is>
      </c>
      <c r="F796" s="8" t="n">
        <v>319600</v>
      </c>
      <c r="G796" s="2" t="n">
        <v>45</v>
      </c>
      <c r="H796" s="7" t="n">
        <v>46344</v>
      </c>
      <c r="I796" s="2" t="n"/>
      <c r="J796" s="2" t="inlineStr">
        <is>
          <t>Pending</t>
        </is>
      </c>
      <c r="K796" s="2" t="inlineStr">
        <is>
          <t>No</t>
        </is>
      </c>
      <c r="L796" s="9" t="n">
        <v>0</v>
      </c>
      <c r="M796" s="2" t="inlineStr">
        <is>
          <t>Received</t>
        </is>
      </c>
      <c r="N796" s="2" t="inlineStr">
        <is>
          <t>Approved</t>
        </is>
      </c>
      <c r="O796" s="2" t="n"/>
      <c r="P796" s="2" t="n"/>
      <c r="Q796" s="2" t="n"/>
      <c r="R796" s="2" t="n"/>
    </row>
    <row r="797">
      <c r="A797" s="2" t="inlineStr">
        <is>
          <t>INV00794</t>
        </is>
      </c>
      <c r="B797" s="7" t="n">
        <v>46036</v>
      </c>
      <c r="C797" s="2" t="inlineStr">
        <is>
          <t>Amazon Web Services</t>
        </is>
      </c>
      <c r="D797" s="2" t="inlineStr">
        <is>
          <t>Operations</t>
        </is>
      </c>
      <c r="E797" s="2" t="inlineStr">
        <is>
          <t>Travel</t>
        </is>
      </c>
      <c r="F797" s="8" t="n">
        <v>564900</v>
      </c>
      <c r="G797" s="2" t="n">
        <v>15</v>
      </c>
      <c r="H797" s="7" t="n">
        <v>46051</v>
      </c>
      <c r="I797" s="7" t="n">
        <v>46051</v>
      </c>
      <c r="J797" s="2" t="inlineStr">
        <is>
          <t>Paid</t>
        </is>
      </c>
      <c r="K797" s="2" t="inlineStr">
        <is>
          <t>Yes</t>
        </is>
      </c>
      <c r="L797" s="9" t="n">
        <v>0.02</v>
      </c>
      <c r="M797" s="2" t="inlineStr">
        <is>
          <t>Received</t>
        </is>
      </c>
      <c r="N797" s="2" t="inlineStr">
        <is>
          <t>Pending</t>
        </is>
      </c>
      <c r="O797" s="2" t="n"/>
      <c r="P797" s="2" t="n"/>
      <c r="Q797" s="2" t="n"/>
      <c r="R797" s="2" t="n"/>
    </row>
    <row r="798">
      <c r="A798" s="2" t="inlineStr">
        <is>
          <t>INV00795</t>
        </is>
      </c>
      <c r="B798" s="7" t="n">
        <v>46345</v>
      </c>
      <c r="C798" s="2" t="inlineStr">
        <is>
          <t>SAP</t>
        </is>
      </c>
      <c r="D798" s="2" t="inlineStr">
        <is>
          <t>Marketing</t>
        </is>
      </c>
      <c r="E798" s="2" t="inlineStr">
        <is>
          <t>Facilities</t>
        </is>
      </c>
      <c r="F798" s="8" t="n">
        <v>507100</v>
      </c>
      <c r="G798" s="2" t="n">
        <v>15</v>
      </c>
      <c r="H798" s="7" t="n">
        <v>46360</v>
      </c>
      <c r="I798" s="7" t="n">
        <v>46365</v>
      </c>
      <c r="J798" s="2" t="inlineStr">
        <is>
          <t>Paid</t>
        </is>
      </c>
      <c r="K798" s="2" t="inlineStr">
        <is>
          <t>No</t>
        </is>
      </c>
      <c r="L798" s="9" t="n">
        <v>0</v>
      </c>
      <c r="M798" s="2" t="inlineStr">
        <is>
          <t>Received</t>
        </is>
      </c>
      <c r="N798" s="2" t="inlineStr">
        <is>
          <t>Approved</t>
        </is>
      </c>
      <c r="O798" s="2" t="n"/>
      <c r="P798" s="2" t="n"/>
      <c r="Q798" s="2" t="n"/>
      <c r="R798" s="2" t="n"/>
    </row>
    <row r="799">
      <c r="A799" s="2" t="inlineStr">
        <is>
          <t>INV00796</t>
        </is>
      </c>
      <c r="B799" s="7" t="n">
        <v>46060</v>
      </c>
      <c r="C799" s="2" t="inlineStr">
        <is>
          <t>Accenture</t>
        </is>
      </c>
      <c r="D799" s="2" t="inlineStr">
        <is>
          <t>IT</t>
        </is>
      </c>
      <c r="E799" s="2" t="inlineStr">
        <is>
          <t>Office Supplies</t>
        </is>
      </c>
      <c r="F799" s="8" t="n">
        <v>131900</v>
      </c>
      <c r="G799" s="2" t="n">
        <v>15</v>
      </c>
      <c r="H799" s="7" t="n">
        <v>46075</v>
      </c>
      <c r="I799" s="2" t="n"/>
      <c r="J799" s="2" t="inlineStr">
        <is>
          <t>Pending</t>
        </is>
      </c>
      <c r="K799" s="2" t="inlineStr">
        <is>
          <t>Yes</t>
        </is>
      </c>
      <c r="L799" s="9" t="n">
        <v>0.02</v>
      </c>
      <c r="M799" s="2" t="inlineStr">
        <is>
          <t>Received</t>
        </is>
      </c>
      <c r="N799" s="2" t="inlineStr">
        <is>
          <t>Approved</t>
        </is>
      </c>
      <c r="O799" s="2" t="n"/>
      <c r="P799" s="2" t="n"/>
      <c r="Q799" s="2" t="n"/>
      <c r="R799" s="2" t="n"/>
    </row>
    <row r="800">
      <c r="A800" s="2" t="inlineStr">
        <is>
          <t>INV00797</t>
        </is>
      </c>
      <c r="B800" s="7" t="n">
        <v>46115</v>
      </c>
      <c r="C800" s="2" t="inlineStr">
        <is>
          <t>Wipro</t>
        </is>
      </c>
      <c r="D800" s="2" t="inlineStr">
        <is>
          <t>Sales</t>
        </is>
      </c>
      <c r="E800" s="2" t="inlineStr">
        <is>
          <t>Cloud</t>
        </is>
      </c>
      <c r="F800" s="8" t="n">
        <v>72000</v>
      </c>
      <c r="G800" s="2" t="n">
        <v>45</v>
      </c>
      <c r="H800" s="7" t="n">
        <v>46160</v>
      </c>
      <c r="I800" s="7" t="n">
        <v>46165</v>
      </c>
      <c r="J800" s="2" t="inlineStr">
        <is>
          <t>Paid</t>
        </is>
      </c>
      <c r="K800" s="2" t="inlineStr">
        <is>
          <t>Yes</t>
        </is>
      </c>
      <c r="L800" s="9" t="n">
        <v>0.02</v>
      </c>
      <c r="M800" s="2" t="inlineStr">
        <is>
          <t>Received</t>
        </is>
      </c>
      <c r="N800" s="2" t="inlineStr">
        <is>
          <t>Approved</t>
        </is>
      </c>
      <c r="O800" s="2" t="n"/>
      <c r="P800" s="2" t="n"/>
      <c r="Q800" s="2" t="n"/>
      <c r="R800" s="2" t="n"/>
    </row>
    <row r="801">
      <c r="A801" s="2" t="inlineStr">
        <is>
          <t>INV00798</t>
        </is>
      </c>
      <c r="B801" s="7" t="n">
        <v>46278</v>
      </c>
      <c r="C801" s="2" t="inlineStr">
        <is>
          <t>Zoho</t>
        </is>
      </c>
      <c r="D801" s="2" t="inlineStr">
        <is>
          <t>Finance</t>
        </is>
      </c>
      <c r="E801" s="2" t="inlineStr">
        <is>
          <t>Consulting</t>
        </is>
      </c>
      <c r="F801" s="8" t="n">
        <v>884500</v>
      </c>
      <c r="G801" s="2" t="n">
        <v>30</v>
      </c>
      <c r="H801" s="7" t="n">
        <v>46308</v>
      </c>
      <c r="I801" s="2" t="n"/>
      <c r="J801" s="2" t="inlineStr">
        <is>
          <t>Pending</t>
        </is>
      </c>
      <c r="K801" s="2" t="inlineStr">
        <is>
          <t>Yes</t>
        </is>
      </c>
      <c r="L801" s="9" t="n">
        <v>0.02</v>
      </c>
      <c r="M801" s="2" t="inlineStr">
        <is>
          <t>Received</t>
        </is>
      </c>
      <c r="N801" s="2" t="inlineStr">
        <is>
          <t>Approved</t>
        </is>
      </c>
      <c r="O801" s="2" t="n"/>
      <c r="P801" s="2" t="n"/>
      <c r="Q801" s="2" t="n"/>
      <c r="R801" s="2" t="n"/>
    </row>
    <row r="802">
      <c r="A802" s="2" t="inlineStr">
        <is>
          <t>INV00799</t>
        </is>
      </c>
      <c r="B802" s="7" t="n">
        <v>46107</v>
      </c>
      <c r="C802" s="2" t="inlineStr">
        <is>
          <t>TCS</t>
        </is>
      </c>
      <c r="D802" s="2" t="inlineStr">
        <is>
          <t>Sales</t>
        </is>
      </c>
      <c r="E802" s="2" t="inlineStr">
        <is>
          <t>Professional Services</t>
        </is>
      </c>
      <c r="F802" s="8" t="n">
        <v>567800</v>
      </c>
      <c r="G802" s="2" t="n">
        <v>60</v>
      </c>
      <c r="H802" s="7" t="n">
        <v>46167</v>
      </c>
      <c r="I802" s="2" t="n"/>
      <c r="J802" s="2" t="inlineStr">
        <is>
          <t>Pending</t>
        </is>
      </c>
      <c r="K802" s="2" t="inlineStr">
        <is>
          <t>No</t>
        </is>
      </c>
      <c r="L802" s="9" t="n">
        <v>0</v>
      </c>
      <c r="M802" s="2" t="inlineStr">
        <is>
          <t>Received</t>
        </is>
      </c>
      <c r="N802" s="2" t="inlineStr">
        <is>
          <t>Approved</t>
        </is>
      </c>
      <c r="O802" s="2" t="n"/>
      <c r="P802" s="2" t="n"/>
      <c r="Q802" s="2" t="n"/>
      <c r="R802" s="2" t="n"/>
    </row>
    <row r="803">
      <c r="A803" s="2" t="inlineStr">
        <is>
          <t>INV00800</t>
        </is>
      </c>
      <c r="B803" s="7" t="n">
        <v>46307</v>
      </c>
      <c r="C803" s="2" t="inlineStr">
        <is>
          <t>Oracle</t>
        </is>
      </c>
      <c r="D803" s="2" t="inlineStr">
        <is>
          <t>Sales</t>
        </is>
      </c>
      <c r="E803" s="2" t="inlineStr">
        <is>
          <t>Facilities</t>
        </is>
      </c>
      <c r="F803" s="8" t="n">
        <v>917100</v>
      </c>
      <c r="G803" s="2" t="n">
        <v>15</v>
      </c>
      <c r="H803" s="7" t="n">
        <v>46322</v>
      </c>
      <c r="I803" s="7" t="n">
        <v>46322</v>
      </c>
      <c r="J803" s="2" t="inlineStr">
        <is>
          <t>Paid</t>
        </is>
      </c>
      <c r="K803" s="2" t="inlineStr">
        <is>
          <t>No</t>
        </is>
      </c>
      <c r="L803" s="9" t="n">
        <v>0</v>
      </c>
      <c r="M803" s="2" t="inlineStr">
        <is>
          <t>Received</t>
        </is>
      </c>
      <c r="N803" s="2" t="inlineStr">
        <is>
          <t>Pending</t>
        </is>
      </c>
      <c r="O803" s="2" t="n"/>
      <c r="P803" s="2" t="n"/>
      <c r="Q803" s="2" t="n"/>
      <c r="R803" s="2" t="n"/>
    </row>
    <row r="804">
      <c r="A804" s="2" t="inlineStr">
        <is>
          <t>INV00801</t>
        </is>
      </c>
      <c r="B804" s="7" t="n">
        <v>46186</v>
      </c>
      <c r="C804" s="2" t="inlineStr">
        <is>
          <t>Microsoft</t>
        </is>
      </c>
      <c r="D804" s="2" t="inlineStr">
        <is>
          <t>IT</t>
        </is>
      </c>
      <c r="E804" s="2" t="inlineStr">
        <is>
          <t>Cloud</t>
        </is>
      </c>
      <c r="F804" s="8" t="n">
        <v>110200</v>
      </c>
      <c r="G804" s="2" t="n">
        <v>45</v>
      </c>
      <c r="H804" s="7" t="n">
        <v>46231</v>
      </c>
      <c r="I804" s="7" t="n">
        <v>46236</v>
      </c>
      <c r="J804" s="2" t="inlineStr">
        <is>
          <t>Paid</t>
        </is>
      </c>
      <c r="K804" s="2" t="inlineStr">
        <is>
          <t>No</t>
        </is>
      </c>
      <c r="L804" s="9" t="n">
        <v>0</v>
      </c>
      <c r="M804" s="2" t="inlineStr">
        <is>
          <t>Received</t>
        </is>
      </c>
      <c r="N804" s="2" t="inlineStr">
        <is>
          <t>Approved</t>
        </is>
      </c>
      <c r="O804" s="2" t="n"/>
      <c r="P804" s="2" t="n"/>
      <c r="Q804" s="2" t="n"/>
      <c r="R804" s="2" t="n"/>
    </row>
    <row r="805">
      <c r="A805" s="2" t="inlineStr">
        <is>
          <t>INV00802</t>
        </is>
      </c>
      <c r="B805" s="7" t="n">
        <v>46196</v>
      </c>
      <c r="C805" s="2" t="inlineStr">
        <is>
          <t>Microsoft</t>
        </is>
      </c>
      <c r="D805" s="2" t="inlineStr">
        <is>
          <t>Sales</t>
        </is>
      </c>
      <c r="E805" s="2" t="inlineStr">
        <is>
          <t>Consulting</t>
        </is>
      </c>
      <c r="F805" s="8" t="n">
        <v>119000</v>
      </c>
      <c r="G805" s="2" t="n">
        <v>30</v>
      </c>
      <c r="H805" s="7" t="n">
        <v>46226</v>
      </c>
      <c r="I805" s="7" t="n">
        <v>46226</v>
      </c>
      <c r="J805" s="2" t="inlineStr">
        <is>
          <t>Paid</t>
        </is>
      </c>
      <c r="K805" s="2" t="inlineStr">
        <is>
          <t>No</t>
        </is>
      </c>
      <c r="L805" s="9" t="n">
        <v>0</v>
      </c>
      <c r="M805" s="2" t="inlineStr">
        <is>
          <t>Received</t>
        </is>
      </c>
      <c r="N805" s="2" t="inlineStr">
        <is>
          <t>Approved</t>
        </is>
      </c>
      <c r="O805" s="2" t="n"/>
      <c r="P805" s="2" t="n"/>
      <c r="Q805" s="2" t="n"/>
      <c r="R805" s="2" t="n"/>
    </row>
    <row r="806">
      <c r="A806" s="2" t="inlineStr">
        <is>
          <t>INV00803</t>
        </is>
      </c>
      <c r="B806" s="7" t="n">
        <v>46165</v>
      </c>
      <c r="C806" s="2" t="inlineStr">
        <is>
          <t>Accenture</t>
        </is>
      </c>
      <c r="D806" s="2" t="inlineStr">
        <is>
          <t>Sales</t>
        </is>
      </c>
      <c r="E806" s="2" t="inlineStr">
        <is>
          <t>Software</t>
        </is>
      </c>
      <c r="F806" s="8" t="n">
        <v>576400</v>
      </c>
      <c r="G806" s="2" t="n">
        <v>60</v>
      </c>
      <c r="H806" s="7" t="n">
        <v>46225</v>
      </c>
      <c r="I806" s="7" t="n">
        <v>46225</v>
      </c>
      <c r="J806" s="2" t="inlineStr">
        <is>
          <t>Paid</t>
        </is>
      </c>
      <c r="K806" s="2" t="inlineStr">
        <is>
          <t>No</t>
        </is>
      </c>
      <c r="L806" s="9" t="n">
        <v>0</v>
      </c>
      <c r="M806" s="2" t="inlineStr">
        <is>
          <t>Received</t>
        </is>
      </c>
      <c r="N806" s="2" t="inlineStr">
        <is>
          <t>Approved</t>
        </is>
      </c>
      <c r="O806" s="2" t="n"/>
      <c r="P806" s="2" t="n"/>
      <c r="Q806" s="2" t="n"/>
      <c r="R806" s="2" t="n"/>
    </row>
    <row r="807">
      <c r="A807" s="2" t="inlineStr">
        <is>
          <t>INV00804</t>
        </is>
      </c>
      <c r="B807" s="7" t="n">
        <v>46057</v>
      </c>
      <c r="C807" s="2" t="inlineStr">
        <is>
          <t>IBM</t>
        </is>
      </c>
      <c r="D807" s="2" t="inlineStr">
        <is>
          <t>Finance</t>
        </is>
      </c>
      <c r="E807" s="2" t="inlineStr">
        <is>
          <t>Office Supplies</t>
        </is>
      </c>
      <c r="F807" s="8" t="n">
        <v>149800</v>
      </c>
      <c r="G807" s="2" t="n">
        <v>45</v>
      </c>
      <c r="H807" s="7" t="n">
        <v>46102</v>
      </c>
      <c r="I807" s="7" t="n">
        <v>46107</v>
      </c>
      <c r="J807" s="2" t="inlineStr">
        <is>
          <t>Paid</t>
        </is>
      </c>
      <c r="K807" s="2" t="inlineStr">
        <is>
          <t>No</t>
        </is>
      </c>
      <c r="L807" s="9" t="n">
        <v>0</v>
      </c>
      <c r="M807" s="2" t="inlineStr">
        <is>
          <t>Pending</t>
        </is>
      </c>
      <c r="N807" s="2" t="inlineStr">
        <is>
          <t>Pending</t>
        </is>
      </c>
      <c r="O807" s="2" t="n"/>
      <c r="P807" s="2" t="n"/>
      <c r="Q807" s="2" t="n"/>
      <c r="R807" s="2" t="n"/>
    </row>
    <row r="808">
      <c r="A808" s="2" t="inlineStr">
        <is>
          <t>INV00805</t>
        </is>
      </c>
      <c r="B808" s="7" t="n">
        <v>46147</v>
      </c>
      <c r="C808" s="2" t="inlineStr">
        <is>
          <t>HCLTech</t>
        </is>
      </c>
      <c r="D808" s="2" t="inlineStr">
        <is>
          <t>Operations</t>
        </is>
      </c>
      <c r="E808" s="2" t="inlineStr">
        <is>
          <t>Software</t>
        </is>
      </c>
      <c r="F808" s="8" t="n">
        <v>262200</v>
      </c>
      <c r="G808" s="2" t="n">
        <v>15</v>
      </c>
      <c r="H808" s="7" t="n">
        <v>46162</v>
      </c>
      <c r="I808" s="7" t="n">
        <v>46192</v>
      </c>
      <c r="J808" s="2" t="inlineStr">
        <is>
          <t>Paid</t>
        </is>
      </c>
      <c r="K808" s="2" t="inlineStr">
        <is>
          <t>No</t>
        </is>
      </c>
      <c r="L808" s="9" t="n">
        <v>0</v>
      </c>
      <c r="M808" s="2" t="inlineStr">
        <is>
          <t>Received</t>
        </is>
      </c>
      <c r="N808" s="2" t="inlineStr">
        <is>
          <t>Approved</t>
        </is>
      </c>
      <c r="O808" s="2" t="n"/>
      <c r="P808" s="2" t="n"/>
      <c r="Q808" s="2" t="n"/>
      <c r="R808" s="2" t="n"/>
    </row>
    <row r="809">
      <c r="A809" s="2" t="inlineStr">
        <is>
          <t>INV00806</t>
        </is>
      </c>
      <c r="B809" s="7" t="n">
        <v>46206</v>
      </c>
      <c r="C809" s="2" t="inlineStr">
        <is>
          <t>Google Cloud</t>
        </is>
      </c>
      <c r="D809" s="2" t="inlineStr">
        <is>
          <t>HR</t>
        </is>
      </c>
      <c r="E809" s="2" t="inlineStr">
        <is>
          <t>Professional Services</t>
        </is>
      </c>
      <c r="F809" s="8" t="n">
        <v>772300</v>
      </c>
      <c r="G809" s="2" t="n">
        <v>15</v>
      </c>
      <c r="H809" s="7" t="n">
        <v>46221</v>
      </c>
      <c r="I809" s="7" t="n">
        <v>46226</v>
      </c>
      <c r="J809" s="2" t="inlineStr">
        <is>
          <t>Paid</t>
        </is>
      </c>
      <c r="K809" s="2" t="inlineStr">
        <is>
          <t>No</t>
        </is>
      </c>
      <c r="L809" s="9" t="n">
        <v>0</v>
      </c>
      <c r="M809" s="2" t="inlineStr">
        <is>
          <t>Received</t>
        </is>
      </c>
      <c r="N809" s="2" t="inlineStr">
        <is>
          <t>Pending</t>
        </is>
      </c>
      <c r="O809" s="2" t="n"/>
      <c r="P809" s="2" t="n"/>
      <c r="Q809" s="2" t="n"/>
      <c r="R809" s="2" t="n"/>
    </row>
    <row r="810">
      <c r="A810" s="2" t="inlineStr">
        <is>
          <t>INV00807</t>
        </is>
      </c>
      <c r="B810" s="7" t="n">
        <v>46054</v>
      </c>
      <c r="C810" s="2" t="inlineStr">
        <is>
          <t>TCS</t>
        </is>
      </c>
      <c r="D810" s="2" t="inlineStr">
        <is>
          <t>IT</t>
        </is>
      </c>
      <c r="E810" s="2" t="inlineStr">
        <is>
          <t>Facilities</t>
        </is>
      </c>
      <c r="F810" s="8" t="n">
        <v>995200</v>
      </c>
      <c r="G810" s="2" t="n">
        <v>15</v>
      </c>
      <c r="H810" s="7" t="n">
        <v>46069</v>
      </c>
      <c r="I810" s="7" t="n">
        <v>46069</v>
      </c>
      <c r="J810" s="2" t="inlineStr">
        <is>
          <t>Paid</t>
        </is>
      </c>
      <c r="K810" s="2" t="inlineStr">
        <is>
          <t>No</t>
        </is>
      </c>
      <c r="L810" s="9" t="n">
        <v>0</v>
      </c>
      <c r="M810" s="2" t="inlineStr">
        <is>
          <t>Received</t>
        </is>
      </c>
      <c r="N810" s="2" t="inlineStr">
        <is>
          <t>Approved</t>
        </is>
      </c>
      <c r="O810" s="2" t="n"/>
      <c r="P810" s="2" t="n"/>
      <c r="Q810" s="2" t="n"/>
      <c r="R810" s="2" t="n"/>
    </row>
    <row r="811">
      <c r="A811" s="2" t="inlineStr">
        <is>
          <t>INV00808</t>
        </is>
      </c>
      <c r="B811" s="7" t="n">
        <v>46266</v>
      </c>
      <c r="C811" s="2" t="inlineStr">
        <is>
          <t>Zoho</t>
        </is>
      </c>
      <c r="D811" s="2" t="inlineStr">
        <is>
          <t>Sales</t>
        </is>
      </c>
      <c r="E811" s="2" t="inlineStr">
        <is>
          <t>Facilities</t>
        </is>
      </c>
      <c r="F811" s="8" t="n">
        <v>68600</v>
      </c>
      <c r="G811" s="2" t="n">
        <v>15</v>
      </c>
      <c r="H811" s="7" t="n">
        <v>46281</v>
      </c>
      <c r="I811" s="7" t="n">
        <v>46281</v>
      </c>
      <c r="J811" s="2" t="inlineStr">
        <is>
          <t>Paid</t>
        </is>
      </c>
      <c r="K811" s="2" t="inlineStr">
        <is>
          <t>Yes</t>
        </is>
      </c>
      <c r="L811" s="9" t="n">
        <v>0.02</v>
      </c>
      <c r="M811" s="2" t="inlineStr">
        <is>
          <t>Received</t>
        </is>
      </c>
      <c r="N811" s="2" t="inlineStr">
        <is>
          <t>Approved</t>
        </is>
      </c>
      <c r="O811" s="2" t="n"/>
      <c r="P811" s="2" t="n"/>
      <c r="Q811" s="2" t="n"/>
      <c r="R811" s="2" t="n"/>
    </row>
    <row r="812">
      <c r="A812" s="2" t="inlineStr">
        <is>
          <t>INV00809</t>
        </is>
      </c>
      <c r="B812" s="7" t="n">
        <v>46212</v>
      </c>
      <c r="C812" s="2" t="inlineStr">
        <is>
          <t>Wipro</t>
        </is>
      </c>
      <c r="D812" s="2" t="inlineStr">
        <is>
          <t>Finance</t>
        </is>
      </c>
      <c r="E812" s="2" t="inlineStr">
        <is>
          <t>Cloud</t>
        </is>
      </c>
      <c r="F812" s="8" t="n">
        <v>34400</v>
      </c>
      <c r="G812" s="2" t="n">
        <v>60</v>
      </c>
      <c r="H812" s="7" t="n">
        <v>46272</v>
      </c>
      <c r="I812" s="2" t="n"/>
      <c r="J812" s="2" t="inlineStr">
        <is>
          <t>Pending</t>
        </is>
      </c>
      <c r="K812" s="2" t="inlineStr">
        <is>
          <t>No</t>
        </is>
      </c>
      <c r="L812" s="9" t="n">
        <v>0</v>
      </c>
      <c r="M812" s="2" t="inlineStr">
        <is>
          <t>Pending</t>
        </is>
      </c>
      <c r="N812" s="2" t="inlineStr">
        <is>
          <t>Approved</t>
        </is>
      </c>
      <c r="O812" s="2" t="n"/>
      <c r="P812" s="2" t="n"/>
      <c r="Q812" s="2" t="n"/>
      <c r="R812" s="2" t="n"/>
    </row>
    <row r="813">
      <c r="A813" s="2" t="inlineStr">
        <is>
          <t>INV00810</t>
        </is>
      </c>
      <c r="B813" s="7" t="n">
        <v>46256</v>
      </c>
      <c r="C813" s="2" t="inlineStr">
        <is>
          <t>Amazon Web Services</t>
        </is>
      </c>
      <c r="D813" s="2" t="inlineStr">
        <is>
          <t>Marketing</t>
        </is>
      </c>
      <c r="E813" s="2" t="inlineStr">
        <is>
          <t>Office Supplies</t>
        </is>
      </c>
      <c r="F813" s="8" t="n">
        <v>746000</v>
      </c>
      <c r="G813" s="2" t="n">
        <v>30</v>
      </c>
      <c r="H813" s="7" t="n">
        <v>46286</v>
      </c>
      <c r="I813" s="7" t="n">
        <v>46301</v>
      </c>
      <c r="J813" s="2" t="inlineStr">
        <is>
          <t>Paid</t>
        </is>
      </c>
      <c r="K813" s="2" t="inlineStr">
        <is>
          <t>Yes</t>
        </is>
      </c>
      <c r="L813" s="9" t="n">
        <v>0.02</v>
      </c>
      <c r="M813" s="2" t="inlineStr">
        <is>
          <t>Received</t>
        </is>
      </c>
      <c r="N813" s="2" t="inlineStr">
        <is>
          <t>Approved</t>
        </is>
      </c>
      <c r="O813" s="2" t="n"/>
      <c r="P813" s="2" t="n"/>
      <c r="Q813" s="2" t="n"/>
      <c r="R813" s="2" t="n"/>
    </row>
    <row r="814">
      <c r="A814" s="2" t="inlineStr">
        <is>
          <t>INV00811</t>
        </is>
      </c>
      <c r="B814" s="7" t="n">
        <v>46065</v>
      </c>
      <c r="C814" s="2" t="inlineStr">
        <is>
          <t>Google Cloud</t>
        </is>
      </c>
      <c r="D814" s="2" t="inlineStr">
        <is>
          <t>Finance</t>
        </is>
      </c>
      <c r="E814" s="2" t="inlineStr">
        <is>
          <t>Travel</t>
        </is>
      </c>
      <c r="F814" s="8" t="n">
        <v>306400</v>
      </c>
      <c r="G814" s="2" t="n">
        <v>30</v>
      </c>
      <c r="H814" s="7" t="n">
        <v>46095</v>
      </c>
      <c r="I814" s="7" t="n">
        <v>46095</v>
      </c>
      <c r="J814" s="2" t="inlineStr">
        <is>
          <t>Paid</t>
        </is>
      </c>
      <c r="K814" s="2" t="inlineStr">
        <is>
          <t>Yes</t>
        </is>
      </c>
      <c r="L814" s="9" t="n">
        <v>0.02</v>
      </c>
      <c r="M814" s="2" t="inlineStr">
        <is>
          <t>Received</t>
        </is>
      </c>
      <c r="N814" s="2" t="inlineStr">
        <is>
          <t>Approved</t>
        </is>
      </c>
      <c r="O814" s="2" t="n"/>
      <c r="P814" s="2" t="n"/>
      <c r="Q814" s="2" t="n"/>
      <c r="R814" s="2" t="n"/>
    </row>
    <row r="815">
      <c r="A815" s="2" t="inlineStr">
        <is>
          <t>INV00812</t>
        </is>
      </c>
      <c r="B815" s="7" t="n">
        <v>46064</v>
      </c>
      <c r="C815" s="2" t="inlineStr">
        <is>
          <t>TCS</t>
        </is>
      </c>
      <c r="D815" s="2" t="inlineStr">
        <is>
          <t>Marketing</t>
        </is>
      </c>
      <c r="E815" s="2" t="inlineStr">
        <is>
          <t>Facilities</t>
        </is>
      </c>
      <c r="F815" s="8" t="n">
        <v>483900</v>
      </c>
      <c r="G815" s="2" t="n">
        <v>45</v>
      </c>
      <c r="H815" s="7" t="n">
        <v>46109</v>
      </c>
      <c r="I815" s="7" t="n">
        <v>46139</v>
      </c>
      <c r="J815" s="2" t="inlineStr">
        <is>
          <t>Paid</t>
        </is>
      </c>
      <c r="K815" s="2" t="inlineStr">
        <is>
          <t>Yes</t>
        </is>
      </c>
      <c r="L815" s="9" t="n">
        <v>0.02</v>
      </c>
      <c r="M815" s="2" t="inlineStr">
        <is>
          <t>Received</t>
        </is>
      </c>
      <c r="N815" s="2" t="inlineStr">
        <is>
          <t>Pending</t>
        </is>
      </c>
      <c r="O815" s="2" t="n"/>
      <c r="P815" s="2" t="n"/>
      <c r="Q815" s="2" t="n"/>
      <c r="R815" s="2" t="n"/>
    </row>
    <row r="816">
      <c r="A816" s="2" t="inlineStr">
        <is>
          <t>INV00813</t>
        </is>
      </c>
      <c r="B816" s="7" t="n">
        <v>46218</v>
      </c>
      <c r="C816" s="2" t="inlineStr">
        <is>
          <t>HCLTech</t>
        </is>
      </c>
      <c r="D816" s="2" t="inlineStr">
        <is>
          <t>Marketing</t>
        </is>
      </c>
      <c r="E816" s="2" t="inlineStr">
        <is>
          <t>Office Supplies</t>
        </is>
      </c>
      <c r="F816" s="8" t="n">
        <v>391000</v>
      </c>
      <c r="G816" s="2" t="n">
        <v>30</v>
      </c>
      <c r="H816" s="7" t="n">
        <v>46248</v>
      </c>
      <c r="I816" s="7" t="n">
        <v>46253</v>
      </c>
      <c r="J816" s="2" t="inlineStr">
        <is>
          <t>Paid</t>
        </is>
      </c>
      <c r="K816" s="2" t="inlineStr">
        <is>
          <t>No</t>
        </is>
      </c>
      <c r="L816" s="9" t="n">
        <v>0</v>
      </c>
      <c r="M816" s="2" t="inlineStr">
        <is>
          <t>Received</t>
        </is>
      </c>
      <c r="N816" s="2" t="inlineStr">
        <is>
          <t>Approved</t>
        </is>
      </c>
      <c r="O816" s="2" t="n"/>
      <c r="P816" s="2" t="n"/>
      <c r="Q816" s="2" t="n"/>
      <c r="R816" s="2" t="n"/>
    </row>
    <row r="817">
      <c r="A817" s="2" t="inlineStr">
        <is>
          <t>INV00814</t>
        </is>
      </c>
      <c r="B817" s="7" t="n">
        <v>46238</v>
      </c>
      <c r="C817" s="2" t="inlineStr">
        <is>
          <t>Wipro</t>
        </is>
      </c>
      <c r="D817" s="2" t="inlineStr">
        <is>
          <t>IT</t>
        </is>
      </c>
      <c r="E817" s="2" t="inlineStr">
        <is>
          <t>Cloud</t>
        </is>
      </c>
      <c r="F817" s="8" t="n">
        <v>224100</v>
      </c>
      <c r="G817" s="2" t="n">
        <v>15</v>
      </c>
      <c r="H817" s="7" t="n">
        <v>46253</v>
      </c>
      <c r="I817" s="7" t="n">
        <v>46253</v>
      </c>
      <c r="J817" s="2" t="inlineStr">
        <is>
          <t>Paid</t>
        </is>
      </c>
      <c r="K817" s="2" t="inlineStr">
        <is>
          <t>No</t>
        </is>
      </c>
      <c r="L817" s="9" t="n">
        <v>0</v>
      </c>
      <c r="M817" s="2" t="inlineStr">
        <is>
          <t>Received</t>
        </is>
      </c>
      <c r="N817" s="2" t="inlineStr">
        <is>
          <t>Approved</t>
        </is>
      </c>
      <c r="O817" s="2" t="n"/>
      <c r="P817" s="2" t="n"/>
      <c r="Q817" s="2" t="n"/>
      <c r="R817" s="2" t="n"/>
    </row>
    <row r="818">
      <c r="A818" s="2" t="inlineStr">
        <is>
          <t>INV00815</t>
        </is>
      </c>
      <c r="B818" s="7" t="n">
        <v>46187</v>
      </c>
      <c r="C818" s="2" t="inlineStr">
        <is>
          <t>TCS</t>
        </is>
      </c>
      <c r="D818" s="2" t="inlineStr">
        <is>
          <t>Finance</t>
        </is>
      </c>
      <c r="E818" s="2" t="inlineStr">
        <is>
          <t>Professional Services</t>
        </is>
      </c>
      <c r="F818" s="8" t="n">
        <v>289900</v>
      </c>
      <c r="G818" s="2" t="n">
        <v>60</v>
      </c>
      <c r="H818" s="7" t="n">
        <v>46247</v>
      </c>
      <c r="I818" s="7" t="n">
        <v>46247</v>
      </c>
      <c r="J818" s="2" t="inlineStr">
        <is>
          <t>Paid</t>
        </is>
      </c>
      <c r="K818" s="2" t="inlineStr">
        <is>
          <t>No</t>
        </is>
      </c>
      <c r="L818" s="9" t="n">
        <v>0</v>
      </c>
      <c r="M818" s="2" t="inlineStr">
        <is>
          <t>Pending</t>
        </is>
      </c>
      <c r="N818" s="2" t="inlineStr">
        <is>
          <t>Approved</t>
        </is>
      </c>
      <c r="O818" s="2" t="n"/>
      <c r="P818" s="2" t="n"/>
      <c r="Q818" s="2" t="n"/>
      <c r="R818" s="2" t="n"/>
    </row>
    <row r="819">
      <c r="A819" s="2" t="inlineStr">
        <is>
          <t>INV00816</t>
        </is>
      </c>
      <c r="B819" s="7" t="n">
        <v>46125</v>
      </c>
      <c r="C819" s="2" t="inlineStr">
        <is>
          <t>Deloitte</t>
        </is>
      </c>
      <c r="D819" s="2" t="inlineStr">
        <is>
          <t>Marketing</t>
        </is>
      </c>
      <c r="E819" s="2" t="inlineStr">
        <is>
          <t>Consulting</t>
        </is>
      </c>
      <c r="F819" s="8" t="n">
        <v>132100</v>
      </c>
      <c r="G819" s="2" t="n">
        <v>60</v>
      </c>
      <c r="H819" s="7" t="n">
        <v>46185</v>
      </c>
      <c r="I819" s="7" t="n">
        <v>46275</v>
      </c>
      <c r="J819" s="2" t="inlineStr">
        <is>
          <t>Paid</t>
        </is>
      </c>
      <c r="K819" s="2" t="inlineStr">
        <is>
          <t>Yes</t>
        </is>
      </c>
      <c r="L819" s="9" t="n">
        <v>0.02</v>
      </c>
      <c r="M819" s="2" t="inlineStr">
        <is>
          <t>Received</t>
        </is>
      </c>
      <c r="N819" s="2" t="inlineStr">
        <is>
          <t>Approved</t>
        </is>
      </c>
      <c r="O819" s="2" t="n"/>
      <c r="P819" s="2" t="n"/>
      <c r="Q819" s="2" t="n"/>
      <c r="R819" s="2" t="n"/>
    </row>
    <row r="820">
      <c r="A820" s="2" t="inlineStr">
        <is>
          <t>INV00817</t>
        </is>
      </c>
      <c r="B820" s="7" t="n">
        <v>46150</v>
      </c>
      <c r="C820" s="2" t="inlineStr">
        <is>
          <t>Amazon Web Services</t>
        </is>
      </c>
      <c r="D820" s="2" t="inlineStr">
        <is>
          <t>Marketing</t>
        </is>
      </c>
      <c r="E820" s="2" t="inlineStr">
        <is>
          <t>Software</t>
        </is>
      </c>
      <c r="F820" s="8" t="n">
        <v>715200</v>
      </c>
      <c r="G820" s="2" t="n">
        <v>45</v>
      </c>
      <c r="H820" s="7" t="n">
        <v>46195</v>
      </c>
      <c r="I820" s="7" t="n">
        <v>46195</v>
      </c>
      <c r="J820" s="2" t="inlineStr">
        <is>
          <t>Paid</t>
        </is>
      </c>
      <c r="K820" s="2" t="inlineStr">
        <is>
          <t>No</t>
        </is>
      </c>
      <c r="L820" s="9" t="n">
        <v>0</v>
      </c>
      <c r="M820" s="2" t="inlineStr">
        <is>
          <t>Received</t>
        </is>
      </c>
      <c r="N820" s="2" t="inlineStr">
        <is>
          <t>Approved</t>
        </is>
      </c>
      <c r="O820" s="2" t="n"/>
      <c r="P820" s="2" t="n"/>
      <c r="Q820" s="2" t="n"/>
      <c r="R820" s="2" t="n"/>
    </row>
    <row r="821">
      <c r="A821" s="2" t="inlineStr">
        <is>
          <t>INV00818</t>
        </is>
      </c>
      <c r="B821" s="7" t="n">
        <v>46118</v>
      </c>
      <c r="C821" s="2" t="inlineStr">
        <is>
          <t>Cognizant</t>
        </is>
      </c>
      <c r="D821" s="2" t="inlineStr">
        <is>
          <t>Finance</t>
        </is>
      </c>
      <c r="E821" s="2" t="inlineStr">
        <is>
          <t>Consulting</t>
        </is>
      </c>
      <c r="F821" s="8" t="n">
        <v>177900</v>
      </c>
      <c r="G821" s="2" t="n">
        <v>45</v>
      </c>
      <c r="H821" s="7" t="n">
        <v>46163</v>
      </c>
      <c r="I821" s="7" t="n">
        <v>46163</v>
      </c>
      <c r="J821" s="2" t="inlineStr">
        <is>
          <t>Paid</t>
        </is>
      </c>
      <c r="K821" s="2" t="inlineStr">
        <is>
          <t>No</t>
        </is>
      </c>
      <c r="L821" s="9" t="n">
        <v>0</v>
      </c>
      <c r="M821" s="2" t="inlineStr">
        <is>
          <t>Received</t>
        </is>
      </c>
      <c r="N821" s="2" t="inlineStr">
        <is>
          <t>Approved</t>
        </is>
      </c>
      <c r="O821" s="2" t="n"/>
      <c r="P821" s="2" t="n"/>
      <c r="Q821" s="2" t="n"/>
      <c r="R821" s="2" t="n"/>
    </row>
    <row r="822">
      <c r="A822" s="2" t="inlineStr">
        <is>
          <t>INV00819</t>
        </is>
      </c>
      <c r="B822" s="7" t="n">
        <v>46364</v>
      </c>
      <c r="C822" s="2" t="inlineStr">
        <is>
          <t>Deloitte</t>
        </is>
      </c>
      <c r="D822" s="2" t="inlineStr">
        <is>
          <t>HR</t>
        </is>
      </c>
      <c r="E822" s="2" t="inlineStr">
        <is>
          <t>Travel</t>
        </is>
      </c>
      <c r="F822" s="8" t="n">
        <v>499100</v>
      </c>
      <c r="G822" s="2" t="n">
        <v>15</v>
      </c>
      <c r="H822" s="7" t="n">
        <v>46379</v>
      </c>
      <c r="I822" s="7" t="n">
        <v>46379</v>
      </c>
      <c r="J822" s="2" t="inlineStr">
        <is>
          <t>Paid</t>
        </is>
      </c>
      <c r="K822" s="2" t="inlineStr">
        <is>
          <t>No</t>
        </is>
      </c>
      <c r="L822" s="9" t="n">
        <v>0</v>
      </c>
      <c r="M822" s="2" t="inlineStr">
        <is>
          <t>Received</t>
        </is>
      </c>
      <c r="N822" s="2" t="inlineStr">
        <is>
          <t>Approved</t>
        </is>
      </c>
      <c r="O822" s="2" t="n"/>
      <c r="P822" s="2" t="n"/>
      <c r="Q822" s="2" t="n"/>
      <c r="R822" s="2" t="n"/>
    </row>
    <row r="823">
      <c r="A823" s="2" t="inlineStr">
        <is>
          <t>INV00820</t>
        </is>
      </c>
      <c r="B823" s="7" t="n">
        <v>46145</v>
      </c>
      <c r="C823" s="2" t="inlineStr">
        <is>
          <t>Deloitte</t>
        </is>
      </c>
      <c r="D823" s="2" t="inlineStr">
        <is>
          <t>Sales</t>
        </is>
      </c>
      <c r="E823" s="2" t="inlineStr">
        <is>
          <t>Facilities</t>
        </is>
      </c>
      <c r="F823" s="8" t="n">
        <v>150500</v>
      </c>
      <c r="G823" s="2" t="n">
        <v>15</v>
      </c>
      <c r="H823" s="7" t="n">
        <v>46160</v>
      </c>
      <c r="I823" s="7" t="n">
        <v>46160</v>
      </c>
      <c r="J823" s="2" t="inlineStr">
        <is>
          <t>Paid</t>
        </is>
      </c>
      <c r="K823" s="2" t="inlineStr">
        <is>
          <t>Yes</t>
        </is>
      </c>
      <c r="L823" s="9" t="n">
        <v>0.02</v>
      </c>
      <c r="M823" s="2" t="inlineStr">
        <is>
          <t>Received</t>
        </is>
      </c>
      <c r="N823" s="2" t="inlineStr">
        <is>
          <t>Approved</t>
        </is>
      </c>
      <c r="O823" s="2" t="n"/>
      <c r="P823" s="2" t="n"/>
      <c r="Q823" s="2" t="n"/>
      <c r="R823" s="2" t="n"/>
    </row>
    <row r="824">
      <c r="A824" s="2" t="inlineStr">
        <is>
          <t>INV00821</t>
        </is>
      </c>
      <c r="B824" s="7" t="n">
        <v>46169</v>
      </c>
      <c r="C824" s="2" t="inlineStr">
        <is>
          <t>TCS</t>
        </is>
      </c>
      <c r="D824" s="2" t="inlineStr">
        <is>
          <t>Marketing</t>
        </is>
      </c>
      <c r="E824" s="2" t="inlineStr">
        <is>
          <t>Office Supplies</t>
        </is>
      </c>
      <c r="F824" s="8" t="n">
        <v>190000</v>
      </c>
      <c r="G824" s="2" t="n">
        <v>30</v>
      </c>
      <c r="H824" s="7" t="n">
        <v>46199</v>
      </c>
      <c r="I824" s="7" t="n">
        <v>46214</v>
      </c>
      <c r="J824" s="2" t="inlineStr">
        <is>
          <t>Paid</t>
        </is>
      </c>
      <c r="K824" s="2" t="inlineStr">
        <is>
          <t>No</t>
        </is>
      </c>
      <c r="L824" s="9" t="n">
        <v>0</v>
      </c>
      <c r="M824" s="2" t="inlineStr">
        <is>
          <t>Received</t>
        </is>
      </c>
      <c r="N824" s="2" t="inlineStr">
        <is>
          <t>Pending</t>
        </is>
      </c>
      <c r="O824" s="2" t="n"/>
      <c r="P824" s="2" t="n"/>
      <c r="Q824" s="2" t="n"/>
      <c r="R824" s="2" t="n"/>
    </row>
    <row r="825">
      <c r="A825" s="2" t="inlineStr">
        <is>
          <t>INV00822</t>
        </is>
      </c>
      <c r="B825" s="7" t="n">
        <v>46164</v>
      </c>
      <c r="C825" s="2" t="inlineStr">
        <is>
          <t>IBM</t>
        </is>
      </c>
      <c r="D825" s="2" t="inlineStr">
        <is>
          <t>HR</t>
        </is>
      </c>
      <c r="E825" s="2" t="inlineStr">
        <is>
          <t>Consulting</t>
        </is>
      </c>
      <c r="F825" s="8" t="n">
        <v>514500</v>
      </c>
      <c r="G825" s="2" t="n">
        <v>60</v>
      </c>
      <c r="H825" s="7" t="n">
        <v>46224</v>
      </c>
      <c r="I825" s="2" t="n"/>
      <c r="J825" s="2" t="inlineStr">
        <is>
          <t>Pending</t>
        </is>
      </c>
      <c r="K825" s="2" t="inlineStr">
        <is>
          <t>No</t>
        </is>
      </c>
      <c r="L825" s="9" t="n">
        <v>0</v>
      </c>
      <c r="M825" s="2" t="inlineStr">
        <is>
          <t>Received</t>
        </is>
      </c>
      <c r="N825" s="2" t="inlineStr">
        <is>
          <t>Pending</t>
        </is>
      </c>
      <c r="O825" s="2" t="n"/>
      <c r="P825" s="2" t="n"/>
      <c r="Q825" s="2" t="n"/>
      <c r="R825" s="2" t="n"/>
    </row>
    <row r="826">
      <c r="A826" s="2" t="inlineStr">
        <is>
          <t>INV00823</t>
        </is>
      </c>
      <c r="B826" s="7" t="n">
        <v>46311</v>
      </c>
      <c r="C826" s="2" t="inlineStr">
        <is>
          <t>Amazon Web Services</t>
        </is>
      </c>
      <c r="D826" s="2" t="inlineStr">
        <is>
          <t>HR</t>
        </is>
      </c>
      <c r="E826" s="2" t="inlineStr">
        <is>
          <t>Travel</t>
        </is>
      </c>
      <c r="F826" s="8" t="n">
        <v>41200</v>
      </c>
      <c r="G826" s="2" t="n">
        <v>15</v>
      </c>
      <c r="H826" s="7" t="n">
        <v>46326</v>
      </c>
      <c r="I826" s="7" t="n">
        <v>46326</v>
      </c>
      <c r="J826" s="2" t="inlineStr">
        <is>
          <t>Paid</t>
        </is>
      </c>
      <c r="K826" s="2" t="inlineStr">
        <is>
          <t>No</t>
        </is>
      </c>
      <c r="L826" s="9" t="n">
        <v>0</v>
      </c>
      <c r="M826" s="2" t="inlineStr">
        <is>
          <t>Received</t>
        </is>
      </c>
      <c r="N826" s="2" t="inlineStr">
        <is>
          <t>Approved</t>
        </is>
      </c>
      <c r="O826" s="2" t="n"/>
      <c r="P826" s="2" t="n"/>
      <c r="Q826" s="2" t="n"/>
      <c r="R826" s="2" t="n"/>
    </row>
    <row r="827">
      <c r="A827" s="2" t="inlineStr">
        <is>
          <t>INV00824</t>
        </is>
      </c>
      <c r="B827" s="7" t="n">
        <v>46215</v>
      </c>
      <c r="C827" s="2" t="inlineStr">
        <is>
          <t>TCS</t>
        </is>
      </c>
      <c r="D827" s="2" t="inlineStr">
        <is>
          <t>Sales</t>
        </is>
      </c>
      <c r="E827" s="2" t="inlineStr">
        <is>
          <t>Software</t>
        </is>
      </c>
      <c r="F827" s="8" t="n">
        <v>230600</v>
      </c>
      <c r="G827" s="2" t="n">
        <v>30</v>
      </c>
      <c r="H827" s="7" t="n">
        <v>46245</v>
      </c>
      <c r="I827" s="2" t="n"/>
      <c r="J827" s="2" t="inlineStr">
        <is>
          <t>Pending</t>
        </is>
      </c>
      <c r="K827" s="2" t="inlineStr">
        <is>
          <t>No</t>
        </is>
      </c>
      <c r="L827" s="9" t="n">
        <v>0</v>
      </c>
      <c r="M827" s="2" t="inlineStr">
        <is>
          <t>Received</t>
        </is>
      </c>
      <c r="N827" s="2" t="inlineStr">
        <is>
          <t>Approved</t>
        </is>
      </c>
      <c r="O827" s="2" t="n"/>
      <c r="P827" s="2" t="n"/>
      <c r="Q827" s="2" t="n"/>
      <c r="R827" s="2" t="n"/>
    </row>
    <row r="828">
      <c r="A828" s="2" t="inlineStr">
        <is>
          <t>INV00825</t>
        </is>
      </c>
      <c r="B828" s="7" t="n">
        <v>46251</v>
      </c>
      <c r="C828" s="2" t="inlineStr">
        <is>
          <t>Deloitte</t>
        </is>
      </c>
      <c r="D828" s="2" t="inlineStr">
        <is>
          <t>HR</t>
        </is>
      </c>
      <c r="E828" s="2" t="inlineStr">
        <is>
          <t>Travel</t>
        </is>
      </c>
      <c r="F828" s="8" t="n">
        <v>543300</v>
      </c>
      <c r="G828" s="2" t="n">
        <v>45</v>
      </c>
      <c r="H828" s="7" t="n">
        <v>46296</v>
      </c>
      <c r="I828" s="2" t="n"/>
      <c r="J828" s="2" t="inlineStr">
        <is>
          <t>Pending</t>
        </is>
      </c>
      <c r="K828" s="2" t="inlineStr">
        <is>
          <t>Yes</t>
        </is>
      </c>
      <c r="L828" s="9" t="n">
        <v>0.02</v>
      </c>
      <c r="M828" s="2" t="inlineStr">
        <is>
          <t>Received</t>
        </is>
      </c>
      <c r="N828" s="2" t="inlineStr">
        <is>
          <t>Approved</t>
        </is>
      </c>
      <c r="O828" s="2" t="n"/>
      <c r="P828" s="2" t="n"/>
      <c r="Q828" s="2" t="n"/>
      <c r="R828" s="2" t="n"/>
    </row>
    <row r="829">
      <c r="A829" s="2" t="inlineStr">
        <is>
          <t>INV00826</t>
        </is>
      </c>
      <c r="B829" s="7" t="n">
        <v>46367</v>
      </c>
      <c r="C829" s="2" t="inlineStr">
        <is>
          <t>HCLTech</t>
        </is>
      </c>
      <c r="D829" s="2" t="inlineStr">
        <is>
          <t>Marketing</t>
        </is>
      </c>
      <c r="E829" s="2" t="inlineStr">
        <is>
          <t>Software</t>
        </is>
      </c>
      <c r="F829" s="8" t="n">
        <v>675000</v>
      </c>
      <c r="G829" s="2" t="n">
        <v>60</v>
      </c>
      <c r="H829" s="7" t="n">
        <v>46427</v>
      </c>
      <c r="I829" s="7" t="n">
        <v>46517</v>
      </c>
      <c r="J829" s="2" t="inlineStr">
        <is>
          <t>Paid</t>
        </is>
      </c>
      <c r="K829" s="2" t="inlineStr">
        <is>
          <t>No</t>
        </is>
      </c>
      <c r="L829" s="9" t="n">
        <v>0</v>
      </c>
      <c r="M829" s="2" t="inlineStr">
        <is>
          <t>Received</t>
        </is>
      </c>
      <c r="N829" s="2" t="inlineStr">
        <is>
          <t>Approved</t>
        </is>
      </c>
      <c r="O829" s="2" t="n"/>
      <c r="P829" s="2" t="n"/>
      <c r="Q829" s="2" t="n"/>
      <c r="R829" s="2" t="n"/>
    </row>
    <row r="830">
      <c r="A830" s="2" t="inlineStr">
        <is>
          <t>INV00827</t>
        </is>
      </c>
      <c r="B830" s="7" t="n">
        <v>46098</v>
      </c>
      <c r="C830" s="2" t="inlineStr">
        <is>
          <t>Infosys</t>
        </is>
      </c>
      <c r="D830" s="2" t="inlineStr">
        <is>
          <t>Marketing</t>
        </is>
      </c>
      <c r="E830" s="2" t="inlineStr">
        <is>
          <t>Office Supplies</t>
        </is>
      </c>
      <c r="F830" s="8" t="n">
        <v>466200</v>
      </c>
      <c r="G830" s="2" t="n">
        <v>30</v>
      </c>
      <c r="H830" s="7" t="n">
        <v>46128</v>
      </c>
      <c r="I830" s="7" t="n">
        <v>46128</v>
      </c>
      <c r="J830" s="2" t="inlineStr">
        <is>
          <t>Paid</t>
        </is>
      </c>
      <c r="K830" s="2" t="inlineStr">
        <is>
          <t>Yes</t>
        </is>
      </c>
      <c r="L830" s="9" t="n">
        <v>0.02</v>
      </c>
      <c r="M830" s="2" t="inlineStr">
        <is>
          <t>Received</t>
        </is>
      </c>
      <c r="N830" s="2" t="inlineStr">
        <is>
          <t>Approved</t>
        </is>
      </c>
      <c r="O830" s="2" t="n"/>
      <c r="P830" s="2" t="n"/>
      <c r="Q830" s="2" t="n"/>
      <c r="R830" s="2" t="n"/>
    </row>
    <row r="831">
      <c r="A831" s="2" t="inlineStr">
        <is>
          <t>INV00828</t>
        </is>
      </c>
      <c r="B831" s="7" t="n">
        <v>46143</v>
      </c>
      <c r="C831" s="2" t="inlineStr">
        <is>
          <t>Adobe</t>
        </is>
      </c>
      <c r="D831" s="2" t="inlineStr">
        <is>
          <t>HR</t>
        </is>
      </c>
      <c r="E831" s="2" t="inlineStr">
        <is>
          <t>Travel</t>
        </is>
      </c>
      <c r="F831" s="8" t="n">
        <v>353300</v>
      </c>
      <c r="G831" s="2" t="n">
        <v>15</v>
      </c>
      <c r="H831" s="7" t="n">
        <v>46158</v>
      </c>
      <c r="I831" s="2" t="n"/>
      <c r="J831" s="2" t="inlineStr">
        <is>
          <t>Pending</t>
        </is>
      </c>
      <c r="K831" s="2" t="inlineStr">
        <is>
          <t>No</t>
        </is>
      </c>
      <c r="L831" s="9" t="n">
        <v>0</v>
      </c>
      <c r="M831" s="2" t="inlineStr">
        <is>
          <t>Pending</t>
        </is>
      </c>
      <c r="N831" s="2" t="inlineStr">
        <is>
          <t>Approved</t>
        </is>
      </c>
      <c r="O831" s="2" t="n"/>
      <c r="P831" s="2" t="n"/>
      <c r="Q831" s="2" t="n"/>
      <c r="R831" s="2" t="n"/>
    </row>
    <row r="832">
      <c r="A832" s="2" t="inlineStr">
        <is>
          <t>INV00829</t>
        </is>
      </c>
      <c r="B832" s="7" t="n">
        <v>46076</v>
      </c>
      <c r="C832" s="2" t="inlineStr">
        <is>
          <t>Infosys</t>
        </is>
      </c>
      <c r="D832" s="2" t="inlineStr">
        <is>
          <t>Finance</t>
        </is>
      </c>
      <c r="E832" s="2" t="inlineStr">
        <is>
          <t>Travel</t>
        </is>
      </c>
      <c r="F832" s="8" t="n">
        <v>938700</v>
      </c>
      <c r="G832" s="2" t="n">
        <v>30</v>
      </c>
      <c r="H832" s="7" t="n">
        <v>46106</v>
      </c>
      <c r="I832" s="7" t="n">
        <v>46106</v>
      </c>
      <c r="J832" s="2" t="inlineStr">
        <is>
          <t>Paid</t>
        </is>
      </c>
      <c r="K832" s="2" t="inlineStr">
        <is>
          <t>No</t>
        </is>
      </c>
      <c r="L832" s="9" t="n">
        <v>0</v>
      </c>
      <c r="M832" s="2" t="inlineStr">
        <is>
          <t>Received</t>
        </is>
      </c>
      <c r="N832" s="2" t="inlineStr">
        <is>
          <t>Approved</t>
        </is>
      </c>
      <c r="O832" s="2" t="n"/>
      <c r="P832" s="2" t="n"/>
      <c r="Q832" s="2" t="n"/>
      <c r="R832" s="2" t="n"/>
    </row>
    <row r="833">
      <c r="A833" s="2" t="inlineStr">
        <is>
          <t>INV00830</t>
        </is>
      </c>
      <c r="B833" s="7" t="n">
        <v>46216</v>
      </c>
      <c r="C833" s="2" t="inlineStr">
        <is>
          <t>Zoho</t>
        </is>
      </c>
      <c r="D833" s="2" t="inlineStr">
        <is>
          <t>IT</t>
        </is>
      </c>
      <c r="E833" s="2" t="inlineStr">
        <is>
          <t>Consulting</t>
        </is>
      </c>
      <c r="F833" s="8" t="n">
        <v>380000</v>
      </c>
      <c r="G833" s="2" t="n">
        <v>45</v>
      </c>
      <c r="H833" s="7" t="n">
        <v>46261</v>
      </c>
      <c r="I833" s="7" t="n">
        <v>46261</v>
      </c>
      <c r="J833" s="2" t="inlineStr">
        <is>
          <t>Paid</t>
        </is>
      </c>
      <c r="K833" s="2" t="inlineStr">
        <is>
          <t>No</t>
        </is>
      </c>
      <c r="L833" s="9" t="n">
        <v>0</v>
      </c>
      <c r="M833" s="2" t="inlineStr">
        <is>
          <t>Received</t>
        </is>
      </c>
      <c r="N833" s="2" t="inlineStr">
        <is>
          <t>Approved</t>
        </is>
      </c>
      <c r="O833" s="2" t="n"/>
      <c r="P833" s="2" t="n"/>
      <c r="Q833" s="2" t="n"/>
      <c r="R833" s="2" t="n"/>
    </row>
    <row r="834">
      <c r="A834" s="2" t="inlineStr">
        <is>
          <t>INV00831</t>
        </is>
      </c>
      <c r="B834" s="7" t="n">
        <v>46095</v>
      </c>
      <c r="C834" s="2" t="inlineStr">
        <is>
          <t>Google Cloud</t>
        </is>
      </c>
      <c r="D834" s="2" t="inlineStr">
        <is>
          <t>Finance</t>
        </is>
      </c>
      <c r="E834" s="2" t="inlineStr">
        <is>
          <t>Consulting</t>
        </is>
      </c>
      <c r="F834" s="8" t="n">
        <v>675000</v>
      </c>
      <c r="G834" s="2" t="n">
        <v>45</v>
      </c>
      <c r="H834" s="7" t="n">
        <v>46140</v>
      </c>
      <c r="I834" s="7" t="n">
        <v>46140</v>
      </c>
      <c r="J834" s="2" t="inlineStr">
        <is>
          <t>Paid</t>
        </is>
      </c>
      <c r="K834" s="2" t="inlineStr">
        <is>
          <t>No</t>
        </is>
      </c>
      <c r="L834" s="9" t="n">
        <v>0</v>
      </c>
      <c r="M834" s="2" t="inlineStr">
        <is>
          <t>Received</t>
        </is>
      </c>
      <c r="N834" s="2" t="inlineStr">
        <is>
          <t>Approved</t>
        </is>
      </c>
      <c r="O834" s="2" t="n"/>
      <c r="P834" s="2" t="n"/>
      <c r="Q834" s="2" t="n"/>
      <c r="R834" s="2" t="n"/>
    </row>
    <row r="835">
      <c r="A835" s="2" t="inlineStr">
        <is>
          <t>INV00832</t>
        </is>
      </c>
      <c r="B835" s="7" t="n">
        <v>46257</v>
      </c>
      <c r="C835" s="2" t="inlineStr">
        <is>
          <t>Oracle</t>
        </is>
      </c>
      <c r="D835" s="2" t="inlineStr">
        <is>
          <t>Marketing</t>
        </is>
      </c>
      <c r="E835" s="2" t="inlineStr">
        <is>
          <t>Travel</t>
        </is>
      </c>
      <c r="F835" s="8" t="n">
        <v>570800</v>
      </c>
      <c r="G835" s="2" t="n">
        <v>45</v>
      </c>
      <c r="H835" s="7" t="n">
        <v>46302</v>
      </c>
      <c r="I835" s="2" t="n"/>
      <c r="J835" s="2" t="inlineStr">
        <is>
          <t>Pending</t>
        </is>
      </c>
      <c r="K835" s="2" t="inlineStr">
        <is>
          <t>No</t>
        </is>
      </c>
      <c r="L835" s="9" t="n">
        <v>0</v>
      </c>
      <c r="M835" s="2" t="inlineStr">
        <is>
          <t>Pending</t>
        </is>
      </c>
      <c r="N835" s="2" t="inlineStr">
        <is>
          <t>Approved</t>
        </is>
      </c>
      <c r="O835" s="2" t="n"/>
      <c r="P835" s="2" t="n"/>
      <c r="Q835" s="2" t="n"/>
      <c r="R835" s="2" t="n"/>
    </row>
    <row r="836">
      <c r="A836" s="2" t="inlineStr">
        <is>
          <t>INV00833</t>
        </is>
      </c>
      <c r="B836" s="7" t="n">
        <v>46206</v>
      </c>
      <c r="C836" s="2" t="inlineStr">
        <is>
          <t>Cognizant</t>
        </is>
      </c>
      <c r="D836" s="2" t="inlineStr">
        <is>
          <t>Finance</t>
        </is>
      </c>
      <c r="E836" s="2" t="inlineStr">
        <is>
          <t>Office Supplies</t>
        </is>
      </c>
      <c r="F836" s="8" t="n">
        <v>685200</v>
      </c>
      <c r="G836" s="2" t="n">
        <v>45</v>
      </c>
      <c r="H836" s="7" t="n">
        <v>46251</v>
      </c>
      <c r="I836" s="7" t="n">
        <v>46251</v>
      </c>
      <c r="J836" s="2" t="inlineStr">
        <is>
          <t>Paid</t>
        </is>
      </c>
      <c r="K836" s="2" t="inlineStr">
        <is>
          <t>No</t>
        </is>
      </c>
      <c r="L836" s="9" t="n">
        <v>0</v>
      </c>
      <c r="M836" s="2" t="inlineStr">
        <is>
          <t>Received</t>
        </is>
      </c>
      <c r="N836" s="2" t="inlineStr">
        <is>
          <t>Approved</t>
        </is>
      </c>
      <c r="O836" s="2" t="n"/>
      <c r="P836" s="2" t="n"/>
      <c r="Q836" s="2" t="n"/>
      <c r="R836" s="2" t="n"/>
    </row>
    <row r="837">
      <c r="A837" s="2" t="inlineStr">
        <is>
          <t>INV00834</t>
        </is>
      </c>
      <c r="B837" s="7" t="n">
        <v>46208</v>
      </c>
      <c r="C837" s="2" t="inlineStr">
        <is>
          <t>Adobe</t>
        </is>
      </c>
      <c r="D837" s="2" t="inlineStr">
        <is>
          <t>Sales</t>
        </is>
      </c>
      <c r="E837" s="2" t="inlineStr">
        <is>
          <t>Software</t>
        </is>
      </c>
      <c r="F837" s="8" t="n">
        <v>906200</v>
      </c>
      <c r="G837" s="2" t="n">
        <v>60</v>
      </c>
      <c r="H837" s="7" t="n">
        <v>46268</v>
      </c>
      <c r="I837" s="2" t="n"/>
      <c r="J837" s="2" t="inlineStr">
        <is>
          <t>Pending</t>
        </is>
      </c>
      <c r="K837" s="2" t="inlineStr">
        <is>
          <t>Yes</t>
        </is>
      </c>
      <c r="L837" s="9" t="n">
        <v>0.02</v>
      </c>
      <c r="M837" s="2" t="inlineStr">
        <is>
          <t>Received</t>
        </is>
      </c>
      <c r="N837" s="2" t="inlineStr">
        <is>
          <t>Pending</t>
        </is>
      </c>
      <c r="O837" s="2" t="n"/>
      <c r="P837" s="2" t="n"/>
      <c r="Q837" s="2" t="n"/>
      <c r="R837" s="2" t="n"/>
    </row>
    <row r="838">
      <c r="A838" s="2" t="inlineStr">
        <is>
          <t>INV00835</t>
        </is>
      </c>
      <c r="B838" s="7" t="n">
        <v>46064</v>
      </c>
      <c r="C838" s="2" t="inlineStr">
        <is>
          <t>Accenture</t>
        </is>
      </c>
      <c r="D838" s="2" t="inlineStr">
        <is>
          <t>IT</t>
        </is>
      </c>
      <c r="E838" s="2" t="inlineStr">
        <is>
          <t>Facilities</t>
        </is>
      </c>
      <c r="F838" s="8" t="n">
        <v>143500</v>
      </c>
      <c r="G838" s="2" t="n">
        <v>45</v>
      </c>
      <c r="H838" s="7" t="n">
        <v>46109</v>
      </c>
      <c r="I838" s="7" t="n">
        <v>46114</v>
      </c>
      <c r="J838" s="2" t="inlineStr">
        <is>
          <t>Paid</t>
        </is>
      </c>
      <c r="K838" s="2" t="inlineStr">
        <is>
          <t>No</t>
        </is>
      </c>
      <c r="L838" s="9" t="n">
        <v>0</v>
      </c>
      <c r="M838" s="2" t="inlineStr">
        <is>
          <t>Received</t>
        </is>
      </c>
      <c r="N838" s="2" t="inlineStr">
        <is>
          <t>Approved</t>
        </is>
      </c>
      <c r="O838" s="2" t="n"/>
      <c r="P838" s="2" t="n"/>
      <c r="Q838" s="2" t="n"/>
      <c r="R838" s="2" t="n"/>
    </row>
    <row r="839">
      <c r="A839" s="2" t="inlineStr">
        <is>
          <t>INV00836</t>
        </is>
      </c>
      <c r="B839" s="7" t="n">
        <v>46270</v>
      </c>
      <c r="C839" s="2" t="inlineStr">
        <is>
          <t>Google Cloud</t>
        </is>
      </c>
      <c r="D839" s="2" t="inlineStr">
        <is>
          <t>Sales</t>
        </is>
      </c>
      <c r="E839" s="2" t="inlineStr">
        <is>
          <t>Professional Services</t>
        </is>
      </c>
      <c r="F839" s="8" t="n">
        <v>59800</v>
      </c>
      <c r="G839" s="2" t="n">
        <v>30</v>
      </c>
      <c r="H839" s="7" t="n">
        <v>46300</v>
      </c>
      <c r="I839" s="7" t="n">
        <v>46300</v>
      </c>
      <c r="J839" s="2" t="inlineStr">
        <is>
          <t>Paid</t>
        </is>
      </c>
      <c r="K839" s="2" t="inlineStr">
        <is>
          <t>No</t>
        </is>
      </c>
      <c r="L839" s="9" t="n">
        <v>0</v>
      </c>
      <c r="M839" s="2" t="inlineStr">
        <is>
          <t>Received</t>
        </is>
      </c>
      <c r="N839" s="2" t="inlineStr">
        <is>
          <t>Approved</t>
        </is>
      </c>
      <c r="O839" s="2" t="n"/>
      <c r="P839" s="2" t="n"/>
      <c r="Q839" s="2" t="n"/>
      <c r="R839" s="2" t="n"/>
    </row>
    <row r="840">
      <c r="A840" s="2" t="inlineStr">
        <is>
          <t>INV00837</t>
        </is>
      </c>
      <c r="B840" s="7" t="n">
        <v>46363</v>
      </c>
      <c r="C840" s="2" t="inlineStr">
        <is>
          <t>Amazon Web Services</t>
        </is>
      </c>
      <c r="D840" s="2" t="inlineStr">
        <is>
          <t>IT</t>
        </is>
      </c>
      <c r="E840" s="2" t="inlineStr">
        <is>
          <t>Software</t>
        </is>
      </c>
      <c r="F840" s="8" t="n">
        <v>152900</v>
      </c>
      <c r="G840" s="2" t="n">
        <v>30</v>
      </c>
      <c r="H840" s="7" t="n">
        <v>46393</v>
      </c>
      <c r="I840" s="7" t="n">
        <v>46393</v>
      </c>
      <c r="J840" s="2" t="inlineStr">
        <is>
          <t>Paid</t>
        </is>
      </c>
      <c r="K840" s="2" t="inlineStr">
        <is>
          <t>Yes</t>
        </is>
      </c>
      <c r="L840" s="9" t="n">
        <v>0.02</v>
      </c>
      <c r="M840" s="2" t="inlineStr">
        <is>
          <t>Received</t>
        </is>
      </c>
      <c r="N840" s="2" t="inlineStr">
        <is>
          <t>Approved</t>
        </is>
      </c>
      <c r="O840" s="2" t="n"/>
      <c r="P840" s="2" t="n"/>
      <c r="Q840" s="2" t="n"/>
      <c r="R840" s="2" t="n"/>
    </row>
    <row r="841">
      <c r="A841" s="2" t="inlineStr">
        <is>
          <t>INV00838</t>
        </is>
      </c>
      <c r="B841" s="7" t="n">
        <v>46063</v>
      </c>
      <c r="C841" s="2" t="inlineStr">
        <is>
          <t>Adobe</t>
        </is>
      </c>
      <c r="D841" s="2" t="inlineStr">
        <is>
          <t>Operations</t>
        </is>
      </c>
      <c r="E841" s="2" t="inlineStr">
        <is>
          <t>Cloud</t>
        </is>
      </c>
      <c r="F841" s="8" t="n">
        <v>660000</v>
      </c>
      <c r="G841" s="2" t="n">
        <v>30</v>
      </c>
      <c r="H841" s="7" t="n">
        <v>46093</v>
      </c>
      <c r="I841" s="2" t="n"/>
      <c r="J841" s="2" t="inlineStr">
        <is>
          <t>Pending</t>
        </is>
      </c>
      <c r="K841" s="2" t="inlineStr">
        <is>
          <t>No</t>
        </is>
      </c>
      <c r="L841" s="9" t="n">
        <v>0</v>
      </c>
      <c r="M841" s="2" t="inlineStr">
        <is>
          <t>Received</t>
        </is>
      </c>
      <c r="N841" s="2" t="inlineStr">
        <is>
          <t>Approved</t>
        </is>
      </c>
      <c r="O841" s="2" t="n"/>
      <c r="P841" s="2" t="n"/>
      <c r="Q841" s="2" t="n"/>
      <c r="R841" s="2" t="n"/>
    </row>
    <row r="842">
      <c r="A842" s="2" t="inlineStr">
        <is>
          <t>INV00839</t>
        </is>
      </c>
      <c r="B842" s="7" t="n">
        <v>46086</v>
      </c>
      <c r="C842" s="2" t="inlineStr">
        <is>
          <t>HCLTech</t>
        </is>
      </c>
      <c r="D842" s="2" t="inlineStr">
        <is>
          <t>Sales</t>
        </is>
      </c>
      <c r="E842" s="2" t="inlineStr">
        <is>
          <t>Travel</t>
        </is>
      </c>
      <c r="F842" s="8" t="n">
        <v>46800</v>
      </c>
      <c r="G842" s="2" t="n">
        <v>30</v>
      </c>
      <c r="H842" s="7" t="n">
        <v>46116</v>
      </c>
      <c r="I842" s="7" t="n">
        <v>46116</v>
      </c>
      <c r="J842" s="2" t="inlineStr">
        <is>
          <t>Paid</t>
        </is>
      </c>
      <c r="K842" s="2" t="inlineStr">
        <is>
          <t>No</t>
        </is>
      </c>
      <c r="L842" s="9" t="n">
        <v>0</v>
      </c>
      <c r="M842" s="2" t="inlineStr">
        <is>
          <t>Pending</t>
        </is>
      </c>
      <c r="N842" s="2" t="inlineStr">
        <is>
          <t>Approved</t>
        </is>
      </c>
      <c r="O842" s="2" t="n"/>
      <c r="P842" s="2" t="n"/>
      <c r="Q842" s="2" t="n"/>
      <c r="R842" s="2" t="n"/>
    </row>
    <row r="843">
      <c r="A843" s="2" t="inlineStr">
        <is>
          <t>INV00840</t>
        </is>
      </c>
      <c r="B843" s="7" t="n">
        <v>46335</v>
      </c>
      <c r="C843" s="2" t="inlineStr">
        <is>
          <t>Adobe</t>
        </is>
      </c>
      <c r="D843" s="2" t="inlineStr">
        <is>
          <t>Operations</t>
        </is>
      </c>
      <c r="E843" s="2" t="inlineStr">
        <is>
          <t>Travel</t>
        </is>
      </c>
      <c r="F843" s="8" t="n">
        <v>118700</v>
      </c>
      <c r="G843" s="2" t="n">
        <v>15</v>
      </c>
      <c r="H843" s="7" t="n">
        <v>46350</v>
      </c>
      <c r="I843" s="7" t="n">
        <v>46350</v>
      </c>
      <c r="J843" s="2" t="inlineStr">
        <is>
          <t>Paid</t>
        </is>
      </c>
      <c r="K843" s="2" t="inlineStr">
        <is>
          <t>No</t>
        </is>
      </c>
      <c r="L843" s="9" t="n">
        <v>0</v>
      </c>
      <c r="M843" s="2" t="inlineStr">
        <is>
          <t>Received</t>
        </is>
      </c>
      <c r="N843" s="2" t="inlineStr">
        <is>
          <t>Approved</t>
        </is>
      </c>
      <c r="O843" s="2" t="n"/>
      <c r="P843" s="2" t="n"/>
      <c r="Q843" s="2" t="n"/>
      <c r="R843" s="2" t="n"/>
    </row>
    <row r="844">
      <c r="A844" s="2" t="inlineStr">
        <is>
          <t>INV00841</t>
        </is>
      </c>
      <c r="B844" s="7" t="n">
        <v>46347</v>
      </c>
      <c r="C844" s="2" t="inlineStr">
        <is>
          <t>Zoho</t>
        </is>
      </c>
      <c r="D844" s="2" t="inlineStr">
        <is>
          <t>Sales</t>
        </is>
      </c>
      <c r="E844" s="2" t="inlineStr">
        <is>
          <t>Office Supplies</t>
        </is>
      </c>
      <c r="F844" s="8" t="n">
        <v>15400</v>
      </c>
      <c r="G844" s="2" t="n">
        <v>60</v>
      </c>
      <c r="H844" s="7" t="n">
        <v>46407</v>
      </c>
      <c r="I844" s="7" t="n">
        <v>46422</v>
      </c>
      <c r="J844" s="2" t="inlineStr">
        <is>
          <t>Paid</t>
        </is>
      </c>
      <c r="K844" s="2" t="inlineStr">
        <is>
          <t>Yes</t>
        </is>
      </c>
      <c r="L844" s="9" t="n">
        <v>0.02</v>
      </c>
      <c r="M844" s="2" t="inlineStr">
        <is>
          <t>Pending</t>
        </is>
      </c>
      <c r="N844" s="2" t="inlineStr">
        <is>
          <t>Approved</t>
        </is>
      </c>
      <c r="O844" s="2" t="n"/>
      <c r="P844" s="2" t="n"/>
      <c r="Q844" s="2" t="n"/>
      <c r="R844" s="2" t="n"/>
    </row>
    <row r="845">
      <c r="A845" s="2" t="inlineStr">
        <is>
          <t>INV00842</t>
        </is>
      </c>
      <c r="B845" s="7" t="n">
        <v>46272</v>
      </c>
      <c r="C845" s="2" t="inlineStr">
        <is>
          <t>Oracle</t>
        </is>
      </c>
      <c r="D845" s="2" t="inlineStr">
        <is>
          <t>Sales</t>
        </is>
      </c>
      <c r="E845" s="2" t="inlineStr">
        <is>
          <t>Office Supplies</t>
        </is>
      </c>
      <c r="F845" s="8" t="n">
        <v>130700</v>
      </c>
      <c r="G845" s="2" t="n">
        <v>60</v>
      </c>
      <c r="H845" s="7" t="n">
        <v>46332</v>
      </c>
      <c r="I845" s="7" t="n">
        <v>46347</v>
      </c>
      <c r="J845" s="2" t="inlineStr">
        <is>
          <t>Paid</t>
        </is>
      </c>
      <c r="K845" s="2" t="inlineStr">
        <is>
          <t>Yes</t>
        </is>
      </c>
      <c r="L845" s="9" t="n">
        <v>0.02</v>
      </c>
      <c r="M845" s="2" t="inlineStr">
        <is>
          <t>Received</t>
        </is>
      </c>
      <c r="N845" s="2" t="inlineStr">
        <is>
          <t>Approved</t>
        </is>
      </c>
      <c r="O845" s="2" t="n"/>
      <c r="P845" s="2" t="n"/>
      <c r="Q845" s="2" t="n"/>
      <c r="R845" s="2" t="n"/>
    </row>
    <row r="846">
      <c r="A846" s="2" t="inlineStr">
        <is>
          <t>INV00843</t>
        </is>
      </c>
      <c r="B846" s="7" t="n">
        <v>46168</v>
      </c>
      <c r="C846" s="2" t="inlineStr">
        <is>
          <t>Cognizant</t>
        </is>
      </c>
      <c r="D846" s="2" t="inlineStr">
        <is>
          <t>Sales</t>
        </is>
      </c>
      <c r="E846" s="2" t="inlineStr">
        <is>
          <t>Consulting</t>
        </is>
      </c>
      <c r="F846" s="8" t="n">
        <v>879500</v>
      </c>
      <c r="G846" s="2" t="n">
        <v>60</v>
      </c>
      <c r="H846" s="7" t="n">
        <v>46228</v>
      </c>
      <c r="I846" s="7" t="n">
        <v>46228</v>
      </c>
      <c r="J846" s="2" t="inlineStr">
        <is>
          <t>Paid</t>
        </is>
      </c>
      <c r="K846" s="2" t="inlineStr">
        <is>
          <t>No</t>
        </is>
      </c>
      <c r="L846" s="9" t="n">
        <v>0</v>
      </c>
      <c r="M846" s="2" t="inlineStr">
        <is>
          <t>Received</t>
        </is>
      </c>
      <c r="N846" s="2" t="inlineStr">
        <is>
          <t>Pending</t>
        </is>
      </c>
      <c r="O846" s="2" t="n"/>
      <c r="P846" s="2" t="n"/>
      <c r="Q846" s="2" t="n"/>
      <c r="R846" s="2" t="n"/>
    </row>
    <row r="847">
      <c r="A847" s="2" t="inlineStr">
        <is>
          <t>INV00844</t>
        </is>
      </c>
      <c r="B847" s="7" t="n">
        <v>46343</v>
      </c>
      <c r="C847" s="2" t="inlineStr">
        <is>
          <t>Infosys</t>
        </is>
      </c>
      <c r="D847" s="2" t="inlineStr">
        <is>
          <t>Finance</t>
        </is>
      </c>
      <c r="E847" s="2" t="inlineStr">
        <is>
          <t>Travel</t>
        </is>
      </c>
      <c r="F847" s="8" t="n">
        <v>685500</v>
      </c>
      <c r="G847" s="2" t="n">
        <v>45</v>
      </c>
      <c r="H847" s="7" t="n">
        <v>46388</v>
      </c>
      <c r="I847" s="7" t="n">
        <v>46388</v>
      </c>
      <c r="J847" s="2" t="inlineStr">
        <is>
          <t>Paid</t>
        </is>
      </c>
      <c r="K847" s="2" t="inlineStr">
        <is>
          <t>No</t>
        </is>
      </c>
      <c r="L847" s="9" t="n">
        <v>0</v>
      </c>
      <c r="M847" s="2" t="inlineStr">
        <is>
          <t>Received</t>
        </is>
      </c>
      <c r="N847" s="2" t="inlineStr">
        <is>
          <t>Approved</t>
        </is>
      </c>
      <c r="O847" s="2" t="n"/>
      <c r="P847" s="2" t="n"/>
      <c r="Q847" s="2" t="n"/>
      <c r="R847" s="2" t="n"/>
    </row>
    <row r="848">
      <c r="A848" s="2" t="inlineStr">
        <is>
          <t>INV00845</t>
        </is>
      </c>
      <c r="B848" s="7" t="n">
        <v>46256</v>
      </c>
      <c r="C848" s="2" t="inlineStr">
        <is>
          <t>IBM</t>
        </is>
      </c>
      <c r="D848" s="2" t="inlineStr">
        <is>
          <t>HR</t>
        </is>
      </c>
      <c r="E848" s="2" t="inlineStr">
        <is>
          <t>Facilities</t>
        </is>
      </c>
      <c r="F848" s="8" t="n">
        <v>245400</v>
      </c>
      <c r="G848" s="2" t="n">
        <v>30</v>
      </c>
      <c r="H848" s="7" t="n">
        <v>46286</v>
      </c>
      <c r="I848" s="7" t="n">
        <v>46346</v>
      </c>
      <c r="J848" s="2" t="inlineStr">
        <is>
          <t>Paid</t>
        </is>
      </c>
      <c r="K848" s="2" t="inlineStr">
        <is>
          <t>No</t>
        </is>
      </c>
      <c r="L848" s="9" t="n">
        <v>0</v>
      </c>
      <c r="M848" s="2" t="inlineStr">
        <is>
          <t>Received</t>
        </is>
      </c>
      <c r="N848" s="2" t="inlineStr">
        <is>
          <t>Pending</t>
        </is>
      </c>
      <c r="O848" s="2" t="n"/>
      <c r="P848" s="2" t="n"/>
      <c r="Q848" s="2" t="n"/>
      <c r="R848" s="2" t="n"/>
    </row>
    <row r="849">
      <c r="A849" s="2" t="inlineStr">
        <is>
          <t>INV00846</t>
        </is>
      </c>
      <c r="B849" s="7" t="n">
        <v>46055</v>
      </c>
      <c r="C849" s="2" t="inlineStr">
        <is>
          <t>Accenture</t>
        </is>
      </c>
      <c r="D849" s="2" t="inlineStr">
        <is>
          <t>HR</t>
        </is>
      </c>
      <c r="E849" s="2" t="inlineStr">
        <is>
          <t>Software</t>
        </is>
      </c>
      <c r="F849" s="8" t="n">
        <v>304700</v>
      </c>
      <c r="G849" s="2" t="n">
        <v>15</v>
      </c>
      <c r="H849" s="7" t="n">
        <v>46070</v>
      </c>
      <c r="I849" s="7" t="n">
        <v>46100</v>
      </c>
      <c r="J849" s="2" t="inlineStr">
        <is>
          <t>Paid</t>
        </is>
      </c>
      <c r="K849" s="2" t="inlineStr">
        <is>
          <t>No</t>
        </is>
      </c>
      <c r="L849" s="9" t="n">
        <v>0</v>
      </c>
      <c r="M849" s="2" t="inlineStr">
        <is>
          <t>Received</t>
        </is>
      </c>
      <c r="N849" s="2" t="inlineStr">
        <is>
          <t>Approved</t>
        </is>
      </c>
      <c r="O849" s="2" t="n"/>
      <c r="P849" s="2" t="n"/>
      <c r="Q849" s="2" t="n"/>
      <c r="R849" s="2" t="n"/>
    </row>
    <row r="850">
      <c r="A850" s="2" t="inlineStr">
        <is>
          <t>INV00847</t>
        </is>
      </c>
      <c r="B850" s="7" t="n">
        <v>46208</v>
      </c>
      <c r="C850" s="2" t="inlineStr">
        <is>
          <t>SAP</t>
        </is>
      </c>
      <c r="D850" s="2" t="inlineStr">
        <is>
          <t>Marketing</t>
        </is>
      </c>
      <c r="E850" s="2" t="inlineStr">
        <is>
          <t>Office Supplies</t>
        </is>
      </c>
      <c r="F850" s="8" t="n">
        <v>618300</v>
      </c>
      <c r="G850" s="2" t="n">
        <v>30</v>
      </c>
      <c r="H850" s="7" t="n">
        <v>46238</v>
      </c>
      <c r="I850" s="7" t="n">
        <v>46253</v>
      </c>
      <c r="J850" s="2" t="inlineStr">
        <is>
          <t>Paid</t>
        </is>
      </c>
      <c r="K850" s="2" t="inlineStr">
        <is>
          <t>No</t>
        </is>
      </c>
      <c r="L850" s="9" t="n">
        <v>0</v>
      </c>
      <c r="M850" s="2" t="inlineStr">
        <is>
          <t>Received</t>
        </is>
      </c>
      <c r="N850" s="2" t="inlineStr">
        <is>
          <t>Approved</t>
        </is>
      </c>
      <c r="O850" s="2" t="n"/>
      <c r="P850" s="2" t="n"/>
      <c r="Q850" s="2" t="n"/>
      <c r="R850" s="2" t="n"/>
    </row>
    <row r="851">
      <c r="A851" s="2" t="inlineStr">
        <is>
          <t>INV00848</t>
        </is>
      </c>
      <c r="B851" s="7" t="n">
        <v>46072</v>
      </c>
      <c r="C851" s="2" t="inlineStr">
        <is>
          <t>Microsoft</t>
        </is>
      </c>
      <c r="D851" s="2" t="inlineStr">
        <is>
          <t>Sales</t>
        </is>
      </c>
      <c r="E851" s="2" t="inlineStr">
        <is>
          <t>Travel</t>
        </is>
      </c>
      <c r="F851" s="8" t="n">
        <v>54900</v>
      </c>
      <c r="G851" s="2" t="n">
        <v>15</v>
      </c>
      <c r="H851" s="7" t="n">
        <v>46087</v>
      </c>
      <c r="I851" s="7" t="n">
        <v>46087</v>
      </c>
      <c r="J851" s="2" t="inlineStr">
        <is>
          <t>Paid</t>
        </is>
      </c>
      <c r="K851" s="2" t="inlineStr">
        <is>
          <t>No</t>
        </is>
      </c>
      <c r="L851" s="9" t="n">
        <v>0</v>
      </c>
      <c r="M851" s="2" t="inlineStr">
        <is>
          <t>Received</t>
        </is>
      </c>
      <c r="N851" s="2" t="inlineStr">
        <is>
          <t>Approved</t>
        </is>
      </c>
      <c r="O851" s="2" t="n"/>
      <c r="P851" s="2" t="n"/>
      <c r="Q851" s="2" t="n"/>
      <c r="R851" s="2" t="n"/>
    </row>
    <row r="852">
      <c r="A852" s="2" t="inlineStr">
        <is>
          <t>INV00849</t>
        </is>
      </c>
      <c r="B852" s="7" t="n">
        <v>46380</v>
      </c>
      <c r="C852" s="2" t="inlineStr">
        <is>
          <t>SAP</t>
        </is>
      </c>
      <c r="D852" s="2" t="inlineStr">
        <is>
          <t>Marketing</t>
        </is>
      </c>
      <c r="E852" s="2" t="inlineStr">
        <is>
          <t>Professional Services</t>
        </is>
      </c>
      <c r="F852" s="8" t="n">
        <v>677800</v>
      </c>
      <c r="G852" s="2" t="n">
        <v>30</v>
      </c>
      <c r="H852" s="7" t="n">
        <v>46410</v>
      </c>
      <c r="I852" s="7" t="n">
        <v>46410</v>
      </c>
      <c r="J852" s="2" t="inlineStr">
        <is>
          <t>Paid</t>
        </is>
      </c>
      <c r="K852" s="2" t="inlineStr">
        <is>
          <t>No</t>
        </is>
      </c>
      <c r="L852" s="9" t="n">
        <v>0</v>
      </c>
      <c r="M852" s="2" t="inlineStr">
        <is>
          <t>Received</t>
        </is>
      </c>
      <c r="N852" s="2" t="inlineStr">
        <is>
          <t>Approved</t>
        </is>
      </c>
      <c r="O852" s="2" t="n"/>
      <c r="P852" s="2" t="n"/>
      <c r="Q852" s="2" t="n"/>
      <c r="R852" s="2" t="n"/>
    </row>
    <row r="853">
      <c r="A853" s="2" t="inlineStr">
        <is>
          <t>INV00850</t>
        </is>
      </c>
      <c r="B853" s="7" t="n">
        <v>46248</v>
      </c>
      <c r="C853" s="2" t="inlineStr">
        <is>
          <t>SAP</t>
        </is>
      </c>
      <c r="D853" s="2" t="inlineStr">
        <is>
          <t>Operations</t>
        </is>
      </c>
      <c r="E853" s="2" t="inlineStr">
        <is>
          <t>Facilities</t>
        </is>
      </c>
      <c r="F853" s="8" t="n">
        <v>345400</v>
      </c>
      <c r="G853" s="2" t="n">
        <v>15</v>
      </c>
      <c r="H853" s="7" t="n">
        <v>46263</v>
      </c>
      <c r="I853" s="7" t="n">
        <v>46263</v>
      </c>
      <c r="J853" s="2" t="inlineStr">
        <is>
          <t>Paid</t>
        </is>
      </c>
      <c r="K853" s="2" t="inlineStr">
        <is>
          <t>Yes</t>
        </is>
      </c>
      <c r="L853" s="9" t="n">
        <v>0.02</v>
      </c>
      <c r="M853" s="2" t="inlineStr">
        <is>
          <t>Received</t>
        </is>
      </c>
      <c r="N853" s="2" t="inlineStr">
        <is>
          <t>Approved</t>
        </is>
      </c>
      <c r="O853" s="2" t="n"/>
      <c r="P853" s="2" t="n"/>
      <c r="Q853" s="2" t="n"/>
      <c r="R853" s="2" t="n"/>
    </row>
    <row r="854">
      <c r="A854" s="2" t="inlineStr">
        <is>
          <t>INV00851</t>
        </is>
      </c>
      <c r="B854" s="7" t="n">
        <v>46169</v>
      </c>
      <c r="C854" s="2" t="inlineStr">
        <is>
          <t>Infosys</t>
        </is>
      </c>
      <c r="D854" s="2" t="inlineStr">
        <is>
          <t>Operations</t>
        </is>
      </c>
      <c r="E854" s="2" t="inlineStr">
        <is>
          <t>Travel</t>
        </is>
      </c>
      <c r="F854" s="8" t="n">
        <v>903600</v>
      </c>
      <c r="G854" s="2" t="n">
        <v>45</v>
      </c>
      <c r="H854" s="7" t="n">
        <v>46214</v>
      </c>
      <c r="I854" s="7" t="n">
        <v>46219</v>
      </c>
      <c r="J854" s="2" t="inlineStr">
        <is>
          <t>Paid</t>
        </is>
      </c>
      <c r="K854" s="2" t="inlineStr">
        <is>
          <t>No</t>
        </is>
      </c>
      <c r="L854" s="9" t="n">
        <v>0</v>
      </c>
      <c r="M854" s="2" t="inlineStr">
        <is>
          <t>Pending</t>
        </is>
      </c>
      <c r="N854" s="2" t="inlineStr">
        <is>
          <t>Approved</t>
        </is>
      </c>
      <c r="O854" s="2" t="n"/>
      <c r="P854" s="2" t="n"/>
      <c r="Q854" s="2" t="n"/>
      <c r="R854" s="2" t="n"/>
    </row>
    <row r="855">
      <c r="A855" s="2" t="inlineStr">
        <is>
          <t>INV00852</t>
        </is>
      </c>
      <c r="B855" s="7" t="n">
        <v>46223</v>
      </c>
      <c r="C855" s="2" t="inlineStr">
        <is>
          <t>Microsoft</t>
        </is>
      </c>
      <c r="D855" s="2" t="inlineStr">
        <is>
          <t>Marketing</t>
        </is>
      </c>
      <c r="E855" s="2" t="inlineStr">
        <is>
          <t>Travel</t>
        </is>
      </c>
      <c r="F855" s="8" t="n">
        <v>952700</v>
      </c>
      <c r="G855" s="2" t="n">
        <v>15</v>
      </c>
      <c r="H855" s="7" t="n">
        <v>46238</v>
      </c>
      <c r="I855" s="7" t="n">
        <v>46238</v>
      </c>
      <c r="J855" s="2" t="inlineStr">
        <is>
          <t>Paid</t>
        </is>
      </c>
      <c r="K855" s="2" t="inlineStr">
        <is>
          <t>No</t>
        </is>
      </c>
      <c r="L855" s="9" t="n">
        <v>0</v>
      </c>
      <c r="M855" s="2" t="inlineStr">
        <is>
          <t>Received</t>
        </is>
      </c>
      <c r="N855" s="2" t="inlineStr">
        <is>
          <t>Approved</t>
        </is>
      </c>
      <c r="O855" s="2" t="n"/>
      <c r="P855" s="2" t="n"/>
      <c r="Q855" s="2" t="n"/>
      <c r="R855" s="2" t="n"/>
    </row>
    <row r="856">
      <c r="A856" s="2" t="inlineStr">
        <is>
          <t>INV00853</t>
        </is>
      </c>
      <c r="B856" s="7" t="n">
        <v>46027</v>
      </c>
      <c r="C856" s="2" t="inlineStr">
        <is>
          <t>TCS</t>
        </is>
      </c>
      <c r="D856" s="2" t="inlineStr">
        <is>
          <t>Marketing</t>
        </is>
      </c>
      <c r="E856" s="2" t="inlineStr">
        <is>
          <t>Facilities</t>
        </is>
      </c>
      <c r="F856" s="8" t="n">
        <v>231400</v>
      </c>
      <c r="G856" s="2" t="n">
        <v>45</v>
      </c>
      <c r="H856" s="7" t="n">
        <v>46072</v>
      </c>
      <c r="I856" s="7" t="n">
        <v>46072</v>
      </c>
      <c r="J856" s="2" t="inlineStr">
        <is>
          <t>Paid</t>
        </is>
      </c>
      <c r="K856" s="2" t="inlineStr">
        <is>
          <t>No</t>
        </is>
      </c>
      <c r="L856" s="9" t="n">
        <v>0</v>
      </c>
      <c r="M856" s="2" t="inlineStr">
        <is>
          <t>Pending</t>
        </is>
      </c>
      <c r="N856" s="2" t="inlineStr">
        <is>
          <t>Approved</t>
        </is>
      </c>
      <c r="O856" s="2" t="n"/>
      <c r="P856" s="2" t="n"/>
      <c r="Q856" s="2" t="n"/>
      <c r="R856" s="2" t="n"/>
    </row>
    <row r="857">
      <c r="A857" s="2" t="inlineStr">
        <is>
          <t>INV00854</t>
        </is>
      </c>
      <c r="B857" s="7" t="n">
        <v>46034</v>
      </c>
      <c r="C857" s="2" t="inlineStr">
        <is>
          <t>Amazon Web Services</t>
        </is>
      </c>
      <c r="D857" s="2" t="inlineStr">
        <is>
          <t>Operations</t>
        </is>
      </c>
      <c r="E857" s="2" t="inlineStr">
        <is>
          <t>Office Supplies</t>
        </is>
      </c>
      <c r="F857" s="8" t="n">
        <v>222400</v>
      </c>
      <c r="G857" s="2" t="n">
        <v>15</v>
      </c>
      <c r="H857" s="7" t="n">
        <v>46049</v>
      </c>
      <c r="I857" s="7" t="n">
        <v>46049</v>
      </c>
      <c r="J857" s="2" t="inlineStr">
        <is>
          <t>Paid</t>
        </is>
      </c>
      <c r="K857" s="2" t="inlineStr">
        <is>
          <t>Yes</t>
        </is>
      </c>
      <c r="L857" s="9" t="n">
        <v>0.02</v>
      </c>
      <c r="M857" s="2" t="inlineStr">
        <is>
          <t>Received</t>
        </is>
      </c>
      <c r="N857" s="2" t="inlineStr">
        <is>
          <t>Approved</t>
        </is>
      </c>
      <c r="O857" s="2" t="n"/>
      <c r="P857" s="2" t="n"/>
      <c r="Q857" s="2" t="n"/>
      <c r="R857" s="2" t="n"/>
    </row>
    <row r="858">
      <c r="A858" s="2" t="inlineStr">
        <is>
          <t>INV00855</t>
        </is>
      </c>
      <c r="B858" s="7" t="n">
        <v>46219</v>
      </c>
      <c r="C858" s="2" t="inlineStr">
        <is>
          <t>Infosys</t>
        </is>
      </c>
      <c r="D858" s="2" t="inlineStr">
        <is>
          <t>Finance</t>
        </is>
      </c>
      <c r="E858" s="2" t="inlineStr">
        <is>
          <t>Software</t>
        </is>
      </c>
      <c r="F858" s="8" t="n">
        <v>11500</v>
      </c>
      <c r="G858" s="2" t="n">
        <v>15</v>
      </c>
      <c r="H858" s="7" t="n">
        <v>46234</v>
      </c>
      <c r="I858" s="7" t="n">
        <v>46264</v>
      </c>
      <c r="J858" s="2" t="inlineStr">
        <is>
          <t>Paid</t>
        </is>
      </c>
      <c r="K858" s="2" t="inlineStr">
        <is>
          <t>No</t>
        </is>
      </c>
      <c r="L858" s="9" t="n">
        <v>0</v>
      </c>
      <c r="M858" s="2" t="inlineStr">
        <is>
          <t>Received</t>
        </is>
      </c>
      <c r="N858" s="2" t="inlineStr">
        <is>
          <t>Approved</t>
        </is>
      </c>
      <c r="O858" s="2" t="n"/>
      <c r="P858" s="2" t="n"/>
      <c r="Q858" s="2" t="n"/>
      <c r="R858" s="2" t="n"/>
    </row>
    <row r="859">
      <c r="A859" s="2" t="inlineStr">
        <is>
          <t>INV00856</t>
        </is>
      </c>
      <c r="B859" s="7" t="n">
        <v>46035</v>
      </c>
      <c r="C859" s="2" t="inlineStr">
        <is>
          <t>Cognizant</t>
        </is>
      </c>
      <c r="D859" s="2" t="inlineStr">
        <is>
          <t>Operations</t>
        </is>
      </c>
      <c r="E859" s="2" t="inlineStr">
        <is>
          <t>Travel</t>
        </is>
      </c>
      <c r="F859" s="8" t="n">
        <v>110300</v>
      </c>
      <c r="G859" s="2" t="n">
        <v>30</v>
      </c>
      <c r="H859" s="7" t="n">
        <v>46065</v>
      </c>
      <c r="I859" s="7" t="n">
        <v>46065</v>
      </c>
      <c r="J859" s="2" t="inlineStr">
        <is>
          <t>Paid</t>
        </is>
      </c>
      <c r="K859" s="2" t="inlineStr">
        <is>
          <t>No</t>
        </is>
      </c>
      <c r="L859" s="9" t="n">
        <v>0</v>
      </c>
      <c r="M859" s="2" t="inlineStr">
        <is>
          <t>Pending</t>
        </is>
      </c>
      <c r="N859" s="2" t="inlineStr">
        <is>
          <t>Approved</t>
        </is>
      </c>
      <c r="O859" s="2" t="n"/>
      <c r="P859" s="2" t="n"/>
      <c r="Q859" s="2" t="n"/>
      <c r="R859" s="2" t="n"/>
    </row>
    <row r="860">
      <c r="A860" s="2" t="inlineStr">
        <is>
          <t>INV00857</t>
        </is>
      </c>
      <c r="B860" s="7" t="n">
        <v>46187</v>
      </c>
      <c r="C860" s="2" t="inlineStr">
        <is>
          <t>Zoho</t>
        </is>
      </c>
      <c r="D860" s="2" t="inlineStr">
        <is>
          <t>IT</t>
        </is>
      </c>
      <c r="E860" s="2" t="inlineStr">
        <is>
          <t>Cloud</t>
        </is>
      </c>
      <c r="F860" s="8" t="n">
        <v>257500</v>
      </c>
      <c r="G860" s="2" t="n">
        <v>30</v>
      </c>
      <c r="H860" s="7" t="n">
        <v>46217</v>
      </c>
      <c r="I860" s="2" t="n"/>
      <c r="J860" s="2" t="inlineStr">
        <is>
          <t>Pending</t>
        </is>
      </c>
      <c r="K860" s="2" t="inlineStr">
        <is>
          <t>No</t>
        </is>
      </c>
      <c r="L860" s="9" t="n">
        <v>0</v>
      </c>
      <c r="M860" s="2" t="inlineStr">
        <is>
          <t>Received</t>
        </is>
      </c>
      <c r="N860" s="2" t="inlineStr">
        <is>
          <t>Approved</t>
        </is>
      </c>
      <c r="O860" s="2" t="n"/>
      <c r="P860" s="2" t="n"/>
      <c r="Q860" s="2" t="n"/>
      <c r="R860" s="2" t="n"/>
    </row>
    <row r="861">
      <c r="A861" s="2" t="inlineStr">
        <is>
          <t>INV00858</t>
        </is>
      </c>
      <c r="B861" s="7" t="n">
        <v>46050</v>
      </c>
      <c r="C861" s="2" t="inlineStr">
        <is>
          <t>Wipro</t>
        </is>
      </c>
      <c r="D861" s="2" t="inlineStr">
        <is>
          <t>Finance</t>
        </is>
      </c>
      <c r="E861" s="2" t="inlineStr">
        <is>
          <t>Facilities</t>
        </is>
      </c>
      <c r="F861" s="8" t="n">
        <v>23800</v>
      </c>
      <c r="G861" s="2" t="n">
        <v>15</v>
      </c>
      <c r="H861" s="7" t="n">
        <v>46065</v>
      </c>
      <c r="I861" s="7" t="n">
        <v>46065</v>
      </c>
      <c r="J861" s="2" t="inlineStr">
        <is>
          <t>Paid</t>
        </is>
      </c>
      <c r="K861" s="2" t="inlineStr">
        <is>
          <t>No</t>
        </is>
      </c>
      <c r="L861" s="9" t="n">
        <v>0</v>
      </c>
      <c r="M861" s="2" t="inlineStr">
        <is>
          <t>Pending</t>
        </is>
      </c>
      <c r="N861" s="2" t="inlineStr">
        <is>
          <t>Pending</t>
        </is>
      </c>
      <c r="O861" s="2" t="n"/>
      <c r="P861" s="2" t="n"/>
      <c r="Q861" s="2" t="n"/>
      <c r="R861" s="2" t="n"/>
    </row>
    <row r="862">
      <c r="A862" s="2" t="inlineStr">
        <is>
          <t>INV00859</t>
        </is>
      </c>
      <c r="B862" s="7" t="n">
        <v>46101</v>
      </c>
      <c r="C862" s="2" t="inlineStr">
        <is>
          <t>Adobe</t>
        </is>
      </c>
      <c r="D862" s="2" t="inlineStr">
        <is>
          <t>Operations</t>
        </is>
      </c>
      <c r="E862" s="2" t="inlineStr">
        <is>
          <t>Travel</t>
        </is>
      </c>
      <c r="F862" s="8" t="n">
        <v>165900</v>
      </c>
      <c r="G862" s="2" t="n">
        <v>15</v>
      </c>
      <c r="H862" s="7" t="n">
        <v>46116</v>
      </c>
      <c r="I862" s="7" t="n">
        <v>46131</v>
      </c>
      <c r="J862" s="2" t="inlineStr">
        <is>
          <t>Paid</t>
        </is>
      </c>
      <c r="K862" s="2" t="inlineStr">
        <is>
          <t>No</t>
        </is>
      </c>
      <c r="L862" s="9" t="n">
        <v>0</v>
      </c>
      <c r="M862" s="2" t="inlineStr">
        <is>
          <t>Pending</t>
        </is>
      </c>
      <c r="N862" s="2" t="inlineStr">
        <is>
          <t>Approved</t>
        </is>
      </c>
      <c r="O862" s="2" t="n"/>
      <c r="P862" s="2" t="n"/>
      <c r="Q862" s="2" t="n"/>
      <c r="R862" s="2" t="n"/>
    </row>
    <row r="863">
      <c r="A863" s="2" t="inlineStr">
        <is>
          <t>INV00860</t>
        </is>
      </c>
      <c r="B863" s="7" t="n">
        <v>46366</v>
      </c>
      <c r="C863" s="2" t="inlineStr">
        <is>
          <t>Oracle</t>
        </is>
      </c>
      <c r="D863" s="2" t="inlineStr">
        <is>
          <t>Marketing</t>
        </is>
      </c>
      <c r="E863" s="2" t="inlineStr">
        <is>
          <t>Consulting</t>
        </is>
      </c>
      <c r="F863" s="8" t="n">
        <v>134100</v>
      </c>
      <c r="G863" s="2" t="n">
        <v>30</v>
      </c>
      <c r="H863" s="7" t="n">
        <v>46396</v>
      </c>
      <c r="I863" s="7" t="n">
        <v>46456</v>
      </c>
      <c r="J863" s="2" t="inlineStr">
        <is>
          <t>Paid</t>
        </is>
      </c>
      <c r="K863" s="2" t="inlineStr">
        <is>
          <t>No</t>
        </is>
      </c>
      <c r="L863" s="9" t="n">
        <v>0</v>
      </c>
      <c r="M863" s="2" t="inlineStr">
        <is>
          <t>Received</t>
        </is>
      </c>
      <c r="N863" s="2" t="inlineStr">
        <is>
          <t>Approved</t>
        </is>
      </c>
      <c r="O863" s="2" t="n"/>
      <c r="P863" s="2" t="n"/>
      <c r="Q863" s="2" t="n"/>
      <c r="R863" s="2" t="n"/>
    </row>
    <row r="864">
      <c r="A864" s="2" t="inlineStr">
        <is>
          <t>INV00861</t>
        </is>
      </c>
      <c r="B864" s="7" t="n">
        <v>46117</v>
      </c>
      <c r="C864" s="2" t="inlineStr">
        <is>
          <t>HCLTech</t>
        </is>
      </c>
      <c r="D864" s="2" t="inlineStr">
        <is>
          <t>Marketing</t>
        </is>
      </c>
      <c r="E864" s="2" t="inlineStr">
        <is>
          <t>Cloud</t>
        </is>
      </c>
      <c r="F864" s="8" t="n">
        <v>408100</v>
      </c>
      <c r="G864" s="2" t="n">
        <v>45</v>
      </c>
      <c r="H864" s="7" t="n">
        <v>46162</v>
      </c>
      <c r="I864" s="2" t="n"/>
      <c r="J864" s="2" t="inlineStr">
        <is>
          <t>Pending</t>
        </is>
      </c>
      <c r="K864" s="2" t="inlineStr">
        <is>
          <t>No</t>
        </is>
      </c>
      <c r="L864" s="9" t="n">
        <v>0</v>
      </c>
      <c r="M864" s="2" t="inlineStr">
        <is>
          <t>Received</t>
        </is>
      </c>
      <c r="N864" s="2" t="inlineStr">
        <is>
          <t>Approved</t>
        </is>
      </c>
      <c r="O864" s="2" t="n"/>
      <c r="P864" s="2" t="n"/>
      <c r="Q864" s="2" t="n"/>
      <c r="R864" s="2" t="n"/>
    </row>
    <row r="865">
      <c r="A865" s="2" t="inlineStr">
        <is>
          <t>INV00862</t>
        </is>
      </c>
      <c r="B865" s="7" t="n">
        <v>46255</v>
      </c>
      <c r="C865" s="2" t="inlineStr">
        <is>
          <t>Cognizant</t>
        </is>
      </c>
      <c r="D865" s="2" t="inlineStr">
        <is>
          <t>Operations</t>
        </is>
      </c>
      <c r="E865" s="2" t="inlineStr">
        <is>
          <t>Software</t>
        </is>
      </c>
      <c r="F865" s="8" t="n">
        <v>275300</v>
      </c>
      <c r="G865" s="2" t="n">
        <v>15</v>
      </c>
      <c r="H865" s="7" t="n">
        <v>46270</v>
      </c>
      <c r="I865" s="7" t="n">
        <v>46270</v>
      </c>
      <c r="J865" s="2" t="inlineStr">
        <is>
          <t>Paid</t>
        </is>
      </c>
      <c r="K865" s="2" t="inlineStr">
        <is>
          <t>No</t>
        </is>
      </c>
      <c r="L865" s="9" t="n">
        <v>0</v>
      </c>
      <c r="M865" s="2" t="inlineStr">
        <is>
          <t>Received</t>
        </is>
      </c>
      <c r="N865" s="2" t="inlineStr">
        <is>
          <t>Approved</t>
        </is>
      </c>
      <c r="O865" s="2" t="n"/>
      <c r="P865" s="2" t="n"/>
      <c r="Q865" s="2" t="n"/>
      <c r="R865" s="2" t="n"/>
    </row>
    <row r="866">
      <c r="A866" s="2" t="inlineStr">
        <is>
          <t>INV00863</t>
        </is>
      </c>
      <c r="B866" s="7" t="n">
        <v>46219</v>
      </c>
      <c r="C866" s="2" t="inlineStr">
        <is>
          <t>Microsoft</t>
        </is>
      </c>
      <c r="D866" s="2" t="inlineStr">
        <is>
          <t>Operations</t>
        </is>
      </c>
      <c r="E866" s="2" t="inlineStr">
        <is>
          <t>Professional Services</t>
        </is>
      </c>
      <c r="F866" s="8" t="n">
        <v>15900</v>
      </c>
      <c r="G866" s="2" t="n">
        <v>60</v>
      </c>
      <c r="H866" s="7" t="n">
        <v>46279</v>
      </c>
      <c r="I866" s="7" t="n">
        <v>46279</v>
      </c>
      <c r="J866" s="2" t="inlineStr">
        <is>
          <t>Paid</t>
        </is>
      </c>
      <c r="K866" s="2" t="inlineStr">
        <is>
          <t>No</t>
        </is>
      </c>
      <c r="L866" s="9" t="n">
        <v>0</v>
      </c>
      <c r="M866" s="2" t="inlineStr">
        <is>
          <t>Received</t>
        </is>
      </c>
      <c r="N866" s="2" t="inlineStr">
        <is>
          <t>Approved</t>
        </is>
      </c>
      <c r="O866" s="2" t="n"/>
      <c r="P866" s="2" t="n"/>
      <c r="Q866" s="2" t="n"/>
      <c r="R866" s="2" t="n"/>
    </row>
    <row r="867">
      <c r="A867" s="2" t="inlineStr">
        <is>
          <t>INV00864</t>
        </is>
      </c>
      <c r="B867" s="7" t="n">
        <v>46042</v>
      </c>
      <c r="C867" s="2" t="inlineStr">
        <is>
          <t>Cognizant</t>
        </is>
      </c>
      <c r="D867" s="2" t="inlineStr">
        <is>
          <t>HR</t>
        </is>
      </c>
      <c r="E867" s="2" t="inlineStr">
        <is>
          <t>Facilities</t>
        </is>
      </c>
      <c r="F867" s="8" t="n">
        <v>203500</v>
      </c>
      <c r="G867" s="2" t="n">
        <v>45</v>
      </c>
      <c r="H867" s="7" t="n">
        <v>46087</v>
      </c>
      <c r="I867" s="7" t="n">
        <v>46117</v>
      </c>
      <c r="J867" s="2" t="inlineStr">
        <is>
          <t>Paid</t>
        </is>
      </c>
      <c r="K867" s="2" t="inlineStr">
        <is>
          <t>No</t>
        </is>
      </c>
      <c r="L867" s="9" t="n">
        <v>0</v>
      </c>
      <c r="M867" s="2" t="inlineStr">
        <is>
          <t>Received</t>
        </is>
      </c>
      <c r="N867" s="2" t="inlineStr">
        <is>
          <t>Approved</t>
        </is>
      </c>
      <c r="O867" s="2" t="n"/>
      <c r="P867" s="2" t="n"/>
      <c r="Q867" s="2" t="n"/>
      <c r="R867" s="2" t="n"/>
    </row>
    <row r="868">
      <c r="A868" s="2" t="inlineStr">
        <is>
          <t>INV00865</t>
        </is>
      </c>
      <c r="B868" s="7" t="n">
        <v>46381</v>
      </c>
      <c r="C868" s="2" t="inlineStr">
        <is>
          <t>Microsoft</t>
        </is>
      </c>
      <c r="D868" s="2" t="inlineStr">
        <is>
          <t>IT</t>
        </is>
      </c>
      <c r="E868" s="2" t="inlineStr">
        <is>
          <t>Office Supplies</t>
        </is>
      </c>
      <c r="F868" s="8" t="n">
        <v>949400</v>
      </c>
      <c r="G868" s="2" t="n">
        <v>60</v>
      </c>
      <c r="H868" s="7" t="n">
        <v>46441</v>
      </c>
      <c r="I868" s="2" t="n"/>
      <c r="J868" s="2" t="inlineStr">
        <is>
          <t>Pending</t>
        </is>
      </c>
      <c r="K868" s="2" t="inlineStr">
        <is>
          <t>No</t>
        </is>
      </c>
      <c r="L868" s="9" t="n">
        <v>0</v>
      </c>
      <c r="M868" s="2" t="inlineStr">
        <is>
          <t>Received</t>
        </is>
      </c>
      <c r="N868" s="2" t="inlineStr">
        <is>
          <t>Approved</t>
        </is>
      </c>
      <c r="O868" s="2" t="n"/>
      <c r="P868" s="2" t="n"/>
      <c r="Q868" s="2" t="n"/>
      <c r="R868" s="2" t="n"/>
    </row>
    <row r="869">
      <c r="A869" s="2" t="inlineStr">
        <is>
          <t>INV00866</t>
        </is>
      </c>
      <c r="B869" s="7" t="n">
        <v>46320</v>
      </c>
      <c r="C869" s="2" t="inlineStr">
        <is>
          <t>Google Cloud</t>
        </is>
      </c>
      <c r="D869" s="2" t="inlineStr">
        <is>
          <t>HR</t>
        </is>
      </c>
      <c r="E869" s="2" t="inlineStr">
        <is>
          <t>Cloud</t>
        </is>
      </c>
      <c r="F869" s="8" t="n">
        <v>119500</v>
      </c>
      <c r="G869" s="2" t="n">
        <v>60</v>
      </c>
      <c r="H869" s="7" t="n">
        <v>46380</v>
      </c>
      <c r="I869" s="7" t="n">
        <v>46380</v>
      </c>
      <c r="J869" s="2" t="inlineStr">
        <is>
          <t>Paid</t>
        </is>
      </c>
      <c r="K869" s="2" t="inlineStr">
        <is>
          <t>No</t>
        </is>
      </c>
      <c r="L869" s="9" t="n">
        <v>0</v>
      </c>
      <c r="M869" s="2" t="inlineStr">
        <is>
          <t>Pending</t>
        </is>
      </c>
      <c r="N869" s="2" t="inlineStr">
        <is>
          <t>Approved</t>
        </is>
      </c>
      <c r="O869" s="2" t="n"/>
      <c r="P869" s="2" t="n"/>
      <c r="Q869" s="2" t="n"/>
      <c r="R869" s="2" t="n"/>
    </row>
    <row r="870">
      <c r="A870" s="2" t="inlineStr">
        <is>
          <t>INV00867</t>
        </is>
      </c>
      <c r="B870" s="7" t="n">
        <v>46137</v>
      </c>
      <c r="C870" s="2" t="inlineStr">
        <is>
          <t>Google Cloud</t>
        </is>
      </c>
      <c r="D870" s="2" t="inlineStr">
        <is>
          <t>HR</t>
        </is>
      </c>
      <c r="E870" s="2" t="inlineStr">
        <is>
          <t>Consulting</t>
        </is>
      </c>
      <c r="F870" s="8" t="n">
        <v>455700</v>
      </c>
      <c r="G870" s="2" t="n">
        <v>60</v>
      </c>
      <c r="H870" s="7" t="n">
        <v>46197</v>
      </c>
      <c r="I870" s="7" t="n">
        <v>46212</v>
      </c>
      <c r="J870" s="2" t="inlineStr">
        <is>
          <t>Paid</t>
        </is>
      </c>
      <c r="K870" s="2" t="inlineStr">
        <is>
          <t>No</t>
        </is>
      </c>
      <c r="L870" s="9" t="n">
        <v>0</v>
      </c>
      <c r="M870" s="2" t="inlineStr">
        <is>
          <t>Received</t>
        </is>
      </c>
      <c r="N870" s="2" t="inlineStr">
        <is>
          <t>Approved</t>
        </is>
      </c>
      <c r="O870" s="2" t="n"/>
      <c r="P870" s="2" t="n"/>
      <c r="Q870" s="2" t="n"/>
      <c r="R870" s="2" t="n"/>
    </row>
    <row r="871">
      <c r="A871" s="2" t="inlineStr">
        <is>
          <t>INV00868</t>
        </is>
      </c>
      <c r="B871" s="7" t="n">
        <v>46317</v>
      </c>
      <c r="C871" s="2" t="inlineStr">
        <is>
          <t>Oracle</t>
        </is>
      </c>
      <c r="D871" s="2" t="inlineStr">
        <is>
          <t>HR</t>
        </is>
      </c>
      <c r="E871" s="2" t="inlineStr">
        <is>
          <t>Facilities</t>
        </is>
      </c>
      <c r="F871" s="8" t="n">
        <v>113700</v>
      </c>
      <c r="G871" s="2" t="n">
        <v>30</v>
      </c>
      <c r="H871" s="7" t="n">
        <v>46347</v>
      </c>
      <c r="I871" s="7" t="n">
        <v>46437</v>
      </c>
      <c r="J871" s="2" t="inlineStr">
        <is>
          <t>Paid</t>
        </is>
      </c>
      <c r="K871" s="2" t="inlineStr">
        <is>
          <t>No</t>
        </is>
      </c>
      <c r="L871" s="9" t="n">
        <v>0</v>
      </c>
      <c r="M871" s="2" t="inlineStr">
        <is>
          <t>Received</t>
        </is>
      </c>
      <c r="N871" s="2" t="inlineStr">
        <is>
          <t>Approved</t>
        </is>
      </c>
      <c r="O871" s="2" t="n"/>
      <c r="P871" s="2" t="n"/>
      <c r="Q871" s="2" t="n"/>
      <c r="R871" s="2" t="n"/>
    </row>
    <row r="872">
      <c r="A872" s="2" t="inlineStr">
        <is>
          <t>INV00869</t>
        </is>
      </c>
      <c r="B872" s="7" t="n">
        <v>46041</v>
      </c>
      <c r="C872" s="2" t="inlineStr">
        <is>
          <t>Amazon Web Services</t>
        </is>
      </c>
      <c r="D872" s="2" t="inlineStr">
        <is>
          <t>HR</t>
        </is>
      </c>
      <c r="E872" s="2" t="inlineStr">
        <is>
          <t>Office Supplies</t>
        </is>
      </c>
      <c r="F872" s="8" t="n">
        <v>580300</v>
      </c>
      <c r="G872" s="2" t="n">
        <v>45</v>
      </c>
      <c r="H872" s="7" t="n">
        <v>46086</v>
      </c>
      <c r="I872" s="2" t="n"/>
      <c r="J872" s="2" t="inlineStr">
        <is>
          <t>Pending</t>
        </is>
      </c>
      <c r="K872" s="2" t="inlineStr">
        <is>
          <t>Yes</t>
        </is>
      </c>
      <c r="L872" s="9" t="n">
        <v>0.02</v>
      </c>
      <c r="M872" s="2" t="inlineStr">
        <is>
          <t>Received</t>
        </is>
      </c>
      <c r="N872" s="2" t="inlineStr">
        <is>
          <t>Approved</t>
        </is>
      </c>
      <c r="O872" s="2" t="n"/>
      <c r="P872" s="2" t="n"/>
      <c r="Q872" s="2" t="n"/>
      <c r="R872" s="2" t="n"/>
    </row>
    <row r="873">
      <c r="A873" s="2" t="inlineStr">
        <is>
          <t>INV00870</t>
        </is>
      </c>
      <c r="B873" s="7" t="n">
        <v>46332</v>
      </c>
      <c r="C873" s="2" t="inlineStr">
        <is>
          <t>Deloitte</t>
        </is>
      </c>
      <c r="D873" s="2" t="inlineStr">
        <is>
          <t>Marketing</t>
        </is>
      </c>
      <c r="E873" s="2" t="inlineStr">
        <is>
          <t>Travel</t>
        </is>
      </c>
      <c r="F873" s="8" t="n">
        <v>62000</v>
      </c>
      <c r="G873" s="2" t="n">
        <v>15</v>
      </c>
      <c r="H873" s="7" t="n">
        <v>46347</v>
      </c>
      <c r="I873" s="7" t="n">
        <v>46377</v>
      </c>
      <c r="J873" s="2" t="inlineStr">
        <is>
          <t>Paid</t>
        </is>
      </c>
      <c r="K873" s="2" t="inlineStr">
        <is>
          <t>No</t>
        </is>
      </c>
      <c r="L873" s="9" t="n">
        <v>0</v>
      </c>
      <c r="M873" s="2" t="inlineStr">
        <is>
          <t>Received</t>
        </is>
      </c>
      <c r="N873" s="2" t="inlineStr">
        <is>
          <t>Approved</t>
        </is>
      </c>
      <c r="O873" s="2" t="n"/>
      <c r="P873" s="2" t="n"/>
      <c r="Q873" s="2" t="n"/>
      <c r="R873" s="2" t="n"/>
    </row>
    <row r="874">
      <c r="A874" s="2" t="inlineStr">
        <is>
          <t>INV00871</t>
        </is>
      </c>
      <c r="B874" s="7" t="n">
        <v>46045</v>
      </c>
      <c r="C874" s="2" t="inlineStr">
        <is>
          <t>Infosys</t>
        </is>
      </c>
      <c r="D874" s="2" t="inlineStr">
        <is>
          <t>HR</t>
        </is>
      </c>
      <c r="E874" s="2" t="inlineStr">
        <is>
          <t>Software</t>
        </is>
      </c>
      <c r="F874" s="8" t="n">
        <v>137400</v>
      </c>
      <c r="G874" s="2" t="n">
        <v>45</v>
      </c>
      <c r="H874" s="7" t="n">
        <v>46090</v>
      </c>
      <c r="I874" s="7" t="n">
        <v>46090</v>
      </c>
      <c r="J874" s="2" t="inlineStr">
        <is>
          <t>Paid</t>
        </is>
      </c>
      <c r="K874" s="2" t="inlineStr">
        <is>
          <t>No</t>
        </is>
      </c>
      <c r="L874" s="9" t="n">
        <v>0</v>
      </c>
      <c r="M874" s="2" t="inlineStr">
        <is>
          <t>Received</t>
        </is>
      </c>
      <c r="N874" s="2" t="inlineStr">
        <is>
          <t>Approved</t>
        </is>
      </c>
      <c r="O874" s="2" t="n"/>
      <c r="P874" s="2" t="n"/>
      <c r="Q874" s="2" t="n"/>
      <c r="R874" s="2" t="n"/>
    </row>
    <row r="875">
      <c r="A875" s="2" t="inlineStr">
        <is>
          <t>INV00872</t>
        </is>
      </c>
      <c r="B875" s="7" t="n">
        <v>46192</v>
      </c>
      <c r="C875" s="2" t="inlineStr">
        <is>
          <t>Oracle</t>
        </is>
      </c>
      <c r="D875" s="2" t="inlineStr">
        <is>
          <t>Sales</t>
        </is>
      </c>
      <c r="E875" s="2" t="inlineStr">
        <is>
          <t>Professional Services</t>
        </is>
      </c>
      <c r="F875" s="8" t="n">
        <v>162300</v>
      </c>
      <c r="G875" s="2" t="n">
        <v>15</v>
      </c>
      <c r="H875" s="7" t="n">
        <v>46207</v>
      </c>
      <c r="I875" s="7" t="n">
        <v>46212</v>
      </c>
      <c r="J875" s="2" t="inlineStr">
        <is>
          <t>Paid</t>
        </is>
      </c>
      <c r="K875" s="2" t="inlineStr">
        <is>
          <t>No</t>
        </is>
      </c>
      <c r="L875" s="9" t="n">
        <v>0</v>
      </c>
      <c r="M875" s="2" t="inlineStr">
        <is>
          <t>Pending</t>
        </is>
      </c>
      <c r="N875" s="2" t="inlineStr">
        <is>
          <t>Approved</t>
        </is>
      </c>
      <c r="O875" s="2" t="n"/>
      <c r="P875" s="2" t="n"/>
      <c r="Q875" s="2" t="n"/>
      <c r="R875" s="2" t="n"/>
    </row>
    <row r="876">
      <c r="A876" s="2" t="inlineStr">
        <is>
          <t>INV00873</t>
        </is>
      </c>
      <c r="B876" s="7" t="n">
        <v>46189</v>
      </c>
      <c r="C876" s="2" t="inlineStr">
        <is>
          <t>Infosys</t>
        </is>
      </c>
      <c r="D876" s="2" t="inlineStr">
        <is>
          <t>Marketing</t>
        </is>
      </c>
      <c r="E876" s="2" t="inlineStr">
        <is>
          <t>Software</t>
        </is>
      </c>
      <c r="F876" s="8" t="n">
        <v>95200</v>
      </c>
      <c r="G876" s="2" t="n">
        <v>30</v>
      </c>
      <c r="H876" s="7" t="n">
        <v>46219</v>
      </c>
      <c r="I876" s="2" t="n"/>
      <c r="J876" s="2" t="inlineStr">
        <is>
          <t>Pending</t>
        </is>
      </c>
      <c r="K876" s="2" t="inlineStr">
        <is>
          <t>Yes</t>
        </is>
      </c>
      <c r="L876" s="9" t="n">
        <v>0.02</v>
      </c>
      <c r="M876" s="2" t="inlineStr">
        <is>
          <t>Received</t>
        </is>
      </c>
      <c r="N876" s="2" t="inlineStr">
        <is>
          <t>Approved</t>
        </is>
      </c>
      <c r="O876" s="2" t="n"/>
      <c r="P876" s="2" t="n"/>
      <c r="Q876" s="2" t="n"/>
      <c r="R876" s="2" t="n"/>
    </row>
    <row r="877">
      <c r="A877" s="2" t="inlineStr">
        <is>
          <t>INV00874</t>
        </is>
      </c>
      <c r="B877" s="7" t="n">
        <v>46288</v>
      </c>
      <c r="C877" s="2" t="inlineStr">
        <is>
          <t>Cognizant</t>
        </is>
      </c>
      <c r="D877" s="2" t="inlineStr">
        <is>
          <t>Sales</t>
        </is>
      </c>
      <c r="E877" s="2" t="inlineStr">
        <is>
          <t>Office Supplies</t>
        </is>
      </c>
      <c r="F877" s="8" t="n">
        <v>235300</v>
      </c>
      <c r="G877" s="2" t="n">
        <v>45</v>
      </c>
      <c r="H877" s="7" t="n">
        <v>46333</v>
      </c>
      <c r="I877" s="7" t="n">
        <v>46333</v>
      </c>
      <c r="J877" s="2" t="inlineStr">
        <is>
          <t>Paid</t>
        </is>
      </c>
      <c r="K877" s="2" t="inlineStr">
        <is>
          <t>No</t>
        </is>
      </c>
      <c r="L877" s="9" t="n">
        <v>0</v>
      </c>
      <c r="M877" s="2" t="inlineStr">
        <is>
          <t>Received</t>
        </is>
      </c>
      <c r="N877" s="2" t="inlineStr">
        <is>
          <t>Pending</t>
        </is>
      </c>
      <c r="O877" s="2" t="n"/>
      <c r="P877" s="2" t="n"/>
      <c r="Q877" s="2" t="n"/>
      <c r="R877" s="2" t="n"/>
    </row>
    <row r="878">
      <c r="A878" s="2" t="inlineStr">
        <is>
          <t>INV00875</t>
        </is>
      </c>
      <c r="B878" s="7" t="n">
        <v>46131</v>
      </c>
      <c r="C878" s="2" t="inlineStr">
        <is>
          <t>Google Cloud</t>
        </is>
      </c>
      <c r="D878" s="2" t="inlineStr">
        <is>
          <t>Marketing</t>
        </is>
      </c>
      <c r="E878" s="2" t="inlineStr">
        <is>
          <t>Travel</t>
        </is>
      </c>
      <c r="F878" s="8" t="n">
        <v>137000</v>
      </c>
      <c r="G878" s="2" t="n">
        <v>60</v>
      </c>
      <c r="H878" s="7" t="n">
        <v>46191</v>
      </c>
      <c r="I878" s="7" t="n">
        <v>46196</v>
      </c>
      <c r="J878" s="2" t="inlineStr">
        <is>
          <t>Paid</t>
        </is>
      </c>
      <c r="K878" s="2" t="inlineStr">
        <is>
          <t>No</t>
        </is>
      </c>
      <c r="L878" s="9" t="n">
        <v>0</v>
      </c>
      <c r="M878" s="2" t="inlineStr">
        <is>
          <t>Received</t>
        </is>
      </c>
      <c r="N878" s="2" t="inlineStr">
        <is>
          <t>Approved</t>
        </is>
      </c>
      <c r="O878" s="2" t="n"/>
      <c r="P878" s="2" t="n"/>
      <c r="Q878" s="2" t="n"/>
      <c r="R878" s="2" t="n"/>
    </row>
    <row r="879">
      <c r="A879" s="2" t="inlineStr">
        <is>
          <t>INV00876</t>
        </is>
      </c>
      <c r="B879" s="7" t="n">
        <v>46305</v>
      </c>
      <c r="C879" s="2" t="inlineStr">
        <is>
          <t>Zoho</t>
        </is>
      </c>
      <c r="D879" s="2" t="inlineStr">
        <is>
          <t>Finance</t>
        </is>
      </c>
      <c r="E879" s="2" t="inlineStr">
        <is>
          <t>Consulting</t>
        </is>
      </c>
      <c r="F879" s="8" t="n">
        <v>200800</v>
      </c>
      <c r="G879" s="2" t="n">
        <v>30</v>
      </c>
      <c r="H879" s="7" t="n">
        <v>46335</v>
      </c>
      <c r="I879" s="7" t="n">
        <v>46350</v>
      </c>
      <c r="J879" s="2" t="inlineStr">
        <is>
          <t>Paid</t>
        </is>
      </c>
      <c r="K879" s="2" t="inlineStr">
        <is>
          <t>Yes</t>
        </is>
      </c>
      <c r="L879" s="9" t="n">
        <v>0.02</v>
      </c>
      <c r="M879" s="2" t="inlineStr">
        <is>
          <t>Received</t>
        </is>
      </c>
      <c r="N879" s="2" t="inlineStr">
        <is>
          <t>Approved</t>
        </is>
      </c>
      <c r="O879" s="2" t="n"/>
      <c r="P879" s="2" t="n"/>
      <c r="Q879" s="2" t="n"/>
      <c r="R879" s="2" t="n"/>
    </row>
    <row r="880">
      <c r="A880" s="2" t="inlineStr">
        <is>
          <t>INV00877</t>
        </is>
      </c>
      <c r="B880" s="7" t="n">
        <v>46215</v>
      </c>
      <c r="C880" s="2" t="inlineStr">
        <is>
          <t>Amazon Web Services</t>
        </is>
      </c>
      <c r="D880" s="2" t="inlineStr">
        <is>
          <t>HR</t>
        </is>
      </c>
      <c r="E880" s="2" t="inlineStr">
        <is>
          <t>Office Supplies</t>
        </is>
      </c>
      <c r="F880" s="8" t="n">
        <v>229100</v>
      </c>
      <c r="G880" s="2" t="n">
        <v>15</v>
      </c>
      <c r="H880" s="7" t="n">
        <v>46230</v>
      </c>
      <c r="I880" s="7" t="n">
        <v>46230</v>
      </c>
      <c r="J880" s="2" t="inlineStr">
        <is>
          <t>Paid</t>
        </is>
      </c>
      <c r="K880" s="2" t="inlineStr">
        <is>
          <t>No</t>
        </is>
      </c>
      <c r="L880" s="9" t="n">
        <v>0</v>
      </c>
      <c r="M880" s="2" t="inlineStr">
        <is>
          <t>Received</t>
        </is>
      </c>
      <c r="N880" s="2" t="inlineStr">
        <is>
          <t>Approved</t>
        </is>
      </c>
      <c r="O880" s="2" t="n"/>
      <c r="P880" s="2" t="n"/>
      <c r="Q880" s="2" t="n"/>
      <c r="R880" s="2" t="n"/>
    </row>
    <row r="881">
      <c r="A881" s="2" t="inlineStr">
        <is>
          <t>INV00878</t>
        </is>
      </c>
      <c r="B881" s="7" t="n">
        <v>46273</v>
      </c>
      <c r="C881" s="2" t="inlineStr">
        <is>
          <t>Cognizant</t>
        </is>
      </c>
      <c r="D881" s="2" t="inlineStr">
        <is>
          <t>Operations</t>
        </is>
      </c>
      <c r="E881" s="2" t="inlineStr">
        <is>
          <t>Travel</t>
        </is>
      </c>
      <c r="F881" s="8" t="n">
        <v>846900</v>
      </c>
      <c r="G881" s="2" t="n">
        <v>30</v>
      </c>
      <c r="H881" s="7" t="n">
        <v>46303</v>
      </c>
      <c r="I881" s="7" t="n">
        <v>46303</v>
      </c>
      <c r="J881" s="2" t="inlineStr">
        <is>
          <t>Paid</t>
        </is>
      </c>
      <c r="K881" s="2" t="inlineStr">
        <is>
          <t>No</t>
        </is>
      </c>
      <c r="L881" s="9" t="n">
        <v>0</v>
      </c>
      <c r="M881" s="2" t="inlineStr">
        <is>
          <t>Pending</t>
        </is>
      </c>
      <c r="N881" s="2" t="inlineStr">
        <is>
          <t>Approved</t>
        </is>
      </c>
      <c r="O881" s="2" t="n"/>
      <c r="P881" s="2" t="n"/>
      <c r="Q881" s="2" t="n"/>
      <c r="R881" s="2" t="n"/>
    </row>
    <row r="882">
      <c r="A882" s="2" t="inlineStr">
        <is>
          <t>INV00879</t>
        </is>
      </c>
      <c r="B882" s="7" t="n">
        <v>46351</v>
      </c>
      <c r="C882" s="2" t="inlineStr">
        <is>
          <t>TCS</t>
        </is>
      </c>
      <c r="D882" s="2" t="inlineStr">
        <is>
          <t>Finance</t>
        </is>
      </c>
      <c r="E882" s="2" t="inlineStr">
        <is>
          <t>Professional Services</t>
        </is>
      </c>
      <c r="F882" s="8" t="n">
        <v>564000</v>
      </c>
      <c r="G882" s="2" t="n">
        <v>15</v>
      </c>
      <c r="H882" s="7" t="n">
        <v>46366</v>
      </c>
      <c r="I882" s="2" t="n"/>
      <c r="J882" s="2" t="inlineStr">
        <is>
          <t>Pending</t>
        </is>
      </c>
      <c r="K882" s="2" t="inlineStr">
        <is>
          <t>Yes</t>
        </is>
      </c>
      <c r="L882" s="9" t="n">
        <v>0.02</v>
      </c>
      <c r="M882" s="2" t="inlineStr">
        <is>
          <t>Received</t>
        </is>
      </c>
      <c r="N882" s="2" t="inlineStr">
        <is>
          <t>Approved</t>
        </is>
      </c>
      <c r="O882" s="2" t="n"/>
      <c r="P882" s="2" t="n"/>
      <c r="Q882" s="2" t="n"/>
      <c r="R882" s="2" t="n"/>
    </row>
    <row r="883">
      <c r="A883" s="2" t="inlineStr">
        <is>
          <t>INV00880</t>
        </is>
      </c>
      <c r="B883" s="7" t="n">
        <v>46362</v>
      </c>
      <c r="C883" s="2" t="inlineStr">
        <is>
          <t>Amazon Web Services</t>
        </is>
      </c>
      <c r="D883" s="2" t="inlineStr">
        <is>
          <t>Finance</t>
        </is>
      </c>
      <c r="E883" s="2" t="inlineStr">
        <is>
          <t>Office Supplies</t>
        </is>
      </c>
      <c r="F883" s="8" t="n">
        <v>515800</v>
      </c>
      <c r="G883" s="2" t="n">
        <v>60</v>
      </c>
      <c r="H883" s="7" t="n">
        <v>46422</v>
      </c>
      <c r="I883" s="7" t="n">
        <v>46422</v>
      </c>
      <c r="J883" s="2" t="inlineStr">
        <is>
          <t>Paid</t>
        </is>
      </c>
      <c r="K883" s="2" t="inlineStr">
        <is>
          <t>Yes</t>
        </is>
      </c>
      <c r="L883" s="9" t="n">
        <v>0.02</v>
      </c>
      <c r="M883" s="2" t="inlineStr">
        <is>
          <t>Received</t>
        </is>
      </c>
      <c r="N883" s="2" t="inlineStr">
        <is>
          <t>Approved</t>
        </is>
      </c>
      <c r="O883" s="2" t="n"/>
      <c r="P883" s="2" t="n"/>
      <c r="Q883" s="2" t="n"/>
      <c r="R883" s="2" t="n"/>
    </row>
    <row r="884">
      <c r="A884" s="2" t="inlineStr">
        <is>
          <t>INV00881</t>
        </is>
      </c>
      <c r="B884" s="7" t="n">
        <v>46192</v>
      </c>
      <c r="C884" s="2" t="inlineStr">
        <is>
          <t>Accenture</t>
        </is>
      </c>
      <c r="D884" s="2" t="inlineStr">
        <is>
          <t>Marketing</t>
        </is>
      </c>
      <c r="E884" s="2" t="inlineStr">
        <is>
          <t>Software</t>
        </is>
      </c>
      <c r="F884" s="8" t="n">
        <v>940500</v>
      </c>
      <c r="G884" s="2" t="n">
        <v>15</v>
      </c>
      <c r="H884" s="7" t="n">
        <v>46207</v>
      </c>
      <c r="I884" s="2" t="n"/>
      <c r="J884" s="2" t="inlineStr">
        <is>
          <t>Pending</t>
        </is>
      </c>
      <c r="K884" s="2" t="inlineStr">
        <is>
          <t>No</t>
        </is>
      </c>
      <c r="L884" s="9" t="n">
        <v>0</v>
      </c>
      <c r="M884" s="2" t="inlineStr">
        <is>
          <t>Received</t>
        </is>
      </c>
      <c r="N884" s="2" t="inlineStr">
        <is>
          <t>Approved</t>
        </is>
      </c>
      <c r="O884" s="2" t="n"/>
      <c r="P884" s="2" t="n"/>
      <c r="Q884" s="2" t="n"/>
      <c r="R884" s="2" t="n"/>
    </row>
    <row r="885">
      <c r="A885" s="2" t="inlineStr">
        <is>
          <t>INV00882</t>
        </is>
      </c>
      <c r="B885" s="7" t="n">
        <v>46257</v>
      </c>
      <c r="C885" s="2" t="inlineStr">
        <is>
          <t>Deloitte</t>
        </is>
      </c>
      <c r="D885" s="2" t="inlineStr">
        <is>
          <t>Sales</t>
        </is>
      </c>
      <c r="E885" s="2" t="inlineStr">
        <is>
          <t>Cloud</t>
        </is>
      </c>
      <c r="F885" s="8" t="n">
        <v>255800</v>
      </c>
      <c r="G885" s="2" t="n">
        <v>15</v>
      </c>
      <c r="H885" s="7" t="n">
        <v>46272</v>
      </c>
      <c r="I885" s="7" t="n">
        <v>46272</v>
      </c>
      <c r="J885" s="2" t="inlineStr">
        <is>
          <t>Paid</t>
        </is>
      </c>
      <c r="K885" s="2" t="inlineStr">
        <is>
          <t>Yes</t>
        </is>
      </c>
      <c r="L885" s="9" t="n">
        <v>0.02</v>
      </c>
      <c r="M885" s="2" t="inlineStr">
        <is>
          <t>Received</t>
        </is>
      </c>
      <c r="N885" s="2" t="inlineStr">
        <is>
          <t>Approved</t>
        </is>
      </c>
      <c r="O885" s="2" t="n"/>
      <c r="P885" s="2" t="n"/>
      <c r="Q885" s="2" t="n"/>
      <c r="R885" s="2" t="n"/>
    </row>
    <row r="886">
      <c r="A886" s="2" t="inlineStr">
        <is>
          <t>INV00883</t>
        </is>
      </c>
      <c r="B886" s="7" t="n">
        <v>46167</v>
      </c>
      <c r="C886" s="2" t="inlineStr">
        <is>
          <t>Amazon Web Services</t>
        </is>
      </c>
      <c r="D886" s="2" t="inlineStr">
        <is>
          <t>Finance</t>
        </is>
      </c>
      <c r="E886" s="2" t="inlineStr">
        <is>
          <t>Consulting</t>
        </is>
      </c>
      <c r="F886" s="8" t="n">
        <v>673100</v>
      </c>
      <c r="G886" s="2" t="n">
        <v>60</v>
      </c>
      <c r="H886" s="7" t="n">
        <v>46227</v>
      </c>
      <c r="I886" s="7" t="n">
        <v>46227</v>
      </c>
      <c r="J886" s="2" t="inlineStr">
        <is>
          <t>Paid</t>
        </is>
      </c>
      <c r="K886" s="2" t="inlineStr">
        <is>
          <t>No</t>
        </is>
      </c>
      <c r="L886" s="9" t="n">
        <v>0</v>
      </c>
      <c r="M886" s="2" t="inlineStr">
        <is>
          <t>Pending</t>
        </is>
      </c>
      <c r="N886" s="2" t="inlineStr">
        <is>
          <t>Approved</t>
        </is>
      </c>
      <c r="O886" s="2" t="n"/>
      <c r="P886" s="2" t="n"/>
      <c r="Q886" s="2" t="n"/>
      <c r="R886" s="2" t="n"/>
    </row>
    <row r="887">
      <c r="A887" s="2" t="inlineStr">
        <is>
          <t>INV00884</t>
        </is>
      </c>
      <c r="B887" s="7" t="n">
        <v>46380</v>
      </c>
      <c r="C887" s="2" t="inlineStr">
        <is>
          <t>TCS</t>
        </is>
      </c>
      <c r="D887" s="2" t="inlineStr">
        <is>
          <t>Operations</t>
        </is>
      </c>
      <c r="E887" s="2" t="inlineStr">
        <is>
          <t>Office Supplies</t>
        </is>
      </c>
      <c r="F887" s="8" t="n">
        <v>145900</v>
      </c>
      <c r="G887" s="2" t="n">
        <v>45</v>
      </c>
      <c r="H887" s="7" t="n">
        <v>46425</v>
      </c>
      <c r="I887" s="7" t="n">
        <v>46425</v>
      </c>
      <c r="J887" s="2" t="inlineStr">
        <is>
          <t>Paid</t>
        </is>
      </c>
      <c r="K887" s="2" t="inlineStr">
        <is>
          <t>Yes</t>
        </is>
      </c>
      <c r="L887" s="9" t="n">
        <v>0.02</v>
      </c>
      <c r="M887" s="2" t="inlineStr">
        <is>
          <t>Received</t>
        </is>
      </c>
      <c r="N887" s="2" t="inlineStr">
        <is>
          <t>Approved</t>
        </is>
      </c>
      <c r="O887" s="2" t="n"/>
      <c r="P887" s="2" t="n"/>
      <c r="Q887" s="2" t="n"/>
      <c r="R887" s="2" t="n"/>
    </row>
    <row r="888">
      <c r="A888" s="2" t="inlineStr">
        <is>
          <t>INV00885</t>
        </is>
      </c>
      <c r="B888" s="7" t="n">
        <v>46091</v>
      </c>
      <c r="C888" s="2" t="inlineStr">
        <is>
          <t>Zoho</t>
        </is>
      </c>
      <c r="D888" s="2" t="inlineStr">
        <is>
          <t>HR</t>
        </is>
      </c>
      <c r="E888" s="2" t="inlineStr">
        <is>
          <t>Office Supplies</t>
        </is>
      </c>
      <c r="F888" s="8" t="n">
        <v>231500</v>
      </c>
      <c r="G888" s="2" t="n">
        <v>15</v>
      </c>
      <c r="H888" s="7" t="n">
        <v>46106</v>
      </c>
      <c r="I888" s="7" t="n">
        <v>46111</v>
      </c>
      <c r="J888" s="2" t="inlineStr">
        <is>
          <t>Paid</t>
        </is>
      </c>
      <c r="K888" s="2" t="inlineStr">
        <is>
          <t>No</t>
        </is>
      </c>
      <c r="L888" s="9" t="n">
        <v>0</v>
      </c>
      <c r="M888" s="2" t="inlineStr">
        <is>
          <t>Received</t>
        </is>
      </c>
      <c r="N888" s="2" t="inlineStr">
        <is>
          <t>Approved</t>
        </is>
      </c>
      <c r="O888" s="2" t="n"/>
      <c r="P888" s="2" t="n"/>
      <c r="Q888" s="2" t="n"/>
      <c r="R888" s="2" t="n"/>
    </row>
    <row r="889">
      <c r="A889" s="2" t="inlineStr">
        <is>
          <t>INV00886</t>
        </is>
      </c>
      <c r="B889" s="7" t="n">
        <v>46040</v>
      </c>
      <c r="C889" s="2" t="inlineStr">
        <is>
          <t>Google Cloud</t>
        </is>
      </c>
      <c r="D889" s="2" t="inlineStr">
        <is>
          <t>Finance</t>
        </is>
      </c>
      <c r="E889" s="2" t="inlineStr">
        <is>
          <t>Software</t>
        </is>
      </c>
      <c r="F889" s="8" t="n">
        <v>209000</v>
      </c>
      <c r="G889" s="2" t="n">
        <v>60</v>
      </c>
      <c r="H889" s="7" t="n">
        <v>46100</v>
      </c>
      <c r="I889" s="7" t="n">
        <v>46160</v>
      </c>
      <c r="J889" s="2" t="inlineStr">
        <is>
          <t>Paid</t>
        </is>
      </c>
      <c r="K889" s="2" t="inlineStr">
        <is>
          <t>No</t>
        </is>
      </c>
      <c r="L889" s="9" t="n">
        <v>0</v>
      </c>
      <c r="M889" s="2" t="inlineStr">
        <is>
          <t>Received</t>
        </is>
      </c>
      <c r="N889" s="2" t="inlineStr">
        <is>
          <t>Approved</t>
        </is>
      </c>
      <c r="O889" s="2" t="n"/>
      <c r="P889" s="2" t="n"/>
      <c r="Q889" s="2" t="n"/>
      <c r="R889" s="2" t="n"/>
    </row>
    <row r="890">
      <c r="A890" s="2" t="inlineStr">
        <is>
          <t>INV00887</t>
        </is>
      </c>
      <c r="B890" s="7" t="n">
        <v>46244</v>
      </c>
      <c r="C890" s="2" t="inlineStr">
        <is>
          <t>Zoho</t>
        </is>
      </c>
      <c r="D890" s="2" t="inlineStr">
        <is>
          <t>IT</t>
        </is>
      </c>
      <c r="E890" s="2" t="inlineStr">
        <is>
          <t>Travel</t>
        </is>
      </c>
      <c r="F890" s="8" t="n">
        <v>574200</v>
      </c>
      <c r="G890" s="2" t="n">
        <v>15</v>
      </c>
      <c r="H890" s="7" t="n">
        <v>46259</v>
      </c>
      <c r="I890" s="7" t="n">
        <v>46259</v>
      </c>
      <c r="J890" s="2" t="inlineStr">
        <is>
          <t>Paid</t>
        </is>
      </c>
      <c r="K890" s="2" t="inlineStr">
        <is>
          <t>Yes</t>
        </is>
      </c>
      <c r="L890" s="9" t="n">
        <v>0.02</v>
      </c>
      <c r="M890" s="2" t="inlineStr">
        <is>
          <t>Received</t>
        </is>
      </c>
      <c r="N890" s="2" t="inlineStr">
        <is>
          <t>Pending</t>
        </is>
      </c>
      <c r="O890" s="2" t="n"/>
      <c r="P890" s="2" t="n"/>
      <c r="Q890" s="2" t="n"/>
      <c r="R890" s="2" t="n"/>
    </row>
    <row r="891">
      <c r="A891" s="2" t="inlineStr">
        <is>
          <t>INV00888</t>
        </is>
      </c>
      <c r="B891" s="7" t="n">
        <v>46077</v>
      </c>
      <c r="C891" s="2" t="inlineStr">
        <is>
          <t>Cognizant</t>
        </is>
      </c>
      <c r="D891" s="2" t="inlineStr">
        <is>
          <t>Finance</t>
        </is>
      </c>
      <c r="E891" s="2" t="inlineStr">
        <is>
          <t>Travel</t>
        </is>
      </c>
      <c r="F891" s="8" t="n">
        <v>630300</v>
      </c>
      <c r="G891" s="2" t="n">
        <v>15</v>
      </c>
      <c r="H891" s="7" t="n">
        <v>46092</v>
      </c>
      <c r="I891" s="7" t="n">
        <v>46107</v>
      </c>
      <c r="J891" s="2" t="inlineStr">
        <is>
          <t>Paid</t>
        </is>
      </c>
      <c r="K891" s="2" t="inlineStr">
        <is>
          <t>No</t>
        </is>
      </c>
      <c r="L891" s="9" t="n">
        <v>0</v>
      </c>
      <c r="M891" s="2" t="inlineStr">
        <is>
          <t>Received</t>
        </is>
      </c>
      <c r="N891" s="2" t="inlineStr">
        <is>
          <t>Approved</t>
        </is>
      </c>
      <c r="O891" s="2" t="n"/>
      <c r="P891" s="2" t="n"/>
      <c r="Q891" s="2" t="n"/>
      <c r="R891" s="2" t="n"/>
    </row>
    <row r="892">
      <c r="A892" s="2" t="inlineStr">
        <is>
          <t>INV00889</t>
        </is>
      </c>
      <c r="B892" s="7" t="n">
        <v>46036</v>
      </c>
      <c r="C892" s="2" t="inlineStr">
        <is>
          <t>Amazon Web Services</t>
        </is>
      </c>
      <c r="D892" s="2" t="inlineStr">
        <is>
          <t>Sales</t>
        </is>
      </c>
      <c r="E892" s="2" t="inlineStr">
        <is>
          <t>Facilities</t>
        </is>
      </c>
      <c r="F892" s="8" t="n">
        <v>51600</v>
      </c>
      <c r="G892" s="2" t="n">
        <v>45</v>
      </c>
      <c r="H892" s="7" t="n">
        <v>46081</v>
      </c>
      <c r="I892" s="2" t="n"/>
      <c r="J892" s="2" t="inlineStr">
        <is>
          <t>Pending</t>
        </is>
      </c>
      <c r="K892" s="2" t="inlineStr">
        <is>
          <t>No</t>
        </is>
      </c>
      <c r="L892" s="9" t="n">
        <v>0</v>
      </c>
      <c r="M892" s="2" t="inlineStr">
        <is>
          <t>Received</t>
        </is>
      </c>
      <c r="N892" s="2" t="inlineStr">
        <is>
          <t>Approved</t>
        </is>
      </c>
      <c r="O892" s="2" t="n"/>
      <c r="P892" s="2" t="n"/>
      <c r="Q892" s="2" t="n"/>
      <c r="R892" s="2" t="n"/>
    </row>
    <row r="893">
      <c r="A893" s="2" t="inlineStr">
        <is>
          <t>INV00890</t>
        </is>
      </c>
      <c r="B893" s="7" t="n">
        <v>46134</v>
      </c>
      <c r="C893" s="2" t="inlineStr">
        <is>
          <t>TCS</t>
        </is>
      </c>
      <c r="D893" s="2" t="inlineStr">
        <is>
          <t>HR</t>
        </is>
      </c>
      <c r="E893" s="2" t="inlineStr">
        <is>
          <t>Professional Services</t>
        </is>
      </c>
      <c r="F893" s="8" t="n">
        <v>390300</v>
      </c>
      <c r="G893" s="2" t="n">
        <v>30</v>
      </c>
      <c r="H893" s="7" t="n">
        <v>46164</v>
      </c>
      <c r="I893" s="7" t="n">
        <v>46164</v>
      </c>
      <c r="J893" s="2" t="inlineStr">
        <is>
          <t>Paid</t>
        </is>
      </c>
      <c r="K893" s="2" t="inlineStr">
        <is>
          <t>No</t>
        </is>
      </c>
      <c r="L893" s="9" t="n">
        <v>0</v>
      </c>
      <c r="M893" s="2" t="inlineStr">
        <is>
          <t>Pending</t>
        </is>
      </c>
      <c r="N893" s="2" t="inlineStr">
        <is>
          <t>Approved</t>
        </is>
      </c>
      <c r="O893" s="2" t="n"/>
      <c r="P893" s="2" t="n"/>
      <c r="Q893" s="2" t="n"/>
      <c r="R893" s="2" t="n"/>
    </row>
    <row r="894">
      <c r="A894" s="2" t="inlineStr">
        <is>
          <t>INV00891</t>
        </is>
      </c>
      <c r="B894" s="7" t="n">
        <v>46363</v>
      </c>
      <c r="C894" s="2" t="inlineStr">
        <is>
          <t>Microsoft</t>
        </is>
      </c>
      <c r="D894" s="2" t="inlineStr">
        <is>
          <t>Operations</t>
        </is>
      </c>
      <c r="E894" s="2" t="inlineStr">
        <is>
          <t>Software</t>
        </is>
      </c>
      <c r="F894" s="8" t="n">
        <v>141600</v>
      </c>
      <c r="G894" s="2" t="n">
        <v>60</v>
      </c>
      <c r="H894" s="7" t="n">
        <v>46423</v>
      </c>
      <c r="I894" s="7" t="n">
        <v>46428</v>
      </c>
      <c r="J894" s="2" t="inlineStr">
        <is>
          <t>Paid</t>
        </is>
      </c>
      <c r="K894" s="2" t="inlineStr">
        <is>
          <t>No</t>
        </is>
      </c>
      <c r="L894" s="9" t="n">
        <v>0</v>
      </c>
      <c r="M894" s="2" t="inlineStr">
        <is>
          <t>Received</t>
        </is>
      </c>
      <c r="N894" s="2" t="inlineStr">
        <is>
          <t>Approved</t>
        </is>
      </c>
      <c r="O894" s="2" t="n"/>
      <c r="P894" s="2" t="n"/>
      <c r="Q894" s="2" t="n"/>
      <c r="R894" s="2" t="n"/>
    </row>
    <row r="895">
      <c r="A895" s="2" t="inlineStr">
        <is>
          <t>INV00892</t>
        </is>
      </c>
      <c r="B895" s="7" t="n">
        <v>46189</v>
      </c>
      <c r="C895" s="2" t="inlineStr">
        <is>
          <t>Google Cloud</t>
        </is>
      </c>
      <c r="D895" s="2" t="inlineStr">
        <is>
          <t>Sales</t>
        </is>
      </c>
      <c r="E895" s="2" t="inlineStr">
        <is>
          <t>Cloud</t>
        </is>
      </c>
      <c r="F895" s="8" t="n">
        <v>906300</v>
      </c>
      <c r="G895" s="2" t="n">
        <v>45</v>
      </c>
      <c r="H895" s="7" t="n">
        <v>46234</v>
      </c>
      <c r="I895" s="7" t="n">
        <v>46239</v>
      </c>
      <c r="J895" s="2" t="inlineStr">
        <is>
          <t>Paid</t>
        </is>
      </c>
      <c r="K895" s="2" t="inlineStr">
        <is>
          <t>No</t>
        </is>
      </c>
      <c r="L895" s="9" t="n">
        <v>0</v>
      </c>
      <c r="M895" s="2" t="inlineStr">
        <is>
          <t>Received</t>
        </is>
      </c>
      <c r="N895" s="2" t="inlineStr">
        <is>
          <t>Approved</t>
        </is>
      </c>
      <c r="O895" s="2" t="n"/>
      <c r="P895" s="2" t="n"/>
      <c r="Q895" s="2" t="n"/>
      <c r="R895" s="2" t="n"/>
    </row>
    <row r="896">
      <c r="A896" s="2" t="inlineStr">
        <is>
          <t>INV00893</t>
        </is>
      </c>
      <c r="B896" s="7" t="n">
        <v>46116</v>
      </c>
      <c r="C896" s="2" t="inlineStr">
        <is>
          <t>Zoho</t>
        </is>
      </c>
      <c r="D896" s="2" t="inlineStr">
        <is>
          <t>HR</t>
        </is>
      </c>
      <c r="E896" s="2" t="inlineStr">
        <is>
          <t>Professional Services</t>
        </is>
      </c>
      <c r="F896" s="8" t="n">
        <v>84700</v>
      </c>
      <c r="G896" s="2" t="n">
        <v>60</v>
      </c>
      <c r="H896" s="7" t="n">
        <v>46176</v>
      </c>
      <c r="I896" s="7" t="n">
        <v>46266</v>
      </c>
      <c r="J896" s="2" t="inlineStr">
        <is>
          <t>Paid</t>
        </is>
      </c>
      <c r="K896" s="2" t="inlineStr">
        <is>
          <t>No</t>
        </is>
      </c>
      <c r="L896" s="9" t="n">
        <v>0</v>
      </c>
      <c r="M896" s="2" t="inlineStr">
        <is>
          <t>Received</t>
        </is>
      </c>
      <c r="N896" s="2" t="inlineStr">
        <is>
          <t>Approved</t>
        </is>
      </c>
      <c r="O896" s="2" t="n"/>
      <c r="P896" s="2" t="n"/>
      <c r="Q896" s="2" t="n"/>
      <c r="R896" s="2" t="n"/>
    </row>
    <row r="897">
      <c r="A897" s="2" t="inlineStr">
        <is>
          <t>INV00894</t>
        </is>
      </c>
      <c r="B897" s="7" t="n">
        <v>46106</v>
      </c>
      <c r="C897" s="2" t="inlineStr">
        <is>
          <t>Zoho</t>
        </is>
      </c>
      <c r="D897" s="2" t="inlineStr">
        <is>
          <t>Operations</t>
        </is>
      </c>
      <c r="E897" s="2" t="inlineStr">
        <is>
          <t>Facilities</t>
        </is>
      </c>
      <c r="F897" s="8" t="n">
        <v>152300</v>
      </c>
      <c r="G897" s="2" t="n">
        <v>60</v>
      </c>
      <c r="H897" s="7" t="n">
        <v>46166</v>
      </c>
      <c r="I897" s="7" t="n">
        <v>46166</v>
      </c>
      <c r="J897" s="2" t="inlineStr">
        <is>
          <t>Paid</t>
        </is>
      </c>
      <c r="K897" s="2" t="inlineStr">
        <is>
          <t>No</t>
        </is>
      </c>
      <c r="L897" s="9" t="n">
        <v>0</v>
      </c>
      <c r="M897" s="2" t="inlineStr">
        <is>
          <t>Received</t>
        </is>
      </c>
      <c r="N897" s="2" t="inlineStr">
        <is>
          <t>Approved</t>
        </is>
      </c>
      <c r="O897" s="2" t="n"/>
      <c r="P897" s="2" t="n"/>
      <c r="Q897" s="2" t="n"/>
      <c r="R897" s="2" t="n"/>
    </row>
    <row r="898">
      <c r="A898" s="2" t="inlineStr">
        <is>
          <t>INV00895</t>
        </is>
      </c>
      <c r="B898" s="7" t="n">
        <v>46182</v>
      </c>
      <c r="C898" s="2" t="inlineStr">
        <is>
          <t>SAP</t>
        </is>
      </c>
      <c r="D898" s="2" t="inlineStr">
        <is>
          <t>HR</t>
        </is>
      </c>
      <c r="E898" s="2" t="inlineStr">
        <is>
          <t>Professional Services</t>
        </is>
      </c>
      <c r="F898" s="8" t="n">
        <v>568900</v>
      </c>
      <c r="G898" s="2" t="n">
        <v>60</v>
      </c>
      <c r="H898" s="7" t="n">
        <v>46242</v>
      </c>
      <c r="I898" s="2" t="n"/>
      <c r="J898" s="2" t="inlineStr">
        <is>
          <t>Pending</t>
        </is>
      </c>
      <c r="K898" s="2" t="inlineStr">
        <is>
          <t>Yes</t>
        </is>
      </c>
      <c r="L898" s="9" t="n">
        <v>0.02</v>
      </c>
      <c r="M898" s="2" t="inlineStr">
        <is>
          <t>Received</t>
        </is>
      </c>
      <c r="N898" s="2" t="inlineStr">
        <is>
          <t>Approved</t>
        </is>
      </c>
      <c r="O898" s="2" t="n"/>
      <c r="P898" s="2" t="n"/>
      <c r="Q898" s="2" t="n"/>
      <c r="R898" s="2" t="n"/>
    </row>
    <row r="899">
      <c r="A899" s="2" t="inlineStr">
        <is>
          <t>INV00896</t>
        </is>
      </c>
      <c r="B899" s="7" t="n">
        <v>46032</v>
      </c>
      <c r="C899" s="2" t="inlineStr">
        <is>
          <t>IBM</t>
        </is>
      </c>
      <c r="D899" s="2" t="inlineStr">
        <is>
          <t>Operations</t>
        </is>
      </c>
      <c r="E899" s="2" t="inlineStr">
        <is>
          <t>Cloud</t>
        </is>
      </c>
      <c r="F899" s="8" t="n">
        <v>136300</v>
      </c>
      <c r="G899" s="2" t="n">
        <v>30</v>
      </c>
      <c r="H899" s="7" t="n">
        <v>46062</v>
      </c>
      <c r="I899" s="2" t="n"/>
      <c r="J899" s="2" t="inlineStr">
        <is>
          <t>Pending</t>
        </is>
      </c>
      <c r="K899" s="2" t="inlineStr">
        <is>
          <t>No</t>
        </is>
      </c>
      <c r="L899" s="9" t="n">
        <v>0</v>
      </c>
      <c r="M899" s="2" t="inlineStr">
        <is>
          <t>Received</t>
        </is>
      </c>
      <c r="N899" s="2" t="inlineStr">
        <is>
          <t>Approved</t>
        </is>
      </c>
      <c r="O899" s="2" t="n"/>
      <c r="P899" s="2" t="n"/>
      <c r="Q899" s="2" t="n"/>
      <c r="R899" s="2" t="n"/>
    </row>
    <row r="900">
      <c r="A900" s="2" t="inlineStr">
        <is>
          <t>INV00897</t>
        </is>
      </c>
      <c r="B900" s="7" t="n">
        <v>46046</v>
      </c>
      <c r="C900" s="2" t="inlineStr">
        <is>
          <t>Microsoft</t>
        </is>
      </c>
      <c r="D900" s="2" t="inlineStr">
        <is>
          <t>Operations</t>
        </is>
      </c>
      <c r="E900" s="2" t="inlineStr">
        <is>
          <t>Software</t>
        </is>
      </c>
      <c r="F900" s="8" t="n">
        <v>228500</v>
      </c>
      <c r="G900" s="2" t="n">
        <v>45</v>
      </c>
      <c r="H900" s="7" t="n">
        <v>46091</v>
      </c>
      <c r="I900" s="7" t="n">
        <v>46091</v>
      </c>
      <c r="J900" s="2" t="inlineStr">
        <is>
          <t>Paid</t>
        </is>
      </c>
      <c r="K900" s="2" t="inlineStr">
        <is>
          <t>No</t>
        </is>
      </c>
      <c r="L900" s="9" t="n">
        <v>0</v>
      </c>
      <c r="M900" s="2" t="inlineStr">
        <is>
          <t>Received</t>
        </is>
      </c>
      <c r="N900" s="2" t="inlineStr">
        <is>
          <t>Approved</t>
        </is>
      </c>
      <c r="O900" s="2" t="n"/>
      <c r="P900" s="2" t="n"/>
      <c r="Q900" s="2" t="n"/>
      <c r="R900" s="2" t="n"/>
    </row>
    <row r="901">
      <c r="A901" s="2" t="inlineStr">
        <is>
          <t>INV00898</t>
        </is>
      </c>
      <c r="B901" s="7" t="n">
        <v>46278</v>
      </c>
      <c r="C901" s="2" t="inlineStr">
        <is>
          <t>HCLTech</t>
        </is>
      </c>
      <c r="D901" s="2" t="inlineStr">
        <is>
          <t>Sales</t>
        </is>
      </c>
      <c r="E901" s="2" t="inlineStr">
        <is>
          <t>Cloud</t>
        </is>
      </c>
      <c r="F901" s="8" t="n">
        <v>933000</v>
      </c>
      <c r="G901" s="2" t="n">
        <v>45</v>
      </c>
      <c r="H901" s="7" t="n">
        <v>46323</v>
      </c>
      <c r="I901" s="7" t="n">
        <v>46328</v>
      </c>
      <c r="J901" s="2" t="inlineStr">
        <is>
          <t>Paid</t>
        </is>
      </c>
      <c r="K901" s="2" t="inlineStr">
        <is>
          <t>Yes</t>
        </is>
      </c>
      <c r="L901" s="9" t="n">
        <v>0.02</v>
      </c>
      <c r="M901" s="2" t="inlineStr">
        <is>
          <t>Received</t>
        </is>
      </c>
      <c r="N901" s="2" t="inlineStr">
        <is>
          <t>Approved</t>
        </is>
      </c>
      <c r="O901" s="2" t="n"/>
      <c r="P901" s="2" t="n"/>
      <c r="Q901" s="2" t="n"/>
      <c r="R901" s="2" t="n"/>
    </row>
    <row r="902">
      <c r="A902" s="2" t="inlineStr">
        <is>
          <t>INV00899</t>
        </is>
      </c>
      <c r="B902" s="7" t="n">
        <v>46269</v>
      </c>
      <c r="C902" s="2" t="inlineStr">
        <is>
          <t>Google Cloud</t>
        </is>
      </c>
      <c r="D902" s="2" t="inlineStr">
        <is>
          <t>Operations</t>
        </is>
      </c>
      <c r="E902" s="2" t="inlineStr">
        <is>
          <t>Facilities</t>
        </is>
      </c>
      <c r="F902" s="8" t="n">
        <v>15400</v>
      </c>
      <c r="G902" s="2" t="n">
        <v>60</v>
      </c>
      <c r="H902" s="7" t="n">
        <v>46329</v>
      </c>
      <c r="I902" s="7" t="n">
        <v>46344</v>
      </c>
      <c r="J902" s="2" t="inlineStr">
        <is>
          <t>Paid</t>
        </is>
      </c>
      <c r="K902" s="2" t="inlineStr">
        <is>
          <t>Yes</t>
        </is>
      </c>
      <c r="L902" s="9" t="n">
        <v>0.02</v>
      </c>
      <c r="M902" s="2" t="inlineStr">
        <is>
          <t>Received</t>
        </is>
      </c>
      <c r="N902" s="2" t="inlineStr">
        <is>
          <t>Approved</t>
        </is>
      </c>
      <c r="O902" s="2" t="n"/>
      <c r="P902" s="2" t="n"/>
      <c r="Q902" s="2" t="n"/>
      <c r="R902" s="2" t="n"/>
    </row>
    <row r="903">
      <c r="A903" s="2" t="inlineStr">
        <is>
          <t>INV00900</t>
        </is>
      </c>
      <c r="B903" s="7" t="n">
        <v>46224</v>
      </c>
      <c r="C903" s="2" t="inlineStr">
        <is>
          <t>Adobe</t>
        </is>
      </c>
      <c r="D903" s="2" t="inlineStr">
        <is>
          <t>Finance</t>
        </is>
      </c>
      <c r="E903" s="2" t="inlineStr">
        <is>
          <t>Facilities</t>
        </is>
      </c>
      <c r="F903" s="8" t="n">
        <v>307400</v>
      </c>
      <c r="G903" s="2" t="n">
        <v>45</v>
      </c>
      <c r="H903" s="7" t="n">
        <v>46269</v>
      </c>
      <c r="I903" s="7" t="n">
        <v>46284</v>
      </c>
      <c r="J903" s="2" t="inlineStr">
        <is>
          <t>Paid</t>
        </is>
      </c>
      <c r="K903" s="2" t="inlineStr">
        <is>
          <t>No</t>
        </is>
      </c>
      <c r="L903" s="9" t="n">
        <v>0</v>
      </c>
      <c r="M903" s="2" t="inlineStr">
        <is>
          <t>Pending</t>
        </is>
      </c>
      <c r="N903" s="2" t="inlineStr">
        <is>
          <t>Approved</t>
        </is>
      </c>
      <c r="O903" s="2" t="n"/>
      <c r="P903" s="2" t="n"/>
      <c r="Q903" s="2" t="n"/>
      <c r="R903" s="2" t="n"/>
    </row>
    <row r="904">
      <c r="A904" s="2" t="inlineStr">
        <is>
          <t>INV00901</t>
        </is>
      </c>
      <c r="B904" s="7" t="n">
        <v>46321</v>
      </c>
      <c r="C904" s="2" t="inlineStr">
        <is>
          <t>Adobe</t>
        </is>
      </c>
      <c r="D904" s="2" t="inlineStr">
        <is>
          <t>Finance</t>
        </is>
      </c>
      <c r="E904" s="2" t="inlineStr">
        <is>
          <t>Facilities</t>
        </is>
      </c>
      <c r="F904" s="8" t="n">
        <v>197300</v>
      </c>
      <c r="G904" s="2" t="n">
        <v>45</v>
      </c>
      <c r="H904" s="7" t="n">
        <v>46366</v>
      </c>
      <c r="I904" s="7" t="n">
        <v>46366</v>
      </c>
      <c r="J904" s="2" t="inlineStr">
        <is>
          <t>Paid</t>
        </is>
      </c>
      <c r="K904" s="2" t="inlineStr">
        <is>
          <t>Yes</t>
        </is>
      </c>
      <c r="L904" s="9" t="n">
        <v>0.02</v>
      </c>
      <c r="M904" s="2" t="inlineStr">
        <is>
          <t>Pending</t>
        </is>
      </c>
      <c r="N904" s="2" t="inlineStr">
        <is>
          <t>Approved</t>
        </is>
      </c>
      <c r="O904" s="2" t="n"/>
      <c r="P904" s="2" t="n"/>
      <c r="Q904" s="2" t="n"/>
      <c r="R904" s="2" t="n"/>
    </row>
    <row r="905">
      <c r="A905" s="2" t="inlineStr">
        <is>
          <t>INV00902</t>
        </is>
      </c>
      <c r="B905" s="7" t="n">
        <v>46213</v>
      </c>
      <c r="C905" s="2" t="inlineStr">
        <is>
          <t>Adobe</t>
        </is>
      </c>
      <c r="D905" s="2" t="inlineStr">
        <is>
          <t>IT</t>
        </is>
      </c>
      <c r="E905" s="2" t="inlineStr">
        <is>
          <t>Cloud</t>
        </is>
      </c>
      <c r="F905" s="8" t="n">
        <v>142400</v>
      </c>
      <c r="G905" s="2" t="n">
        <v>60</v>
      </c>
      <c r="H905" s="7" t="n">
        <v>46273</v>
      </c>
      <c r="I905" s="7" t="n">
        <v>46363</v>
      </c>
      <c r="J905" s="2" t="inlineStr">
        <is>
          <t>Paid</t>
        </is>
      </c>
      <c r="K905" s="2" t="inlineStr">
        <is>
          <t>No</t>
        </is>
      </c>
      <c r="L905" s="9" t="n">
        <v>0</v>
      </c>
      <c r="M905" s="2" t="inlineStr">
        <is>
          <t>Pending</t>
        </is>
      </c>
      <c r="N905" s="2" t="inlineStr">
        <is>
          <t>Approved</t>
        </is>
      </c>
      <c r="O905" s="2" t="n"/>
      <c r="P905" s="2" t="n"/>
      <c r="Q905" s="2" t="n"/>
      <c r="R905" s="2" t="n"/>
    </row>
    <row r="906">
      <c r="A906" s="2" t="inlineStr">
        <is>
          <t>INV00903</t>
        </is>
      </c>
      <c r="B906" s="7" t="n">
        <v>46360</v>
      </c>
      <c r="C906" s="2" t="inlineStr">
        <is>
          <t>IBM</t>
        </is>
      </c>
      <c r="D906" s="2" t="inlineStr">
        <is>
          <t>Finance</t>
        </is>
      </c>
      <c r="E906" s="2" t="inlineStr">
        <is>
          <t>Office Supplies</t>
        </is>
      </c>
      <c r="F906" s="8" t="n">
        <v>424100</v>
      </c>
      <c r="G906" s="2" t="n">
        <v>15</v>
      </c>
      <c r="H906" s="7" t="n">
        <v>46375</v>
      </c>
      <c r="I906" s="7" t="n">
        <v>46375</v>
      </c>
      <c r="J906" s="2" t="inlineStr">
        <is>
          <t>Paid</t>
        </is>
      </c>
      <c r="K906" s="2" t="inlineStr">
        <is>
          <t>Yes</t>
        </is>
      </c>
      <c r="L906" s="9" t="n">
        <v>0.02</v>
      </c>
      <c r="M906" s="2" t="inlineStr">
        <is>
          <t>Received</t>
        </is>
      </c>
      <c r="N906" s="2" t="inlineStr">
        <is>
          <t>Approved</t>
        </is>
      </c>
      <c r="O906" s="2" t="n"/>
      <c r="P906" s="2" t="n"/>
      <c r="Q906" s="2" t="n"/>
      <c r="R906" s="2" t="n"/>
    </row>
    <row r="907">
      <c r="A907" s="2" t="inlineStr">
        <is>
          <t>INV00904</t>
        </is>
      </c>
      <c r="B907" s="7" t="n">
        <v>46057</v>
      </c>
      <c r="C907" s="2" t="inlineStr">
        <is>
          <t>Google Cloud</t>
        </is>
      </c>
      <c r="D907" s="2" t="inlineStr">
        <is>
          <t>Finance</t>
        </is>
      </c>
      <c r="E907" s="2" t="inlineStr">
        <is>
          <t>Cloud</t>
        </is>
      </c>
      <c r="F907" s="8" t="n">
        <v>312900</v>
      </c>
      <c r="G907" s="2" t="n">
        <v>60</v>
      </c>
      <c r="H907" s="7" t="n">
        <v>46117</v>
      </c>
      <c r="I907" s="7" t="n">
        <v>46117</v>
      </c>
      <c r="J907" s="2" t="inlineStr">
        <is>
          <t>Paid</t>
        </is>
      </c>
      <c r="K907" s="2" t="inlineStr">
        <is>
          <t>No</t>
        </is>
      </c>
      <c r="L907" s="9" t="n">
        <v>0</v>
      </c>
      <c r="M907" s="2" t="inlineStr">
        <is>
          <t>Received</t>
        </is>
      </c>
      <c r="N907" s="2" t="inlineStr">
        <is>
          <t>Approved</t>
        </is>
      </c>
      <c r="O907" s="2" t="n"/>
      <c r="P907" s="2" t="n"/>
      <c r="Q907" s="2" t="n"/>
      <c r="R907" s="2" t="n"/>
    </row>
    <row r="908">
      <c r="A908" s="2" t="inlineStr">
        <is>
          <t>INV00905</t>
        </is>
      </c>
      <c r="B908" s="7" t="n">
        <v>46243</v>
      </c>
      <c r="C908" s="2" t="inlineStr">
        <is>
          <t>Adobe</t>
        </is>
      </c>
      <c r="D908" s="2" t="inlineStr">
        <is>
          <t>HR</t>
        </is>
      </c>
      <c r="E908" s="2" t="inlineStr">
        <is>
          <t>Travel</t>
        </is>
      </c>
      <c r="F908" s="8" t="n">
        <v>277400</v>
      </c>
      <c r="G908" s="2" t="n">
        <v>45</v>
      </c>
      <c r="H908" s="7" t="n">
        <v>46288</v>
      </c>
      <c r="I908" s="2" t="n"/>
      <c r="J908" s="2" t="inlineStr">
        <is>
          <t>Pending</t>
        </is>
      </c>
      <c r="K908" s="2" t="inlineStr">
        <is>
          <t>Yes</t>
        </is>
      </c>
      <c r="L908" s="9" t="n">
        <v>0.02</v>
      </c>
      <c r="M908" s="2" t="inlineStr">
        <is>
          <t>Received</t>
        </is>
      </c>
      <c r="N908" s="2" t="inlineStr">
        <is>
          <t>Approved</t>
        </is>
      </c>
      <c r="O908" s="2" t="n"/>
      <c r="P908" s="2" t="n"/>
      <c r="Q908" s="2" t="n"/>
      <c r="R908" s="2" t="n"/>
    </row>
    <row r="909">
      <c r="A909" s="2" t="inlineStr">
        <is>
          <t>INV00906</t>
        </is>
      </c>
      <c r="B909" s="7" t="n">
        <v>46252</v>
      </c>
      <c r="C909" s="2" t="inlineStr">
        <is>
          <t>IBM</t>
        </is>
      </c>
      <c r="D909" s="2" t="inlineStr">
        <is>
          <t>HR</t>
        </is>
      </c>
      <c r="E909" s="2" t="inlineStr">
        <is>
          <t>Travel</t>
        </is>
      </c>
      <c r="F909" s="8" t="n">
        <v>83900</v>
      </c>
      <c r="G909" s="2" t="n">
        <v>30</v>
      </c>
      <c r="H909" s="7" t="n">
        <v>46282</v>
      </c>
      <c r="I909" s="2" t="n"/>
      <c r="J909" s="2" t="inlineStr">
        <is>
          <t>Pending</t>
        </is>
      </c>
      <c r="K909" s="2" t="inlineStr">
        <is>
          <t>No</t>
        </is>
      </c>
      <c r="L909" s="9" t="n">
        <v>0</v>
      </c>
      <c r="M909" s="2" t="inlineStr">
        <is>
          <t>Received</t>
        </is>
      </c>
      <c r="N909" s="2" t="inlineStr">
        <is>
          <t>Approved</t>
        </is>
      </c>
      <c r="O909" s="2" t="n"/>
      <c r="P909" s="2" t="n"/>
      <c r="Q909" s="2" t="n"/>
      <c r="R909" s="2" t="n"/>
    </row>
    <row r="910">
      <c r="A910" s="2" t="inlineStr">
        <is>
          <t>INV00907</t>
        </is>
      </c>
      <c r="B910" s="7" t="n">
        <v>46028</v>
      </c>
      <c r="C910" s="2" t="inlineStr">
        <is>
          <t>Google Cloud</t>
        </is>
      </c>
      <c r="D910" s="2" t="inlineStr">
        <is>
          <t>Sales</t>
        </is>
      </c>
      <c r="E910" s="2" t="inlineStr">
        <is>
          <t>Software</t>
        </is>
      </c>
      <c r="F910" s="8" t="n">
        <v>53400</v>
      </c>
      <c r="G910" s="2" t="n">
        <v>30</v>
      </c>
      <c r="H910" s="7" t="n">
        <v>46058</v>
      </c>
      <c r="I910" s="7" t="n">
        <v>46058</v>
      </c>
      <c r="J910" s="2" t="inlineStr">
        <is>
          <t>Paid</t>
        </is>
      </c>
      <c r="K910" s="2" t="inlineStr">
        <is>
          <t>Yes</t>
        </is>
      </c>
      <c r="L910" s="9" t="n">
        <v>0.02</v>
      </c>
      <c r="M910" s="2" t="inlineStr">
        <is>
          <t>Received</t>
        </is>
      </c>
      <c r="N910" s="2" t="inlineStr">
        <is>
          <t>Approved</t>
        </is>
      </c>
      <c r="O910" s="2" t="n"/>
      <c r="P910" s="2" t="n"/>
      <c r="Q910" s="2" t="n"/>
      <c r="R910" s="2" t="n"/>
    </row>
    <row r="911">
      <c r="A911" s="2" t="inlineStr">
        <is>
          <t>INV00908</t>
        </is>
      </c>
      <c r="B911" s="7" t="n">
        <v>46384</v>
      </c>
      <c r="C911" s="2" t="inlineStr">
        <is>
          <t>Google Cloud</t>
        </is>
      </c>
      <c r="D911" s="2" t="inlineStr">
        <is>
          <t>Operations</t>
        </is>
      </c>
      <c r="E911" s="2" t="inlineStr">
        <is>
          <t>Professional Services</t>
        </is>
      </c>
      <c r="F911" s="8" t="n">
        <v>576600</v>
      </c>
      <c r="G911" s="2" t="n">
        <v>15</v>
      </c>
      <c r="H911" s="7" t="n">
        <v>46399</v>
      </c>
      <c r="I911" s="7" t="n">
        <v>46459</v>
      </c>
      <c r="J911" s="2" t="inlineStr">
        <is>
          <t>Paid</t>
        </is>
      </c>
      <c r="K911" s="2" t="inlineStr">
        <is>
          <t>Yes</t>
        </is>
      </c>
      <c r="L911" s="9" t="n">
        <v>0.02</v>
      </c>
      <c r="M911" s="2" t="inlineStr">
        <is>
          <t>Received</t>
        </is>
      </c>
      <c r="N911" s="2" t="inlineStr">
        <is>
          <t>Approved</t>
        </is>
      </c>
      <c r="O911" s="2" t="n"/>
      <c r="P911" s="2" t="n"/>
      <c r="Q911" s="2" t="n"/>
      <c r="R911" s="2" t="n"/>
    </row>
    <row r="912">
      <c r="A912" s="2" t="inlineStr">
        <is>
          <t>INV00909</t>
        </is>
      </c>
      <c r="B912" s="7" t="n">
        <v>46316</v>
      </c>
      <c r="C912" s="2" t="inlineStr">
        <is>
          <t>Deloitte</t>
        </is>
      </c>
      <c r="D912" s="2" t="inlineStr">
        <is>
          <t>Finance</t>
        </is>
      </c>
      <c r="E912" s="2" t="inlineStr">
        <is>
          <t>Consulting</t>
        </is>
      </c>
      <c r="F912" s="8" t="n">
        <v>964000</v>
      </c>
      <c r="G912" s="2" t="n">
        <v>30</v>
      </c>
      <c r="H912" s="7" t="n">
        <v>46346</v>
      </c>
      <c r="I912" s="7" t="n">
        <v>46346</v>
      </c>
      <c r="J912" s="2" t="inlineStr">
        <is>
          <t>Paid</t>
        </is>
      </c>
      <c r="K912" s="2" t="inlineStr">
        <is>
          <t>No</t>
        </is>
      </c>
      <c r="L912" s="9" t="n">
        <v>0</v>
      </c>
      <c r="M912" s="2" t="inlineStr">
        <is>
          <t>Pending</t>
        </is>
      </c>
      <c r="N912" s="2" t="inlineStr">
        <is>
          <t>Pending</t>
        </is>
      </c>
      <c r="O912" s="2" t="n"/>
      <c r="P912" s="2" t="n"/>
      <c r="Q912" s="2" t="n"/>
      <c r="R912" s="2" t="n"/>
    </row>
    <row r="913">
      <c r="A913" s="2" t="inlineStr">
        <is>
          <t>INV00910</t>
        </is>
      </c>
      <c r="B913" s="7" t="n">
        <v>46384</v>
      </c>
      <c r="C913" s="2" t="inlineStr">
        <is>
          <t>Zoho</t>
        </is>
      </c>
      <c r="D913" s="2" t="inlineStr">
        <is>
          <t>Finance</t>
        </is>
      </c>
      <c r="E913" s="2" t="inlineStr">
        <is>
          <t>Cloud</t>
        </is>
      </c>
      <c r="F913" s="8" t="n">
        <v>7400</v>
      </c>
      <c r="G913" s="2" t="n">
        <v>60</v>
      </c>
      <c r="H913" s="7" t="n">
        <v>46444</v>
      </c>
      <c r="I913" s="7" t="n">
        <v>46534</v>
      </c>
      <c r="J913" s="2" t="inlineStr">
        <is>
          <t>Paid</t>
        </is>
      </c>
      <c r="K913" s="2" t="inlineStr">
        <is>
          <t>Yes</t>
        </is>
      </c>
      <c r="L913" s="9" t="n">
        <v>0.02</v>
      </c>
      <c r="M913" s="2" t="inlineStr">
        <is>
          <t>Received</t>
        </is>
      </c>
      <c r="N913" s="2" t="inlineStr">
        <is>
          <t>Approved</t>
        </is>
      </c>
      <c r="O913" s="2" t="n"/>
      <c r="P913" s="2" t="n"/>
      <c r="Q913" s="2" t="n"/>
      <c r="R913" s="2" t="n"/>
    </row>
    <row r="914">
      <c r="A914" s="2" t="inlineStr">
        <is>
          <t>INV00911</t>
        </is>
      </c>
      <c r="B914" s="7" t="n">
        <v>46071</v>
      </c>
      <c r="C914" s="2" t="inlineStr">
        <is>
          <t>IBM</t>
        </is>
      </c>
      <c r="D914" s="2" t="inlineStr">
        <is>
          <t>HR</t>
        </is>
      </c>
      <c r="E914" s="2" t="inlineStr">
        <is>
          <t>Software</t>
        </is>
      </c>
      <c r="F914" s="8" t="n">
        <v>158100</v>
      </c>
      <c r="G914" s="2" t="n">
        <v>15</v>
      </c>
      <c r="H914" s="7" t="n">
        <v>46086</v>
      </c>
      <c r="I914" s="7" t="n">
        <v>46091</v>
      </c>
      <c r="J914" s="2" t="inlineStr">
        <is>
          <t>Paid</t>
        </is>
      </c>
      <c r="K914" s="2" t="inlineStr">
        <is>
          <t>Yes</t>
        </is>
      </c>
      <c r="L914" s="9" t="n">
        <v>0.02</v>
      </c>
      <c r="M914" s="2" t="inlineStr">
        <is>
          <t>Received</t>
        </is>
      </c>
      <c r="N914" s="2" t="inlineStr">
        <is>
          <t>Pending</t>
        </is>
      </c>
      <c r="O914" s="2" t="n"/>
      <c r="P914" s="2" t="n"/>
      <c r="Q914" s="2" t="n"/>
      <c r="R914" s="2" t="n"/>
    </row>
    <row r="915">
      <c r="A915" s="2" t="inlineStr">
        <is>
          <t>INV00912</t>
        </is>
      </c>
      <c r="B915" s="7" t="n">
        <v>46152</v>
      </c>
      <c r="C915" s="2" t="inlineStr">
        <is>
          <t>HCLTech</t>
        </is>
      </c>
      <c r="D915" s="2" t="inlineStr">
        <is>
          <t>Operations</t>
        </is>
      </c>
      <c r="E915" s="2" t="inlineStr">
        <is>
          <t>Office Supplies</t>
        </is>
      </c>
      <c r="F915" s="8" t="n">
        <v>825200</v>
      </c>
      <c r="G915" s="2" t="n">
        <v>45</v>
      </c>
      <c r="H915" s="7" t="n">
        <v>46197</v>
      </c>
      <c r="I915" s="7" t="n">
        <v>46202</v>
      </c>
      <c r="J915" s="2" t="inlineStr">
        <is>
          <t>Paid</t>
        </is>
      </c>
      <c r="K915" s="2" t="inlineStr">
        <is>
          <t>Yes</t>
        </is>
      </c>
      <c r="L915" s="9" t="n">
        <v>0.02</v>
      </c>
      <c r="M915" s="2" t="inlineStr">
        <is>
          <t>Received</t>
        </is>
      </c>
      <c r="N915" s="2" t="inlineStr">
        <is>
          <t>Approved</t>
        </is>
      </c>
      <c r="O915" s="2" t="n"/>
      <c r="P915" s="2" t="n"/>
      <c r="Q915" s="2" t="n"/>
      <c r="R915" s="2" t="n"/>
    </row>
    <row r="916">
      <c r="A916" s="2" t="inlineStr">
        <is>
          <t>INV00913</t>
        </is>
      </c>
      <c r="B916" s="7" t="n">
        <v>46121</v>
      </c>
      <c r="C916" s="2" t="inlineStr">
        <is>
          <t>Deloitte</t>
        </is>
      </c>
      <c r="D916" s="2" t="inlineStr">
        <is>
          <t>HR</t>
        </is>
      </c>
      <c r="E916" s="2" t="inlineStr">
        <is>
          <t>Office Supplies</t>
        </is>
      </c>
      <c r="F916" s="8" t="n">
        <v>641700</v>
      </c>
      <c r="G916" s="2" t="n">
        <v>15</v>
      </c>
      <c r="H916" s="7" t="n">
        <v>46136</v>
      </c>
      <c r="I916" s="7" t="n">
        <v>46151</v>
      </c>
      <c r="J916" s="2" t="inlineStr">
        <is>
          <t>Paid</t>
        </is>
      </c>
      <c r="K916" s="2" t="inlineStr">
        <is>
          <t>No</t>
        </is>
      </c>
      <c r="L916" s="9" t="n">
        <v>0</v>
      </c>
      <c r="M916" s="2" t="inlineStr">
        <is>
          <t>Received</t>
        </is>
      </c>
      <c r="N916" s="2" t="inlineStr">
        <is>
          <t>Approved</t>
        </is>
      </c>
      <c r="O916" s="2" t="n"/>
      <c r="P916" s="2" t="n"/>
      <c r="Q916" s="2" t="n"/>
      <c r="R916" s="2" t="n"/>
    </row>
    <row r="917">
      <c r="A917" s="2" t="inlineStr">
        <is>
          <t>INV00914</t>
        </is>
      </c>
      <c r="B917" s="7" t="n">
        <v>46317</v>
      </c>
      <c r="C917" s="2" t="inlineStr">
        <is>
          <t>Zoho</t>
        </is>
      </c>
      <c r="D917" s="2" t="inlineStr">
        <is>
          <t>Operations</t>
        </is>
      </c>
      <c r="E917" s="2" t="inlineStr">
        <is>
          <t>Cloud</t>
        </is>
      </c>
      <c r="F917" s="8" t="n">
        <v>5700</v>
      </c>
      <c r="G917" s="2" t="n">
        <v>30</v>
      </c>
      <c r="H917" s="7" t="n">
        <v>46347</v>
      </c>
      <c r="I917" s="7" t="n">
        <v>46377</v>
      </c>
      <c r="J917" s="2" t="inlineStr">
        <is>
          <t>Paid</t>
        </is>
      </c>
      <c r="K917" s="2" t="inlineStr">
        <is>
          <t>Yes</t>
        </is>
      </c>
      <c r="L917" s="9" t="n">
        <v>0.02</v>
      </c>
      <c r="M917" s="2" t="inlineStr">
        <is>
          <t>Received</t>
        </is>
      </c>
      <c r="N917" s="2" t="inlineStr">
        <is>
          <t>Approved</t>
        </is>
      </c>
      <c r="O917" s="2" t="n"/>
      <c r="P917" s="2" t="n"/>
      <c r="Q917" s="2" t="n"/>
      <c r="R917" s="2" t="n"/>
    </row>
    <row r="918">
      <c r="A918" s="2" t="inlineStr">
        <is>
          <t>INV00915</t>
        </is>
      </c>
      <c r="B918" s="7" t="n">
        <v>46176</v>
      </c>
      <c r="C918" s="2" t="inlineStr">
        <is>
          <t>Zoho</t>
        </is>
      </c>
      <c r="D918" s="2" t="inlineStr">
        <is>
          <t>IT</t>
        </is>
      </c>
      <c r="E918" s="2" t="inlineStr">
        <is>
          <t>Cloud</t>
        </is>
      </c>
      <c r="F918" s="8" t="n">
        <v>603800</v>
      </c>
      <c r="G918" s="2" t="n">
        <v>60</v>
      </c>
      <c r="H918" s="7" t="n">
        <v>46236</v>
      </c>
      <c r="I918" s="7" t="n">
        <v>46236</v>
      </c>
      <c r="J918" s="2" t="inlineStr">
        <is>
          <t>Paid</t>
        </is>
      </c>
      <c r="K918" s="2" t="inlineStr">
        <is>
          <t>No</t>
        </is>
      </c>
      <c r="L918" s="9" t="n">
        <v>0</v>
      </c>
      <c r="M918" s="2" t="inlineStr">
        <is>
          <t>Received</t>
        </is>
      </c>
      <c r="N918" s="2" t="inlineStr">
        <is>
          <t>Approved</t>
        </is>
      </c>
      <c r="O918" s="2" t="n"/>
      <c r="P918" s="2" t="n"/>
      <c r="Q918" s="2" t="n"/>
      <c r="R918" s="2" t="n"/>
    </row>
    <row r="919">
      <c r="A919" s="2" t="inlineStr">
        <is>
          <t>INV00916</t>
        </is>
      </c>
      <c r="B919" s="7" t="n">
        <v>46246</v>
      </c>
      <c r="C919" s="2" t="inlineStr">
        <is>
          <t>Infosys</t>
        </is>
      </c>
      <c r="D919" s="2" t="inlineStr">
        <is>
          <t>Marketing</t>
        </is>
      </c>
      <c r="E919" s="2" t="inlineStr">
        <is>
          <t>Consulting</t>
        </is>
      </c>
      <c r="F919" s="8" t="n">
        <v>221400</v>
      </c>
      <c r="G919" s="2" t="n">
        <v>15</v>
      </c>
      <c r="H919" s="7" t="n">
        <v>46261</v>
      </c>
      <c r="I919" s="2" t="n"/>
      <c r="J919" s="2" t="inlineStr">
        <is>
          <t>Pending</t>
        </is>
      </c>
      <c r="K919" s="2" t="inlineStr">
        <is>
          <t>No</t>
        </is>
      </c>
      <c r="L919" s="9" t="n">
        <v>0</v>
      </c>
      <c r="M919" s="2" t="inlineStr">
        <is>
          <t>Received</t>
        </is>
      </c>
      <c r="N919" s="2" t="inlineStr">
        <is>
          <t>Approved</t>
        </is>
      </c>
      <c r="O919" s="2" t="n"/>
      <c r="P919" s="2" t="n"/>
      <c r="Q919" s="2" t="n"/>
      <c r="R919" s="2" t="n"/>
    </row>
    <row r="920">
      <c r="A920" s="2" t="inlineStr">
        <is>
          <t>INV00917</t>
        </is>
      </c>
      <c r="B920" s="7" t="n">
        <v>46280</v>
      </c>
      <c r="C920" s="2" t="inlineStr">
        <is>
          <t>IBM</t>
        </is>
      </c>
      <c r="D920" s="2" t="inlineStr">
        <is>
          <t>Sales</t>
        </is>
      </c>
      <c r="E920" s="2" t="inlineStr">
        <is>
          <t>Facilities</t>
        </is>
      </c>
      <c r="F920" s="8" t="n">
        <v>668400</v>
      </c>
      <c r="G920" s="2" t="n">
        <v>45</v>
      </c>
      <c r="H920" s="7" t="n">
        <v>46325</v>
      </c>
      <c r="I920" s="7" t="n">
        <v>46325</v>
      </c>
      <c r="J920" s="2" t="inlineStr">
        <is>
          <t>Paid</t>
        </is>
      </c>
      <c r="K920" s="2" t="inlineStr">
        <is>
          <t>No</t>
        </is>
      </c>
      <c r="L920" s="9" t="n">
        <v>0</v>
      </c>
      <c r="M920" s="2" t="inlineStr">
        <is>
          <t>Received</t>
        </is>
      </c>
      <c r="N920" s="2" t="inlineStr">
        <is>
          <t>Approved</t>
        </is>
      </c>
      <c r="O920" s="2" t="n"/>
      <c r="P920" s="2" t="n"/>
      <c r="Q920" s="2" t="n"/>
      <c r="R920" s="2" t="n"/>
    </row>
    <row r="921">
      <c r="A921" s="2" t="inlineStr">
        <is>
          <t>INV00918</t>
        </is>
      </c>
      <c r="B921" s="7" t="n">
        <v>46197</v>
      </c>
      <c r="C921" s="2" t="inlineStr">
        <is>
          <t>Adobe</t>
        </is>
      </c>
      <c r="D921" s="2" t="inlineStr">
        <is>
          <t>Finance</t>
        </is>
      </c>
      <c r="E921" s="2" t="inlineStr">
        <is>
          <t>Office Supplies</t>
        </is>
      </c>
      <c r="F921" s="8" t="n">
        <v>98700</v>
      </c>
      <c r="G921" s="2" t="n">
        <v>30</v>
      </c>
      <c r="H921" s="7" t="n">
        <v>46227</v>
      </c>
      <c r="I921" s="7" t="n">
        <v>46227</v>
      </c>
      <c r="J921" s="2" t="inlineStr">
        <is>
          <t>Paid</t>
        </is>
      </c>
      <c r="K921" s="2" t="inlineStr">
        <is>
          <t>Yes</t>
        </is>
      </c>
      <c r="L921" s="9" t="n">
        <v>0.02</v>
      </c>
      <c r="M921" s="2" t="inlineStr">
        <is>
          <t>Received</t>
        </is>
      </c>
      <c r="N921" s="2" t="inlineStr">
        <is>
          <t>Approved</t>
        </is>
      </c>
      <c r="O921" s="2" t="n"/>
      <c r="P921" s="2" t="n"/>
      <c r="Q921" s="2" t="n"/>
      <c r="R921" s="2" t="n"/>
    </row>
    <row r="922">
      <c r="A922" s="2" t="inlineStr">
        <is>
          <t>INV00919</t>
        </is>
      </c>
      <c r="B922" s="7" t="n">
        <v>46182</v>
      </c>
      <c r="C922" s="2" t="inlineStr">
        <is>
          <t>Google Cloud</t>
        </is>
      </c>
      <c r="D922" s="2" t="inlineStr">
        <is>
          <t>IT</t>
        </is>
      </c>
      <c r="E922" s="2" t="inlineStr">
        <is>
          <t>Office Supplies</t>
        </is>
      </c>
      <c r="F922" s="8" t="n">
        <v>456200</v>
      </c>
      <c r="G922" s="2" t="n">
        <v>45</v>
      </c>
      <c r="H922" s="7" t="n">
        <v>46227</v>
      </c>
      <c r="I922" s="7" t="n">
        <v>46317</v>
      </c>
      <c r="J922" s="2" t="inlineStr">
        <is>
          <t>Paid</t>
        </is>
      </c>
      <c r="K922" s="2" t="inlineStr">
        <is>
          <t>No</t>
        </is>
      </c>
      <c r="L922" s="9" t="n">
        <v>0</v>
      </c>
      <c r="M922" s="2" t="inlineStr">
        <is>
          <t>Received</t>
        </is>
      </c>
      <c r="N922" s="2" t="inlineStr">
        <is>
          <t>Approved</t>
        </is>
      </c>
      <c r="O922" s="2" t="n"/>
      <c r="P922" s="2" t="n"/>
      <c r="Q922" s="2" t="n"/>
      <c r="R922" s="2" t="n"/>
    </row>
    <row r="923">
      <c r="A923" s="2" t="inlineStr">
        <is>
          <t>INV00920</t>
        </is>
      </c>
      <c r="B923" s="7" t="n">
        <v>46322</v>
      </c>
      <c r="C923" s="2" t="inlineStr">
        <is>
          <t>Microsoft</t>
        </is>
      </c>
      <c r="D923" s="2" t="inlineStr">
        <is>
          <t>Sales</t>
        </is>
      </c>
      <c r="E923" s="2" t="inlineStr">
        <is>
          <t>Professional Services</t>
        </is>
      </c>
      <c r="F923" s="8" t="n">
        <v>125100</v>
      </c>
      <c r="G923" s="2" t="n">
        <v>60</v>
      </c>
      <c r="H923" s="7" t="n">
        <v>46382</v>
      </c>
      <c r="I923" s="7" t="n">
        <v>46382</v>
      </c>
      <c r="J923" s="2" t="inlineStr">
        <is>
          <t>Paid</t>
        </is>
      </c>
      <c r="K923" s="2" t="inlineStr">
        <is>
          <t>No</t>
        </is>
      </c>
      <c r="L923" s="9" t="n">
        <v>0</v>
      </c>
      <c r="M923" s="2" t="inlineStr">
        <is>
          <t>Received</t>
        </is>
      </c>
      <c r="N923" s="2" t="inlineStr">
        <is>
          <t>Approved</t>
        </is>
      </c>
      <c r="O923" s="2" t="n"/>
      <c r="P923" s="2" t="n"/>
      <c r="Q923" s="2" t="n"/>
      <c r="R923" s="2" t="n"/>
    </row>
    <row r="924">
      <c r="A924" s="2" t="inlineStr">
        <is>
          <t>INV00921</t>
        </is>
      </c>
      <c r="B924" s="7" t="n">
        <v>46084</v>
      </c>
      <c r="C924" s="2" t="inlineStr">
        <is>
          <t>Adobe</t>
        </is>
      </c>
      <c r="D924" s="2" t="inlineStr">
        <is>
          <t>IT</t>
        </is>
      </c>
      <c r="E924" s="2" t="inlineStr">
        <is>
          <t>Software</t>
        </is>
      </c>
      <c r="F924" s="8" t="n">
        <v>161200</v>
      </c>
      <c r="G924" s="2" t="n">
        <v>60</v>
      </c>
      <c r="H924" s="7" t="n">
        <v>46144</v>
      </c>
      <c r="I924" s="2" t="n"/>
      <c r="J924" s="2" t="inlineStr">
        <is>
          <t>Pending</t>
        </is>
      </c>
      <c r="K924" s="2" t="inlineStr">
        <is>
          <t>Yes</t>
        </is>
      </c>
      <c r="L924" s="9" t="n">
        <v>0.02</v>
      </c>
      <c r="M924" s="2" t="inlineStr">
        <is>
          <t>Received</t>
        </is>
      </c>
      <c r="N924" s="2" t="inlineStr">
        <is>
          <t>Approved</t>
        </is>
      </c>
      <c r="O924" s="2" t="n"/>
      <c r="P924" s="2" t="n"/>
      <c r="Q924" s="2" t="n"/>
      <c r="R924" s="2" t="n"/>
    </row>
    <row r="925">
      <c r="A925" s="2" t="inlineStr">
        <is>
          <t>INV00922</t>
        </is>
      </c>
      <c r="B925" s="7" t="n">
        <v>46357</v>
      </c>
      <c r="C925" s="2" t="inlineStr">
        <is>
          <t>Oracle</t>
        </is>
      </c>
      <c r="D925" s="2" t="inlineStr">
        <is>
          <t>Sales</t>
        </is>
      </c>
      <c r="E925" s="2" t="inlineStr">
        <is>
          <t>Facilities</t>
        </is>
      </c>
      <c r="F925" s="8" t="n">
        <v>376900</v>
      </c>
      <c r="G925" s="2" t="n">
        <v>45</v>
      </c>
      <c r="H925" s="7" t="n">
        <v>46402</v>
      </c>
      <c r="I925" s="7" t="n">
        <v>46462</v>
      </c>
      <c r="J925" s="2" t="inlineStr">
        <is>
          <t>Paid</t>
        </is>
      </c>
      <c r="K925" s="2" t="inlineStr">
        <is>
          <t>No</t>
        </is>
      </c>
      <c r="L925" s="9" t="n">
        <v>0</v>
      </c>
      <c r="M925" s="2" t="inlineStr">
        <is>
          <t>Received</t>
        </is>
      </c>
      <c r="N925" s="2" t="inlineStr">
        <is>
          <t>Approved</t>
        </is>
      </c>
      <c r="O925" s="2" t="n"/>
      <c r="P925" s="2" t="n"/>
      <c r="Q925" s="2" t="n"/>
      <c r="R925" s="2" t="n"/>
    </row>
    <row r="926">
      <c r="A926" s="2" t="inlineStr">
        <is>
          <t>INV00923</t>
        </is>
      </c>
      <c r="B926" s="7" t="n">
        <v>46060</v>
      </c>
      <c r="C926" s="2" t="inlineStr">
        <is>
          <t>HCLTech</t>
        </is>
      </c>
      <c r="D926" s="2" t="inlineStr">
        <is>
          <t>Marketing</t>
        </is>
      </c>
      <c r="E926" s="2" t="inlineStr">
        <is>
          <t>Cloud</t>
        </is>
      </c>
      <c r="F926" s="8" t="n">
        <v>582500</v>
      </c>
      <c r="G926" s="2" t="n">
        <v>45</v>
      </c>
      <c r="H926" s="7" t="n">
        <v>46105</v>
      </c>
      <c r="I926" s="7" t="n">
        <v>46110</v>
      </c>
      <c r="J926" s="2" t="inlineStr">
        <is>
          <t>Paid</t>
        </is>
      </c>
      <c r="K926" s="2" t="inlineStr">
        <is>
          <t>No</t>
        </is>
      </c>
      <c r="L926" s="9" t="n">
        <v>0</v>
      </c>
      <c r="M926" s="2" t="inlineStr">
        <is>
          <t>Received</t>
        </is>
      </c>
      <c r="N926" s="2" t="inlineStr">
        <is>
          <t>Approved</t>
        </is>
      </c>
      <c r="O926" s="2" t="n"/>
      <c r="P926" s="2" t="n"/>
      <c r="Q926" s="2" t="n"/>
      <c r="R926" s="2" t="n"/>
    </row>
    <row r="927">
      <c r="A927" s="2" t="inlineStr">
        <is>
          <t>INV00924</t>
        </is>
      </c>
      <c r="B927" s="7" t="n">
        <v>46032</v>
      </c>
      <c r="C927" s="2" t="inlineStr">
        <is>
          <t>Infosys</t>
        </is>
      </c>
      <c r="D927" s="2" t="inlineStr">
        <is>
          <t>Marketing</t>
        </is>
      </c>
      <c r="E927" s="2" t="inlineStr">
        <is>
          <t>Consulting</t>
        </is>
      </c>
      <c r="F927" s="8" t="n">
        <v>88700</v>
      </c>
      <c r="G927" s="2" t="n">
        <v>15</v>
      </c>
      <c r="H927" s="7" t="n">
        <v>46047</v>
      </c>
      <c r="I927" s="7" t="n">
        <v>46047</v>
      </c>
      <c r="J927" s="2" t="inlineStr">
        <is>
          <t>Paid</t>
        </is>
      </c>
      <c r="K927" s="2" t="inlineStr">
        <is>
          <t>Yes</t>
        </is>
      </c>
      <c r="L927" s="9" t="n">
        <v>0.02</v>
      </c>
      <c r="M927" s="2" t="inlineStr">
        <is>
          <t>Received</t>
        </is>
      </c>
      <c r="N927" s="2" t="inlineStr">
        <is>
          <t>Approved</t>
        </is>
      </c>
      <c r="O927" s="2" t="n"/>
      <c r="P927" s="2" t="n"/>
      <c r="Q927" s="2" t="n"/>
      <c r="R927" s="2" t="n"/>
    </row>
    <row r="928">
      <c r="A928" s="2" t="inlineStr">
        <is>
          <t>INV00925</t>
        </is>
      </c>
      <c r="B928" s="7" t="n">
        <v>46092</v>
      </c>
      <c r="C928" s="2" t="inlineStr">
        <is>
          <t>Accenture</t>
        </is>
      </c>
      <c r="D928" s="2" t="inlineStr">
        <is>
          <t>Sales</t>
        </is>
      </c>
      <c r="E928" s="2" t="inlineStr">
        <is>
          <t>Software</t>
        </is>
      </c>
      <c r="F928" s="8" t="n">
        <v>413100</v>
      </c>
      <c r="G928" s="2" t="n">
        <v>30</v>
      </c>
      <c r="H928" s="7" t="n">
        <v>46122</v>
      </c>
      <c r="I928" s="7" t="n">
        <v>46152</v>
      </c>
      <c r="J928" s="2" t="inlineStr">
        <is>
          <t>Paid</t>
        </is>
      </c>
      <c r="K928" s="2" t="inlineStr">
        <is>
          <t>No</t>
        </is>
      </c>
      <c r="L928" s="9" t="n">
        <v>0</v>
      </c>
      <c r="M928" s="2" t="inlineStr">
        <is>
          <t>Received</t>
        </is>
      </c>
      <c r="N928" s="2" t="inlineStr">
        <is>
          <t>Approved</t>
        </is>
      </c>
      <c r="O928" s="2" t="n"/>
      <c r="P928" s="2" t="n"/>
      <c r="Q928" s="2" t="n"/>
      <c r="R928" s="2" t="n"/>
    </row>
    <row r="929">
      <c r="A929" s="2" t="inlineStr">
        <is>
          <t>INV00926</t>
        </is>
      </c>
      <c r="B929" s="7" t="n">
        <v>46136</v>
      </c>
      <c r="C929" s="2" t="inlineStr">
        <is>
          <t>Cognizant</t>
        </is>
      </c>
      <c r="D929" s="2" t="inlineStr">
        <is>
          <t>Sales</t>
        </is>
      </c>
      <c r="E929" s="2" t="inlineStr">
        <is>
          <t>Cloud</t>
        </is>
      </c>
      <c r="F929" s="8" t="n">
        <v>18100</v>
      </c>
      <c r="G929" s="2" t="n">
        <v>45</v>
      </c>
      <c r="H929" s="7" t="n">
        <v>46181</v>
      </c>
      <c r="I929" s="7" t="n">
        <v>46186</v>
      </c>
      <c r="J929" s="2" t="inlineStr">
        <is>
          <t>Paid</t>
        </is>
      </c>
      <c r="K929" s="2" t="inlineStr">
        <is>
          <t>No</t>
        </is>
      </c>
      <c r="L929" s="9" t="n">
        <v>0</v>
      </c>
      <c r="M929" s="2" t="inlineStr">
        <is>
          <t>Received</t>
        </is>
      </c>
      <c r="N929" s="2" t="inlineStr">
        <is>
          <t>Approved</t>
        </is>
      </c>
      <c r="O929" s="2" t="n"/>
      <c r="P929" s="2" t="n"/>
      <c r="Q929" s="2" t="n"/>
      <c r="R929" s="2" t="n"/>
    </row>
    <row r="930">
      <c r="A930" s="2" t="inlineStr">
        <is>
          <t>INV00927</t>
        </is>
      </c>
      <c r="B930" s="7" t="n">
        <v>46118</v>
      </c>
      <c r="C930" s="2" t="inlineStr">
        <is>
          <t>Infosys</t>
        </is>
      </c>
      <c r="D930" s="2" t="inlineStr">
        <is>
          <t>HR</t>
        </is>
      </c>
      <c r="E930" s="2" t="inlineStr">
        <is>
          <t>Travel</t>
        </is>
      </c>
      <c r="F930" s="8" t="n">
        <v>617400</v>
      </c>
      <c r="G930" s="2" t="n">
        <v>60</v>
      </c>
      <c r="H930" s="7" t="n">
        <v>46178</v>
      </c>
      <c r="I930" s="7" t="n">
        <v>46183</v>
      </c>
      <c r="J930" s="2" t="inlineStr">
        <is>
          <t>Paid</t>
        </is>
      </c>
      <c r="K930" s="2" t="inlineStr">
        <is>
          <t>No</t>
        </is>
      </c>
      <c r="L930" s="9" t="n">
        <v>0</v>
      </c>
      <c r="M930" s="2" t="inlineStr">
        <is>
          <t>Received</t>
        </is>
      </c>
      <c r="N930" s="2" t="inlineStr">
        <is>
          <t>Approved</t>
        </is>
      </c>
      <c r="O930" s="2" t="n"/>
      <c r="P930" s="2" t="n"/>
      <c r="Q930" s="2" t="n"/>
      <c r="R930" s="2" t="n"/>
    </row>
    <row r="931">
      <c r="A931" s="2" t="inlineStr">
        <is>
          <t>INV00928</t>
        </is>
      </c>
      <c r="B931" s="7" t="n">
        <v>46049</v>
      </c>
      <c r="C931" s="2" t="inlineStr">
        <is>
          <t>Accenture</t>
        </is>
      </c>
      <c r="D931" s="2" t="inlineStr">
        <is>
          <t>Operations</t>
        </is>
      </c>
      <c r="E931" s="2" t="inlineStr">
        <is>
          <t>Cloud</t>
        </is>
      </c>
      <c r="F931" s="8" t="n">
        <v>575400</v>
      </c>
      <c r="G931" s="2" t="n">
        <v>30</v>
      </c>
      <c r="H931" s="7" t="n">
        <v>46079</v>
      </c>
      <c r="I931" s="7" t="n">
        <v>46084</v>
      </c>
      <c r="J931" s="2" t="inlineStr">
        <is>
          <t>Paid</t>
        </is>
      </c>
      <c r="K931" s="2" t="inlineStr">
        <is>
          <t>No</t>
        </is>
      </c>
      <c r="L931" s="9" t="n">
        <v>0</v>
      </c>
      <c r="M931" s="2" t="inlineStr">
        <is>
          <t>Received</t>
        </is>
      </c>
      <c r="N931" s="2" t="inlineStr">
        <is>
          <t>Approved</t>
        </is>
      </c>
      <c r="O931" s="2" t="n"/>
      <c r="P931" s="2" t="n"/>
      <c r="Q931" s="2" t="n"/>
      <c r="R931" s="2" t="n"/>
    </row>
    <row r="932">
      <c r="A932" s="2" t="inlineStr">
        <is>
          <t>INV00929</t>
        </is>
      </c>
      <c r="B932" s="7" t="n">
        <v>46070</v>
      </c>
      <c r="C932" s="2" t="inlineStr">
        <is>
          <t>Cognizant</t>
        </is>
      </c>
      <c r="D932" s="2" t="inlineStr">
        <is>
          <t>Finance</t>
        </is>
      </c>
      <c r="E932" s="2" t="inlineStr">
        <is>
          <t>Consulting</t>
        </is>
      </c>
      <c r="F932" s="8" t="n">
        <v>119600</v>
      </c>
      <c r="G932" s="2" t="n">
        <v>30</v>
      </c>
      <c r="H932" s="7" t="n">
        <v>46100</v>
      </c>
      <c r="I932" s="7" t="n">
        <v>46105</v>
      </c>
      <c r="J932" s="2" t="inlineStr">
        <is>
          <t>Paid</t>
        </is>
      </c>
      <c r="K932" s="2" t="inlineStr">
        <is>
          <t>No</t>
        </is>
      </c>
      <c r="L932" s="9" t="n">
        <v>0</v>
      </c>
      <c r="M932" s="2" t="inlineStr">
        <is>
          <t>Received</t>
        </is>
      </c>
      <c r="N932" s="2" t="inlineStr">
        <is>
          <t>Approved</t>
        </is>
      </c>
      <c r="O932" s="2" t="n"/>
      <c r="P932" s="2" t="n"/>
      <c r="Q932" s="2" t="n"/>
      <c r="R932" s="2" t="n"/>
    </row>
    <row r="933">
      <c r="A933" s="2" t="inlineStr">
        <is>
          <t>INV00930</t>
        </is>
      </c>
      <c r="B933" s="7" t="n">
        <v>46308</v>
      </c>
      <c r="C933" s="2" t="inlineStr">
        <is>
          <t>SAP</t>
        </is>
      </c>
      <c r="D933" s="2" t="inlineStr">
        <is>
          <t>Marketing</t>
        </is>
      </c>
      <c r="E933" s="2" t="inlineStr">
        <is>
          <t>Software</t>
        </is>
      </c>
      <c r="F933" s="8" t="n">
        <v>176800</v>
      </c>
      <c r="G933" s="2" t="n">
        <v>45</v>
      </c>
      <c r="H933" s="7" t="n">
        <v>46353</v>
      </c>
      <c r="I933" s="7" t="n">
        <v>46353</v>
      </c>
      <c r="J933" s="2" t="inlineStr">
        <is>
          <t>Paid</t>
        </is>
      </c>
      <c r="K933" s="2" t="inlineStr">
        <is>
          <t>Yes</t>
        </is>
      </c>
      <c r="L933" s="9" t="n">
        <v>0.02</v>
      </c>
      <c r="M933" s="2" t="inlineStr">
        <is>
          <t>Pending</t>
        </is>
      </c>
      <c r="N933" s="2" t="inlineStr">
        <is>
          <t>Approved</t>
        </is>
      </c>
      <c r="O933" s="2" t="n"/>
      <c r="P933" s="2" t="n"/>
      <c r="Q933" s="2" t="n"/>
      <c r="R933" s="2" t="n"/>
    </row>
    <row r="934">
      <c r="A934" s="2" t="inlineStr">
        <is>
          <t>INV00931</t>
        </is>
      </c>
      <c r="B934" s="7" t="n">
        <v>46183</v>
      </c>
      <c r="C934" s="2" t="inlineStr">
        <is>
          <t>Deloitte</t>
        </is>
      </c>
      <c r="D934" s="2" t="inlineStr">
        <is>
          <t>Operations</t>
        </is>
      </c>
      <c r="E934" s="2" t="inlineStr">
        <is>
          <t>Office Supplies</t>
        </is>
      </c>
      <c r="F934" s="8" t="n">
        <v>579300</v>
      </c>
      <c r="G934" s="2" t="n">
        <v>30</v>
      </c>
      <c r="H934" s="7" t="n">
        <v>46213</v>
      </c>
      <c r="I934" s="7" t="n">
        <v>46218</v>
      </c>
      <c r="J934" s="2" t="inlineStr">
        <is>
          <t>Paid</t>
        </is>
      </c>
      <c r="K934" s="2" t="inlineStr">
        <is>
          <t>No</t>
        </is>
      </c>
      <c r="L934" s="9" t="n">
        <v>0</v>
      </c>
      <c r="M934" s="2" t="inlineStr">
        <is>
          <t>Received</t>
        </is>
      </c>
      <c r="N934" s="2" t="inlineStr">
        <is>
          <t>Approved</t>
        </is>
      </c>
      <c r="O934" s="2" t="n"/>
      <c r="P934" s="2" t="n"/>
      <c r="Q934" s="2" t="n"/>
      <c r="R934" s="2" t="n"/>
    </row>
    <row r="935">
      <c r="A935" s="2" t="inlineStr">
        <is>
          <t>INV00932</t>
        </is>
      </c>
      <c r="B935" s="7" t="n">
        <v>46368</v>
      </c>
      <c r="C935" s="2" t="inlineStr">
        <is>
          <t>Accenture</t>
        </is>
      </c>
      <c r="D935" s="2" t="inlineStr">
        <is>
          <t>HR</t>
        </is>
      </c>
      <c r="E935" s="2" t="inlineStr">
        <is>
          <t>Professional Services</t>
        </is>
      </c>
      <c r="F935" s="8" t="n">
        <v>78500</v>
      </c>
      <c r="G935" s="2" t="n">
        <v>60</v>
      </c>
      <c r="H935" s="7" t="n">
        <v>46428</v>
      </c>
      <c r="I935" s="2" t="n"/>
      <c r="J935" s="2" t="inlineStr">
        <is>
          <t>Pending</t>
        </is>
      </c>
      <c r="K935" s="2" t="inlineStr">
        <is>
          <t>No</t>
        </is>
      </c>
      <c r="L935" s="9" t="n">
        <v>0</v>
      </c>
      <c r="M935" s="2" t="inlineStr">
        <is>
          <t>Received</t>
        </is>
      </c>
      <c r="N935" s="2" t="inlineStr">
        <is>
          <t>Approved</t>
        </is>
      </c>
      <c r="O935" s="2" t="n"/>
      <c r="P935" s="2" t="n"/>
      <c r="Q935" s="2" t="n"/>
      <c r="R935" s="2" t="n"/>
    </row>
    <row r="936">
      <c r="A936" s="2" t="inlineStr">
        <is>
          <t>INV00933</t>
        </is>
      </c>
      <c r="B936" s="7" t="n">
        <v>46161</v>
      </c>
      <c r="C936" s="2" t="inlineStr">
        <is>
          <t>Adobe</t>
        </is>
      </c>
      <c r="D936" s="2" t="inlineStr">
        <is>
          <t>Marketing</t>
        </is>
      </c>
      <c r="E936" s="2" t="inlineStr">
        <is>
          <t>Software</t>
        </is>
      </c>
      <c r="F936" s="8" t="n">
        <v>130500</v>
      </c>
      <c r="G936" s="2" t="n">
        <v>30</v>
      </c>
      <c r="H936" s="7" t="n">
        <v>46191</v>
      </c>
      <c r="I936" s="2" t="n"/>
      <c r="J936" s="2" t="inlineStr">
        <is>
          <t>Pending</t>
        </is>
      </c>
      <c r="K936" s="2" t="inlineStr">
        <is>
          <t>No</t>
        </is>
      </c>
      <c r="L936" s="9" t="n">
        <v>0</v>
      </c>
      <c r="M936" s="2" t="inlineStr">
        <is>
          <t>Received</t>
        </is>
      </c>
      <c r="N936" s="2" t="inlineStr">
        <is>
          <t>Approved</t>
        </is>
      </c>
      <c r="O936" s="2" t="n"/>
      <c r="P936" s="2" t="n"/>
      <c r="Q936" s="2" t="n"/>
      <c r="R936" s="2" t="n"/>
    </row>
    <row r="937">
      <c r="A937" s="2" t="inlineStr">
        <is>
          <t>INV00934</t>
        </is>
      </c>
      <c r="B937" s="7" t="n">
        <v>46025</v>
      </c>
      <c r="C937" s="2" t="inlineStr">
        <is>
          <t>Infosys</t>
        </is>
      </c>
      <c r="D937" s="2" t="inlineStr">
        <is>
          <t>Finance</t>
        </is>
      </c>
      <c r="E937" s="2" t="inlineStr">
        <is>
          <t>Facilities</t>
        </is>
      </c>
      <c r="F937" s="8" t="n">
        <v>117400</v>
      </c>
      <c r="G937" s="2" t="n">
        <v>45</v>
      </c>
      <c r="H937" s="7" t="n">
        <v>46070</v>
      </c>
      <c r="I937" s="7" t="n">
        <v>46070</v>
      </c>
      <c r="J937" s="2" t="inlineStr">
        <is>
          <t>Paid</t>
        </is>
      </c>
      <c r="K937" s="2" t="inlineStr">
        <is>
          <t>Yes</t>
        </is>
      </c>
      <c r="L937" s="9" t="n">
        <v>0.02</v>
      </c>
      <c r="M937" s="2" t="inlineStr">
        <is>
          <t>Received</t>
        </is>
      </c>
      <c r="N937" s="2" t="inlineStr">
        <is>
          <t>Approved</t>
        </is>
      </c>
      <c r="O937" s="2" t="n"/>
      <c r="P937" s="2" t="n"/>
      <c r="Q937" s="2" t="n"/>
      <c r="R937" s="2" t="n"/>
    </row>
    <row r="938">
      <c r="A938" s="2" t="inlineStr">
        <is>
          <t>INV00935</t>
        </is>
      </c>
      <c r="B938" s="7" t="n">
        <v>46126</v>
      </c>
      <c r="C938" s="2" t="inlineStr">
        <is>
          <t>Amazon Web Services</t>
        </is>
      </c>
      <c r="D938" s="2" t="inlineStr">
        <is>
          <t>Sales</t>
        </is>
      </c>
      <c r="E938" s="2" t="inlineStr">
        <is>
          <t>Cloud</t>
        </is>
      </c>
      <c r="F938" s="8" t="n">
        <v>884300</v>
      </c>
      <c r="G938" s="2" t="n">
        <v>30</v>
      </c>
      <c r="H938" s="7" t="n">
        <v>46156</v>
      </c>
      <c r="I938" s="7" t="n">
        <v>46156</v>
      </c>
      <c r="J938" s="2" t="inlineStr">
        <is>
          <t>Paid</t>
        </is>
      </c>
      <c r="K938" s="2" t="inlineStr">
        <is>
          <t>Yes</t>
        </is>
      </c>
      <c r="L938" s="9" t="n">
        <v>0.02</v>
      </c>
      <c r="M938" s="2" t="inlineStr">
        <is>
          <t>Received</t>
        </is>
      </c>
      <c r="N938" s="2" t="inlineStr">
        <is>
          <t>Approved</t>
        </is>
      </c>
      <c r="O938" s="2" t="n"/>
      <c r="P938" s="2" t="n"/>
      <c r="Q938" s="2" t="n"/>
      <c r="R938" s="2" t="n"/>
    </row>
    <row r="939">
      <c r="A939" s="2" t="inlineStr">
        <is>
          <t>INV00936</t>
        </is>
      </c>
      <c r="B939" s="7" t="n">
        <v>46128</v>
      </c>
      <c r="C939" s="2" t="inlineStr">
        <is>
          <t>SAP</t>
        </is>
      </c>
      <c r="D939" s="2" t="inlineStr">
        <is>
          <t>Operations</t>
        </is>
      </c>
      <c r="E939" s="2" t="inlineStr">
        <is>
          <t>Facilities</t>
        </is>
      </c>
      <c r="F939" s="8" t="n">
        <v>178000</v>
      </c>
      <c r="G939" s="2" t="n">
        <v>60</v>
      </c>
      <c r="H939" s="7" t="n">
        <v>46188</v>
      </c>
      <c r="I939" s="7" t="n">
        <v>46188</v>
      </c>
      <c r="J939" s="2" t="inlineStr">
        <is>
          <t>Paid</t>
        </is>
      </c>
      <c r="K939" s="2" t="inlineStr">
        <is>
          <t>No</t>
        </is>
      </c>
      <c r="L939" s="9" t="n">
        <v>0</v>
      </c>
      <c r="M939" s="2" t="inlineStr">
        <is>
          <t>Received</t>
        </is>
      </c>
      <c r="N939" s="2" t="inlineStr">
        <is>
          <t>Approved</t>
        </is>
      </c>
      <c r="O939" s="2" t="n"/>
      <c r="P939" s="2" t="n"/>
      <c r="Q939" s="2" t="n"/>
      <c r="R939" s="2" t="n"/>
    </row>
    <row r="940">
      <c r="A940" s="2" t="inlineStr">
        <is>
          <t>INV00937</t>
        </is>
      </c>
      <c r="B940" s="7" t="n">
        <v>46169</v>
      </c>
      <c r="C940" s="2" t="inlineStr">
        <is>
          <t>SAP</t>
        </is>
      </c>
      <c r="D940" s="2" t="inlineStr">
        <is>
          <t>Sales</t>
        </is>
      </c>
      <c r="E940" s="2" t="inlineStr">
        <is>
          <t>Facilities</t>
        </is>
      </c>
      <c r="F940" s="8" t="n">
        <v>650600</v>
      </c>
      <c r="G940" s="2" t="n">
        <v>60</v>
      </c>
      <c r="H940" s="7" t="n">
        <v>46229</v>
      </c>
      <c r="I940" s="7" t="n">
        <v>46244</v>
      </c>
      <c r="J940" s="2" t="inlineStr">
        <is>
          <t>Paid</t>
        </is>
      </c>
      <c r="K940" s="2" t="inlineStr">
        <is>
          <t>No</t>
        </is>
      </c>
      <c r="L940" s="9" t="n">
        <v>0</v>
      </c>
      <c r="M940" s="2" t="inlineStr">
        <is>
          <t>Received</t>
        </is>
      </c>
      <c r="N940" s="2" t="inlineStr">
        <is>
          <t>Approved</t>
        </is>
      </c>
      <c r="O940" s="2" t="n"/>
      <c r="P940" s="2" t="n"/>
      <c r="Q940" s="2" t="n"/>
      <c r="R940" s="2" t="n"/>
    </row>
    <row r="941">
      <c r="A941" s="2" t="inlineStr">
        <is>
          <t>INV00938</t>
        </is>
      </c>
      <c r="B941" s="7" t="n">
        <v>46124</v>
      </c>
      <c r="C941" s="2" t="inlineStr">
        <is>
          <t>Oracle</t>
        </is>
      </c>
      <c r="D941" s="2" t="inlineStr">
        <is>
          <t>HR</t>
        </is>
      </c>
      <c r="E941" s="2" t="inlineStr">
        <is>
          <t>Office Supplies</t>
        </is>
      </c>
      <c r="F941" s="8" t="n">
        <v>154600</v>
      </c>
      <c r="G941" s="2" t="n">
        <v>15</v>
      </c>
      <c r="H941" s="7" t="n">
        <v>46139</v>
      </c>
      <c r="I941" s="7" t="n">
        <v>46139</v>
      </c>
      <c r="J941" s="2" t="inlineStr">
        <is>
          <t>Paid</t>
        </is>
      </c>
      <c r="K941" s="2" t="inlineStr">
        <is>
          <t>Yes</t>
        </is>
      </c>
      <c r="L941" s="9" t="n">
        <v>0.02</v>
      </c>
      <c r="M941" s="2" t="inlineStr">
        <is>
          <t>Received</t>
        </is>
      </c>
      <c r="N941" s="2" t="inlineStr">
        <is>
          <t>Approved</t>
        </is>
      </c>
      <c r="O941" s="2" t="n"/>
      <c r="P941" s="2" t="n"/>
      <c r="Q941" s="2" t="n"/>
      <c r="R941" s="2" t="n"/>
    </row>
    <row r="942">
      <c r="A942" s="2" t="inlineStr">
        <is>
          <t>INV00939</t>
        </is>
      </c>
      <c r="B942" s="7" t="n">
        <v>46186</v>
      </c>
      <c r="C942" s="2" t="inlineStr">
        <is>
          <t>SAP</t>
        </is>
      </c>
      <c r="D942" s="2" t="inlineStr">
        <is>
          <t>Finance</t>
        </is>
      </c>
      <c r="E942" s="2" t="inlineStr">
        <is>
          <t>Professional Services</t>
        </is>
      </c>
      <c r="F942" s="8" t="n">
        <v>540100</v>
      </c>
      <c r="G942" s="2" t="n">
        <v>30</v>
      </c>
      <c r="H942" s="7" t="n">
        <v>46216</v>
      </c>
      <c r="I942" s="7" t="n">
        <v>46306</v>
      </c>
      <c r="J942" s="2" t="inlineStr">
        <is>
          <t>Paid</t>
        </is>
      </c>
      <c r="K942" s="2" t="inlineStr">
        <is>
          <t>No</t>
        </is>
      </c>
      <c r="L942" s="9" t="n">
        <v>0</v>
      </c>
      <c r="M942" s="2" t="inlineStr">
        <is>
          <t>Received</t>
        </is>
      </c>
      <c r="N942" s="2" t="inlineStr">
        <is>
          <t>Approved</t>
        </is>
      </c>
      <c r="O942" s="2" t="n"/>
      <c r="P942" s="2" t="n"/>
      <c r="Q942" s="2" t="n"/>
      <c r="R942" s="2" t="n"/>
    </row>
    <row r="943">
      <c r="A943" s="2" t="inlineStr">
        <is>
          <t>INV00940</t>
        </is>
      </c>
      <c r="B943" s="7" t="n">
        <v>46068</v>
      </c>
      <c r="C943" s="2" t="inlineStr">
        <is>
          <t>Cognizant</t>
        </is>
      </c>
      <c r="D943" s="2" t="inlineStr">
        <is>
          <t>IT</t>
        </is>
      </c>
      <c r="E943" s="2" t="inlineStr">
        <is>
          <t>Consulting</t>
        </is>
      </c>
      <c r="F943" s="8" t="n">
        <v>165700</v>
      </c>
      <c r="G943" s="2" t="n">
        <v>15</v>
      </c>
      <c r="H943" s="7" t="n">
        <v>46083</v>
      </c>
      <c r="I943" s="7" t="n">
        <v>46083</v>
      </c>
      <c r="J943" s="2" t="inlineStr">
        <is>
          <t>Paid</t>
        </is>
      </c>
      <c r="K943" s="2" t="inlineStr">
        <is>
          <t>No</t>
        </is>
      </c>
      <c r="L943" s="9" t="n">
        <v>0</v>
      </c>
      <c r="M943" s="2" t="inlineStr">
        <is>
          <t>Received</t>
        </is>
      </c>
      <c r="N943" s="2" t="inlineStr">
        <is>
          <t>Approved</t>
        </is>
      </c>
      <c r="O943" s="2" t="n"/>
      <c r="P943" s="2" t="n"/>
      <c r="Q943" s="2" t="n"/>
      <c r="R943" s="2" t="n"/>
    </row>
    <row r="944">
      <c r="A944" s="2" t="inlineStr">
        <is>
          <t>INV00941</t>
        </is>
      </c>
      <c r="B944" s="7" t="n">
        <v>46348</v>
      </c>
      <c r="C944" s="2" t="inlineStr">
        <is>
          <t>Adobe</t>
        </is>
      </c>
      <c r="D944" s="2" t="inlineStr">
        <is>
          <t>Operations</t>
        </is>
      </c>
      <c r="E944" s="2" t="inlineStr">
        <is>
          <t>Facilities</t>
        </is>
      </c>
      <c r="F944" s="8" t="n">
        <v>79200</v>
      </c>
      <c r="G944" s="2" t="n">
        <v>15</v>
      </c>
      <c r="H944" s="7" t="n">
        <v>46363</v>
      </c>
      <c r="I944" s="7" t="n">
        <v>46393</v>
      </c>
      <c r="J944" s="2" t="inlineStr">
        <is>
          <t>Paid</t>
        </is>
      </c>
      <c r="K944" s="2" t="inlineStr">
        <is>
          <t>No</t>
        </is>
      </c>
      <c r="L944" s="9" t="n">
        <v>0</v>
      </c>
      <c r="M944" s="2" t="inlineStr">
        <is>
          <t>Received</t>
        </is>
      </c>
      <c r="N944" s="2" t="inlineStr">
        <is>
          <t>Approved</t>
        </is>
      </c>
      <c r="O944" s="2" t="n"/>
      <c r="P944" s="2" t="n"/>
      <c r="Q944" s="2" t="n"/>
      <c r="R944" s="2" t="n"/>
    </row>
    <row r="945">
      <c r="A945" s="2" t="inlineStr">
        <is>
          <t>INV00942</t>
        </is>
      </c>
      <c r="B945" s="7" t="n">
        <v>46201</v>
      </c>
      <c r="C945" s="2" t="inlineStr">
        <is>
          <t>Google Cloud</t>
        </is>
      </c>
      <c r="D945" s="2" t="inlineStr">
        <is>
          <t>HR</t>
        </is>
      </c>
      <c r="E945" s="2" t="inlineStr">
        <is>
          <t>Software</t>
        </is>
      </c>
      <c r="F945" s="8" t="n">
        <v>648800</v>
      </c>
      <c r="G945" s="2" t="n">
        <v>30</v>
      </c>
      <c r="H945" s="7" t="n">
        <v>46231</v>
      </c>
      <c r="I945" s="2" t="n"/>
      <c r="J945" s="2" t="inlineStr">
        <is>
          <t>Pending</t>
        </is>
      </c>
      <c r="K945" s="2" t="inlineStr">
        <is>
          <t>Yes</t>
        </is>
      </c>
      <c r="L945" s="9" t="n">
        <v>0.02</v>
      </c>
      <c r="M945" s="2" t="inlineStr">
        <is>
          <t>Received</t>
        </is>
      </c>
      <c r="N945" s="2" t="inlineStr">
        <is>
          <t>Pending</t>
        </is>
      </c>
      <c r="O945" s="2" t="n"/>
      <c r="P945" s="2" t="n"/>
      <c r="Q945" s="2" t="n"/>
      <c r="R945" s="2" t="n"/>
    </row>
    <row r="946">
      <c r="A946" s="2" t="inlineStr">
        <is>
          <t>INV00943</t>
        </is>
      </c>
      <c r="B946" s="7" t="n">
        <v>46375</v>
      </c>
      <c r="C946" s="2" t="inlineStr">
        <is>
          <t>Infosys</t>
        </is>
      </c>
      <c r="D946" s="2" t="inlineStr">
        <is>
          <t>Finance</t>
        </is>
      </c>
      <c r="E946" s="2" t="inlineStr">
        <is>
          <t>Office Supplies</t>
        </is>
      </c>
      <c r="F946" s="8" t="n">
        <v>111500</v>
      </c>
      <c r="G946" s="2" t="n">
        <v>60</v>
      </c>
      <c r="H946" s="7" t="n">
        <v>46435</v>
      </c>
      <c r="I946" s="7" t="n">
        <v>46435</v>
      </c>
      <c r="J946" s="2" t="inlineStr">
        <is>
          <t>Paid</t>
        </is>
      </c>
      <c r="K946" s="2" t="inlineStr">
        <is>
          <t>No</t>
        </is>
      </c>
      <c r="L946" s="9" t="n">
        <v>0</v>
      </c>
      <c r="M946" s="2" t="inlineStr">
        <is>
          <t>Pending</t>
        </is>
      </c>
      <c r="N946" s="2" t="inlineStr">
        <is>
          <t>Approved</t>
        </is>
      </c>
      <c r="O946" s="2" t="n"/>
      <c r="P946" s="2" t="n"/>
      <c r="Q946" s="2" t="n"/>
      <c r="R946" s="2" t="n"/>
    </row>
    <row r="947">
      <c r="A947" s="2" t="inlineStr">
        <is>
          <t>INV00944</t>
        </is>
      </c>
      <c r="B947" s="7" t="n">
        <v>46156</v>
      </c>
      <c r="C947" s="2" t="inlineStr">
        <is>
          <t>Oracle</t>
        </is>
      </c>
      <c r="D947" s="2" t="inlineStr">
        <is>
          <t>Sales</t>
        </is>
      </c>
      <c r="E947" s="2" t="inlineStr">
        <is>
          <t>Consulting</t>
        </is>
      </c>
      <c r="F947" s="8" t="n">
        <v>384000</v>
      </c>
      <c r="G947" s="2" t="n">
        <v>15</v>
      </c>
      <c r="H947" s="7" t="n">
        <v>46171</v>
      </c>
      <c r="I947" s="7" t="n">
        <v>46171</v>
      </c>
      <c r="J947" s="2" t="inlineStr">
        <is>
          <t>Paid</t>
        </is>
      </c>
      <c r="K947" s="2" t="inlineStr">
        <is>
          <t>Yes</t>
        </is>
      </c>
      <c r="L947" s="9" t="n">
        <v>0.02</v>
      </c>
      <c r="M947" s="2" t="inlineStr">
        <is>
          <t>Received</t>
        </is>
      </c>
      <c r="N947" s="2" t="inlineStr">
        <is>
          <t>Approved</t>
        </is>
      </c>
      <c r="O947" s="2" t="n"/>
      <c r="P947" s="2" t="n"/>
      <c r="Q947" s="2" t="n"/>
      <c r="R947" s="2" t="n"/>
    </row>
    <row r="948">
      <c r="A948" s="2" t="inlineStr">
        <is>
          <t>INV00945</t>
        </is>
      </c>
      <c r="B948" s="7" t="n">
        <v>46358</v>
      </c>
      <c r="C948" s="2" t="inlineStr">
        <is>
          <t>Google Cloud</t>
        </is>
      </c>
      <c r="D948" s="2" t="inlineStr">
        <is>
          <t>Sales</t>
        </is>
      </c>
      <c r="E948" s="2" t="inlineStr">
        <is>
          <t>Professional Services</t>
        </is>
      </c>
      <c r="F948" s="8" t="n">
        <v>47900</v>
      </c>
      <c r="G948" s="2" t="n">
        <v>30</v>
      </c>
      <c r="H948" s="7" t="n">
        <v>46388</v>
      </c>
      <c r="I948" s="2" t="n"/>
      <c r="J948" s="2" t="inlineStr">
        <is>
          <t>Pending</t>
        </is>
      </c>
      <c r="K948" s="2" t="inlineStr">
        <is>
          <t>No</t>
        </is>
      </c>
      <c r="L948" s="9" t="n">
        <v>0</v>
      </c>
      <c r="M948" s="2" t="inlineStr">
        <is>
          <t>Received</t>
        </is>
      </c>
      <c r="N948" s="2" t="inlineStr">
        <is>
          <t>Approved</t>
        </is>
      </c>
      <c r="O948" s="2" t="n"/>
      <c r="P948" s="2" t="n"/>
      <c r="Q948" s="2" t="n"/>
      <c r="R948" s="2" t="n"/>
    </row>
    <row r="949">
      <c r="A949" s="2" t="inlineStr">
        <is>
          <t>INV00946</t>
        </is>
      </c>
      <c r="B949" s="7" t="n">
        <v>46257</v>
      </c>
      <c r="C949" s="2" t="inlineStr">
        <is>
          <t>Accenture</t>
        </is>
      </c>
      <c r="D949" s="2" t="inlineStr">
        <is>
          <t>Finance</t>
        </is>
      </c>
      <c r="E949" s="2" t="inlineStr">
        <is>
          <t>Facilities</t>
        </is>
      </c>
      <c r="F949" s="8" t="n">
        <v>15000</v>
      </c>
      <c r="G949" s="2" t="n">
        <v>60</v>
      </c>
      <c r="H949" s="7" t="n">
        <v>46317</v>
      </c>
      <c r="I949" s="7" t="n">
        <v>46407</v>
      </c>
      <c r="J949" s="2" t="inlineStr">
        <is>
          <t>Paid</t>
        </is>
      </c>
      <c r="K949" s="2" t="inlineStr">
        <is>
          <t>No</t>
        </is>
      </c>
      <c r="L949" s="9" t="n">
        <v>0</v>
      </c>
      <c r="M949" s="2" t="inlineStr">
        <is>
          <t>Pending</t>
        </is>
      </c>
      <c r="N949" s="2" t="inlineStr">
        <is>
          <t>Approved</t>
        </is>
      </c>
      <c r="O949" s="2" t="n"/>
      <c r="P949" s="2" t="n"/>
      <c r="Q949" s="2" t="n"/>
      <c r="R949" s="2" t="n"/>
    </row>
    <row r="950">
      <c r="A950" s="2" t="inlineStr">
        <is>
          <t>INV00947</t>
        </is>
      </c>
      <c r="B950" s="7" t="n">
        <v>46359</v>
      </c>
      <c r="C950" s="2" t="inlineStr">
        <is>
          <t>Oracle</t>
        </is>
      </c>
      <c r="D950" s="2" t="inlineStr">
        <is>
          <t>Sales</t>
        </is>
      </c>
      <c r="E950" s="2" t="inlineStr">
        <is>
          <t>Travel</t>
        </is>
      </c>
      <c r="F950" s="8" t="n">
        <v>266800</v>
      </c>
      <c r="G950" s="2" t="n">
        <v>45</v>
      </c>
      <c r="H950" s="7" t="n">
        <v>46404</v>
      </c>
      <c r="I950" s="2" t="n"/>
      <c r="J950" s="2" t="inlineStr">
        <is>
          <t>Pending</t>
        </is>
      </c>
      <c r="K950" s="2" t="inlineStr">
        <is>
          <t>No</t>
        </is>
      </c>
      <c r="L950" s="9" t="n">
        <v>0</v>
      </c>
      <c r="M950" s="2" t="inlineStr">
        <is>
          <t>Received</t>
        </is>
      </c>
      <c r="N950" s="2" t="inlineStr">
        <is>
          <t>Pending</t>
        </is>
      </c>
      <c r="O950" s="2" t="n"/>
      <c r="P950" s="2" t="n"/>
      <c r="Q950" s="2" t="n"/>
      <c r="R950" s="2" t="n"/>
    </row>
    <row r="951">
      <c r="A951" s="2" t="inlineStr">
        <is>
          <t>INV00948</t>
        </is>
      </c>
      <c r="B951" s="7" t="n">
        <v>46079</v>
      </c>
      <c r="C951" s="2" t="inlineStr">
        <is>
          <t>TCS</t>
        </is>
      </c>
      <c r="D951" s="2" t="inlineStr">
        <is>
          <t>Marketing</t>
        </is>
      </c>
      <c r="E951" s="2" t="inlineStr">
        <is>
          <t>Consulting</t>
        </is>
      </c>
      <c r="F951" s="8" t="n">
        <v>155800</v>
      </c>
      <c r="G951" s="2" t="n">
        <v>45</v>
      </c>
      <c r="H951" s="7" t="n">
        <v>46124</v>
      </c>
      <c r="I951" s="7" t="n">
        <v>46124</v>
      </c>
      <c r="J951" s="2" t="inlineStr">
        <is>
          <t>Paid</t>
        </is>
      </c>
      <c r="K951" s="2" t="inlineStr">
        <is>
          <t>No</t>
        </is>
      </c>
      <c r="L951" s="9" t="n">
        <v>0</v>
      </c>
      <c r="M951" s="2" t="inlineStr">
        <is>
          <t>Received</t>
        </is>
      </c>
      <c r="N951" s="2" t="inlineStr">
        <is>
          <t>Pending</t>
        </is>
      </c>
      <c r="O951" s="2" t="n"/>
      <c r="P951" s="2" t="n"/>
      <c r="Q951" s="2" t="n"/>
      <c r="R951" s="2" t="n"/>
    </row>
    <row r="952">
      <c r="A952" s="2" t="inlineStr">
        <is>
          <t>INV00949</t>
        </is>
      </c>
      <c r="B952" s="7" t="n">
        <v>46166</v>
      </c>
      <c r="C952" s="2" t="inlineStr">
        <is>
          <t>Wipro</t>
        </is>
      </c>
      <c r="D952" s="2" t="inlineStr">
        <is>
          <t>Finance</t>
        </is>
      </c>
      <c r="E952" s="2" t="inlineStr">
        <is>
          <t>Consulting</t>
        </is>
      </c>
      <c r="F952" s="8" t="n">
        <v>932300</v>
      </c>
      <c r="G952" s="2" t="n">
        <v>15</v>
      </c>
      <c r="H952" s="7" t="n">
        <v>46181</v>
      </c>
      <c r="I952" s="7" t="n">
        <v>46181</v>
      </c>
      <c r="J952" s="2" t="inlineStr">
        <is>
          <t>Paid</t>
        </is>
      </c>
      <c r="K952" s="2" t="inlineStr">
        <is>
          <t>Yes</t>
        </is>
      </c>
      <c r="L952" s="9" t="n">
        <v>0.02</v>
      </c>
      <c r="M952" s="2" t="inlineStr">
        <is>
          <t>Received</t>
        </is>
      </c>
      <c r="N952" s="2" t="inlineStr">
        <is>
          <t>Approved</t>
        </is>
      </c>
      <c r="O952" s="2" t="n"/>
      <c r="P952" s="2" t="n"/>
      <c r="Q952" s="2" t="n"/>
      <c r="R952" s="2" t="n"/>
    </row>
    <row r="953">
      <c r="A953" s="2" t="inlineStr">
        <is>
          <t>INV00950</t>
        </is>
      </c>
      <c r="B953" s="7" t="n">
        <v>46157</v>
      </c>
      <c r="C953" s="2" t="inlineStr">
        <is>
          <t>Accenture</t>
        </is>
      </c>
      <c r="D953" s="2" t="inlineStr">
        <is>
          <t>Sales</t>
        </is>
      </c>
      <c r="E953" s="2" t="inlineStr">
        <is>
          <t>Consulting</t>
        </is>
      </c>
      <c r="F953" s="8" t="n">
        <v>263600</v>
      </c>
      <c r="G953" s="2" t="n">
        <v>15</v>
      </c>
      <c r="H953" s="7" t="n">
        <v>46172</v>
      </c>
      <c r="I953" s="7" t="n">
        <v>46177</v>
      </c>
      <c r="J953" s="2" t="inlineStr">
        <is>
          <t>Paid</t>
        </is>
      </c>
      <c r="K953" s="2" t="inlineStr">
        <is>
          <t>No</t>
        </is>
      </c>
      <c r="L953" s="9" t="n">
        <v>0</v>
      </c>
      <c r="M953" s="2" t="inlineStr">
        <is>
          <t>Received</t>
        </is>
      </c>
      <c r="N953" s="2" t="inlineStr">
        <is>
          <t>Approved</t>
        </is>
      </c>
      <c r="O953" s="2" t="n"/>
      <c r="P953" s="2" t="n"/>
      <c r="Q953" s="2" t="n"/>
      <c r="R953" s="2" t="n"/>
    </row>
    <row r="954">
      <c r="A954" s="2" t="inlineStr">
        <is>
          <t>INV00951</t>
        </is>
      </c>
      <c r="B954" s="7" t="n">
        <v>46224</v>
      </c>
      <c r="C954" s="2" t="inlineStr">
        <is>
          <t>Accenture</t>
        </is>
      </c>
      <c r="D954" s="2" t="inlineStr">
        <is>
          <t>HR</t>
        </is>
      </c>
      <c r="E954" s="2" t="inlineStr">
        <is>
          <t>Office Supplies</t>
        </is>
      </c>
      <c r="F954" s="8" t="n">
        <v>668200</v>
      </c>
      <c r="G954" s="2" t="n">
        <v>60</v>
      </c>
      <c r="H954" s="7" t="n">
        <v>46284</v>
      </c>
      <c r="I954" s="7" t="n">
        <v>46284</v>
      </c>
      <c r="J954" s="2" t="inlineStr">
        <is>
          <t>Paid</t>
        </is>
      </c>
      <c r="K954" s="2" t="inlineStr">
        <is>
          <t>No</t>
        </is>
      </c>
      <c r="L954" s="9" t="n">
        <v>0</v>
      </c>
      <c r="M954" s="2" t="inlineStr">
        <is>
          <t>Received</t>
        </is>
      </c>
      <c r="N954" s="2" t="inlineStr">
        <is>
          <t>Approved</t>
        </is>
      </c>
      <c r="O954" s="2" t="n"/>
      <c r="P954" s="2" t="n"/>
      <c r="Q954" s="2" t="n"/>
      <c r="R954" s="2" t="n"/>
    </row>
    <row r="955">
      <c r="A955" s="2" t="inlineStr">
        <is>
          <t>INV00952</t>
        </is>
      </c>
      <c r="B955" s="7" t="n">
        <v>46130</v>
      </c>
      <c r="C955" s="2" t="inlineStr">
        <is>
          <t>Wipro</t>
        </is>
      </c>
      <c r="D955" s="2" t="inlineStr">
        <is>
          <t>Finance</t>
        </is>
      </c>
      <c r="E955" s="2" t="inlineStr">
        <is>
          <t>Travel</t>
        </is>
      </c>
      <c r="F955" s="8" t="n">
        <v>67600</v>
      </c>
      <c r="G955" s="2" t="n">
        <v>60</v>
      </c>
      <c r="H955" s="7" t="n">
        <v>46190</v>
      </c>
      <c r="I955" s="7" t="n">
        <v>46195</v>
      </c>
      <c r="J955" s="2" t="inlineStr">
        <is>
          <t>Paid</t>
        </is>
      </c>
      <c r="K955" s="2" t="inlineStr">
        <is>
          <t>Yes</t>
        </is>
      </c>
      <c r="L955" s="9" t="n">
        <v>0.02</v>
      </c>
      <c r="M955" s="2" t="inlineStr">
        <is>
          <t>Received</t>
        </is>
      </c>
      <c r="N955" s="2" t="inlineStr">
        <is>
          <t>Pending</t>
        </is>
      </c>
      <c r="O955" s="2" t="n"/>
      <c r="P955" s="2" t="n"/>
      <c r="Q955" s="2" t="n"/>
      <c r="R955" s="2" t="n"/>
    </row>
    <row r="956">
      <c r="A956" s="2" t="inlineStr">
        <is>
          <t>INV00953</t>
        </is>
      </c>
      <c r="B956" s="7" t="n">
        <v>46183</v>
      </c>
      <c r="C956" s="2" t="inlineStr">
        <is>
          <t>Infosys</t>
        </is>
      </c>
      <c r="D956" s="2" t="inlineStr">
        <is>
          <t>HR</t>
        </is>
      </c>
      <c r="E956" s="2" t="inlineStr">
        <is>
          <t>Professional Services</t>
        </is>
      </c>
      <c r="F956" s="8" t="n">
        <v>12200</v>
      </c>
      <c r="G956" s="2" t="n">
        <v>60</v>
      </c>
      <c r="H956" s="7" t="n">
        <v>46243</v>
      </c>
      <c r="I956" s="7" t="n">
        <v>46248</v>
      </c>
      <c r="J956" s="2" t="inlineStr">
        <is>
          <t>Paid</t>
        </is>
      </c>
      <c r="K956" s="2" t="inlineStr">
        <is>
          <t>No</t>
        </is>
      </c>
      <c r="L956" s="9" t="n">
        <v>0</v>
      </c>
      <c r="M956" s="2" t="inlineStr">
        <is>
          <t>Received</t>
        </is>
      </c>
      <c r="N956" s="2" t="inlineStr">
        <is>
          <t>Approved</t>
        </is>
      </c>
      <c r="O956" s="2" t="n"/>
      <c r="P956" s="2" t="n"/>
      <c r="Q956" s="2" t="n"/>
      <c r="R956" s="2" t="n"/>
    </row>
    <row r="957">
      <c r="A957" s="2" t="inlineStr">
        <is>
          <t>INV00954</t>
        </is>
      </c>
      <c r="B957" s="7" t="n">
        <v>46160</v>
      </c>
      <c r="C957" s="2" t="inlineStr">
        <is>
          <t>Wipro</t>
        </is>
      </c>
      <c r="D957" s="2" t="inlineStr">
        <is>
          <t>Operations</t>
        </is>
      </c>
      <c r="E957" s="2" t="inlineStr">
        <is>
          <t>Cloud</t>
        </is>
      </c>
      <c r="F957" s="8" t="n">
        <v>230700</v>
      </c>
      <c r="G957" s="2" t="n">
        <v>60</v>
      </c>
      <c r="H957" s="7" t="n">
        <v>46220</v>
      </c>
      <c r="I957" s="7" t="n">
        <v>46220</v>
      </c>
      <c r="J957" s="2" t="inlineStr">
        <is>
          <t>Paid</t>
        </is>
      </c>
      <c r="K957" s="2" t="inlineStr">
        <is>
          <t>No</t>
        </is>
      </c>
      <c r="L957" s="9" t="n">
        <v>0</v>
      </c>
      <c r="M957" s="2" t="inlineStr">
        <is>
          <t>Received</t>
        </is>
      </c>
      <c r="N957" s="2" t="inlineStr">
        <is>
          <t>Approved</t>
        </is>
      </c>
      <c r="O957" s="2" t="n"/>
      <c r="P957" s="2" t="n"/>
      <c r="Q957" s="2" t="n"/>
      <c r="R957" s="2" t="n"/>
    </row>
    <row r="958">
      <c r="A958" s="2" t="inlineStr">
        <is>
          <t>INV00955</t>
        </is>
      </c>
      <c r="B958" s="7" t="n">
        <v>46106</v>
      </c>
      <c r="C958" s="2" t="inlineStr">
        <is>
          <t>Cognizant</t>
        </is>
      </c>
      <c r="D958" s="2" t="inlineStr">
        <is>
          <t>Sales</t>
        </is>
      </c>
      <c r="E958" s="2" t="inlineStr">
        <is>
          <t>Professional Services</t>
        </is>
      </c>
      <c r="F958" s="8" t="n">
        <v>413300</v>
      </c>
      <c r="G958" s="2" t="n">
        <v>60</v>
      </c>
      <c r="H958" s="7" t="n">
        <v>46166</v>
      </c>
      <c r="I958" s="7" t="n">
        <v>46166</v>
      </c>
      <c r="J958" s="2" t="inlineStr">
        <is>
          <t>Paid</t>
        </is>
      </c>
      <c r="K958" s="2" t="inlineStr">
        <is>
          <t>Yes</t>
        </is>
      </c>
      <c r="L958" s="9" t="n">
        <v>0.02</v>
      </c>
      <c r="M958" s="2" t="inlineStr">
        <is>
          <t>Pending</t>
        </is>
      </c>
      <c r="N958" s="2" t="inlineStr">
        <is>
          <t>Pending</t>
        </is>
      </c>
      <c r="O958" s="2" t="n"/>
      <c r="P958" s="2" t="n"/>
      <c r="Q958" s="2" t="n"/>
      <c r="R958" s="2" t="n"/>
    </row>
    <row r="959">
      <c r="A959" s="2" t="inlineStr">
        <is>
          <t>INV00956</t>
        </is>
      </c>
      <c r="B959" s="7" t="n">
        <v>46337</v>
      </c>
      <c r="C959" s="2" t="inlineStr">
        <is>
          <t>Google Cloud</t>
        </is>
      </c>
      <c r="D959" s="2" t="inlineStr">
        <is>
          <t>Marketing</t>
        </is>
      </c>
      <c r="E959" s="2" t="inlineStr">
        <is>
          <t>Office Supplies</t>
        </is>
      </c>
      <c r="F959" s="8" t="n">
        <v>553000</v>
      </c>
      <c r="G959" s="2" t="n">
        <v>60</v>
      </c>
      <c r="H959" s="7" t="n">
        <v>46397</v>
      </c>
      <c r="I959" s="7" t="n">
        <v>46457</v>
      </c>
      <c r="J959" s="2" t="inlineStr">
        <is>
          <t>Paid</t>
        </is>
      </c>
      <c r="K959" s="2" t="inlineStr">
        <is>
          <t>Yes</t>
        </is>
      </c>
      <c r="L959" s="9" t="n">
        <v>0.02</v>
      </c>
      <c r="M959" s="2" t="inlineStr">
        <is>
          <t>Received</t>
        </is>
      </c>
      <c r="N959" s="2" t="inlineStr">
        <is>
          <t>Approved</t>
        </is>
      </c>
      <c r="O959" s="2" t="n"/>
      <c r="P959" s="2" t="n"/>
      <c r="Q959" s="2" t="n"/>
      <c r="R959" s="2" t="n"/>
    </row>
    <row r="960">
      <c r="A960" s="2" t="inlineStr">
        <is>
          <t>INV00957</t>
        </is>
      </c>
      <c r="B960" s="7" t="n">
        <v>46040</v>
      </c>
      <c r="C960" s="2" t="inlineStr">
        <is>
          <t>HCLTech</t>
        </is>
      </c>
      <c r="D960" s="2" t="inlineStr">
        <is>
          <t>HR</t>
        </is>
      </c>
      <c r="E960" s="2" t="inlineStr">
        <is>
          <t>Facilities</t>
        </is>
      </c>
      <c r="F960" s="8" t="n">
        <v>165800</v>
      </c>
      <c r="G960" s="2" t="n">
        <v>60</v>
      </c>
      <c r="H960" s="7" t="n">
        <v>46100</v>
      </c>
      <c r="I960" s="7" t="n">
        <v>46105</v>
      </c>
      <c r="J960" s="2" t="inlineStr">
        <is>
          <t>Paid</t>
        </is>
      </c>
      <c r="K960" s="2" t="inlineStr">
        <is>
          <t>No</t>
        </is>
      </c>
      <c r="L960" s="9" t="n">
        <v>0</v>
      </c>
      <c r="M960" s="2" t="inlineStr">
        <is>
          <t>Received</t>
        </is>
      </c>
      <c r="N960" s="2" t="inlineStr">
        <is>
          <t>Approved</t>
        </is>
      </c>
      <c r="O960" s="2" t="n"/>
      <c r="P960" s="2" t="n"/>
      <c r="Q960" s="2" t="n"/>
      <c r="R960" s="2" t="n"/>
    </row>
    <row r="961">
      <c r="A961" s="2" t="inlineStr">
        <is>
          <t>INV00958</t>
        </is>
      </c>
      <c r="B961" s="7" t="n">
        <v>46303</v>
      </c>
      <c r="C961" s="2" t="inlineStr">
        <is>
          <t>Deloitte</t>
        </is>
      </c>
      <c r="D961" s="2" t="inlineStr">
        <is>
          <t>Marketing</t>
        </is>
      </c>
      <c r="E961" s="2" t="inlineStr">
        <is>
          <t>Office Supplies</t>
        </is>
      </c>
      <c r="F961" s="8" t="n">
        <v>151900</v>
      </c>
      <c r="G961" s="2" t="n">
        <v>15</v>
      </c>
      <c r="H961" s="7" t="n">
        <v>46318</v>
      </c>
      <c r="I961" s="7" t="n">
        <v>46318</v>
      </c>
      <c r="J961" s="2" t="inlineStr">
        <is>
          <t>Paid</t>
        </is>
      </c>
      <c r="K961" s="2" t="inlineStr">
        <is>
          <t>No</t>
        </is>
      </c>
      <c r="L961" s="9" t="n">
        <v>0</v>
      </c>
      <c r="M961" s="2" t="inlineStr">
        <is>
          <t>Received</t>
        </is>
      </c>
      <c r="N961" s="2" t="inlineStr">
        <is>
          <t>Approved</t>
        </is>
      </c>
      <c r="O961" s="2" t="n"/>
      <c r="P961" s="2" t="n"/>
      <c r="Q961" s="2" t="n"/>
      <c r="R961" s="2" t="n"/>
    </row>
    <row r="962">
      <c r="A962" s="2" t="inlineStr">
        <is>
          <t>INV00959</t>
        </is>
      </c>
      <c r="B962" s="7" t="n">
        <v>46174</v>
      </c>
      <c r="C962" s="2" t="inlineStr">
        <is>
          <t>Wipro</t>
        </is>
      </c>
      <c r="D962" s="2" t="inlineStr">
        <is>
          <t>Marketing</t>
        </is>
      </c>
      <c r="E962" s="2" t="inlineStr">
        <is>
          <t>Facilities</t>
        </is>
      </c>
      <c r="F962" s="8" t="n">
        <v>140300</v>
      </c>
      <c r="G962" s="2" t="n">
        <v>60</v>
      </c>
      <c r="H962" s="7" t="n">
        <v>46234</v>
      </c>
      <c r="I962" s="7" t="n">
        <v>46249</v>
      </c>
      <c r="J962" s="2" t="inlineStr">
        <is>
          <t>Paid</t>
        </is>
      </c>
      <c r="K962" s="2" t="inlineStr">
        <is>
          <t>Yes</t>
        </is>
      </c>
      <c r="L962" s="9" t="n">
        <v>0.02</v>
      </c>
      <c r="M962" s="2" t="inlineStr">
        <is>
          <t>Received</t>
        </is>
      </c>
      <c r="N962" s="2" t="inlineStr">
        <is>
          <t>Approved</t>
        </is>
      </c>
      <c r="O962" s="2" t="n"/>
      <c r="P962" s="2" t="n"/>
      <c r="Q962" s="2" t="n"/>
      <c r="R962" s="2" t="n"/>
    </row>
    <row r="963">
      <c r="A963" s="2" t="inlineStr">
        <is>
          <t>INV00960</t>
        </is>
      </c>
      <c r="B963" s="7" t="n">
        <v>46123</v>
      </c>
      <c r="C963" s="2" t="inlineStr">
        <is>
          <t>Deloitte</t>
        </is>
      </c>
      <c r="D963" s="2" t="inlineStr">
        <is>
          <t>HR</t>
        </is>
      </c>
      <c r="E963" s="2" t="inlineStr">
        <is>
          <t>Software</t>
        </is>
      </c>
      <c r="F963" s="8" t="n">
        <v>55700</v>
      </c>
      <c r="G963" s="2" t="n">
        <v>15</v>
      </c>
      <c r="H963" s="7" t="n">
        <v>46138</v>
      </c>
      <c r="I963" s="7" t="n">
        <v>46138</v>
      </c>
      <c r="J963" s="2" t="inlineStr">
        <is>
          <t>Paid</t>
        </is>
      </c>
      <c r="K963" s="2" t="inlineStr">
        <is>
          <t>Yes</t>
        </is>
      </c>
      <c r="L963" s="9" t="n">
        <v>0.02</v>
      </c>
      <c r="M963" s="2" t="inlineStr">
        <is>
          <t>Received</t>
        </is>
      </c>
      <c r="N963" s="2" t="inlineStr">
        <is>
          <t>Approved</t>
        </is>
      </c>
      <c r="O963" s="2" t="n"/>
      <c r="P963" s="2" t="n"/>
      <c r="Q963" s="2" t="n"/>
      <c r="R963" s="2" t="n"/>
    </row>
    <row r="964">
      <c r="A964" s="2" t="inlineStr">
        <is>
          <t>INV00961</t>
        </is>
      </c>
      <c r="B964" s="7" t="n">
        <v>46330</v>
      </c>
      <c r="C964" s="2" t="inlineStr">
        <is>
          <t>Cognizant</t>
        </is>
      </c>
      <c r="D964" s="2" t="inlineStr">
        <is>
          <t>Marketing</t>
        </is>
      </c>
      <c r="E964" s="2" t="inlineStr">
        <is>
          <t>Facilities</t>
        </is>
      </c>
      <c r="F964" s="8" t="n">
        <v>218700</v>
      </c>
      <c r="G964" s="2" t="n">
        <v>45</v>
      </c>
      <c r="H964" s="7" t="n">
        <v>46375</v>
      </c>
      <c r="I964" s="7" t="n">
        <v>46465</v>
      </c>
      <c r="J964" s="2" t="inlineStr">
        <is>
          <t>Paid</t>
        </is>
      </c>
      <c r="K964" s="2" t="inlineStr">
        <is>
          <t>Yes</t>
        </is>
      </c>
      <c r="L964" s="9" t="n">
        <v>0.02</v>
      </c>
      <c r="M964" s="2" t="inlineStr">
        <is>
          <t>Received</t>
        </is>
      </c>
      <c r="N964" s="2" t="inlineStr">
        <is>
          <t>Approved</t>
        </is>
      </c>
      <c r="O964" s="2" t="n"/>
      <c r="P964" s="2" t="n"/>
      <c r="Q964" s="2" t="n"/>
      <c r="R964" s="2" t="n"/>
    </row>
    <row r="965">
      <c r="A965" s="2" t="inlineStr">
        <is>
          <t>INV00962</t>
        </is>
      </c>
      <c r="B965" s="7" t="n">
        <v>46281</v>
      </c>
      <c r="C965" s="2" t="inlineStr">
        <is>
          <t>HCLTech</t>
        </is>
      </c>
      <c r="D965" s="2" t="inlineStr">
        <is>
          <t>Operations</t>
        </is>
      </c>
      <c r="E965" s="2" t="inlineStr">
        <is>
          <t>Software</t>
        </is>
      </c>
      <c r="F965" s="8" t="n">
        <v>239600</v>
      </c>
      <c r="G965" s="2" t="n">
        <v>60</v>
      </c>
      <c r="H965" s="7" t="n">
        <v>46341</v>
      </c>
      <c r="I965" s="7" t="n">
        <v>46346</v>
      </c>
      <c r="J965" s="2" t="inlineStr">
        <is>
          <t>Paid</t>
        </is>
      </c>
      <c r="K965" s="2" t="inlineStr">
        <is>
          <t>No</t>
        </is>
      </c>
      <c r="L965" s="9" t="n">
        <v>0</v>
      </c>
      <c r="M965" s="2" t="inlineStr">
        <is>
          <t>Received</t>
        </is>
      </c>
      <c r="N965" s="2" t="inlineStr">
        <is>
          <t>Approved</t>
        </is>
      </c>
      <c r="O965" s="2" t="n"/>
      <c r="P965" s="2" t="n"/>
      <c r="Q965" s="2" t="n"/>
      <c r="R965" s="2" t="n"/>
    </row>
    <row r="966">
      <c r="A966" s="2" t="inlineStr">
        <is>
          <t>INV00963</t>
        </is>
      </c>
      <c r="B966" s="7" t="n">
        <v>46358</v>
      </c>
      <c r="C966" s="2" t="inlineStr">
        <is>
          <t>Infosys</t>
        </is>
      </c>
      <c r="D966" s="2" t="inlineStr">
        <is>
          <t>Operations</t>
        </is>
      </c>
      <c r="E966" s="2" t="inlineStr">
        <is>
          <t>Facilities</t>
        </is>
      </c>
      <c r="F966" s="8" t="n">
        <v>787500</v>
      </c>
      <c r="G966" s="2" t="n">
        <v>15</v>
      </c>
      <c r="H966" s="7" t="n">
        <v>46373</v>
      </c>
      <c r="I966" s="7" t="n">
        <v>46373</v>
      </c>
      <c r="J966" s="2" t="inlineStr">
        <is>
          <t>Paid</t>
        </is>
      </c>
      <c r="K966" s="2" t="inlineStr">
        <is>
          <t>Yes</t>
        </is>
      </c>
      <c r="L966" s="9" t="n">
        <v>0.02</v>
      </c>
      <c r="M966" s="2" t="inlineStr">
        <is>
          <t>Received</t>
        </is>
      </c>
      <c r="N966" s="2" t="inlineStr">
        <is>
          <t>Approved</t>
        </is>
      </c>
      <c r="O966" s="2" t="n"/>
      <c r="P966" s="2" t="n"/>
      <c r="Q966" s="2" t="n"/>
      <c r="R966" s="2" t="n"/>
    </row>
    <row r="967">
      <c r="A967" s="2" t="inlineStr">
        <is>
          <t>INV00964</t>
        </is>
      </c>
      <c r="B967" s="7" t="n">
        <v>46077</v>
      </c>
      <c r="C967" s="2" t="inlineStr">
        <is>
          <t>Deloitte</t>
        </is>
      </c>
      <c r="D967" s="2" t="inlineStr">
        <is>
          <t>HR</t>
        </is>
      </c>
      <c r="E967" s="2" t="inlineStr">
        <is>
          <t>Professional Services</t>
        </is>
      </c>
      <c r="F967" s="8" t="n">
        <v>432300</v>
      </c>
      <c r="G967" s="2" t="n">
        <v>45</v>
      </c>
      <c r="H967" s="7" t="n">
        <v>46122</v>
      </c>
      <c r="I967" s="7" t="n">
        <v>46122</v>
      </c>
      <c r="J967" s="2" t="inlineStr">
        <is>
          <t>Paid</t>
        </is>
      </c>
      <c r="K967" s="2" t="inlineStr">
        <is>
          <t>No</t>
        </is>
      </c>
      <c r="L967" s="9" t="n">
        <v>0</v>
      </c>
      <c r="M967" s="2" t="inlineStr">
        <is>
          <t>Received</t>
        </is>
      </c>
      <c r="N967" s="2" t="inlineStr">
        <is>
          <t>Approved</t>
        </is>
      </c>
      <c r="O967" s="2" t="n"/>
      <c r="P967" s="2" t="n"/>
      <c r="Q967" s="2" t="n"/>
      <c r="R967" s="2" t="n"/>
    </row>
    <row r="968">
      <c r="A968" s="2" t="inlineStr">
        <is>
          <t>INV00965</t>
        </is>
      </c>
      <c r="B968" s="7" t="n">
        <v>46259</v>
      </c>
      <c r="C968" s="2" t="inlineStr">
        <is>
          <t>TCS</t>
        </is>
      </c>
      <c r="D968" s="2" t="inlineStr">
        <is>
          <t>HR</t>
        </is>
      </c>
      <c r="E968" s="2" t="inlineStr">
        <is>
          <t>Consulting</t>
        </is>
      </c>
      <c r="F968" s="8" t="n">
        <v>498000</v>
      </c>
      <c r="G968" s="2" t="n">
        <v>45</v>
      </c>
      <c r="H968" s="7" t="n">
        <v>46304</v>
      </c>
      <c r="I968" s="7" t="n">
        <v>46309</v>
      </c>
      <c r="J968" s="2" t="inlineStr">
        <is>
          <t>Paid</t>
        </is>
      </c>
      <c r="K968" s="2" t="inlineStr">
        <is>
          <t>No</t>
        </is>
      </c>
      <c r="L968" s="9" t="n">
        <v>0</v>
      </c>
      <c r="M968" s="2" t="inlineStr">
        <is>
          <t>Received</t>
        </is>
      </c>
      <c r="N968" s="2" t="inlineStr">
        <is>
          <t>Approved</t>
        </is>
      </c>
      <c r="O968" s="2" t="n"/>
      <c r="P968" s="2" t="n"/>
      <c r="Q968" s="2" t="n"/>
      <c r="R968" s="2" t="n"/>
    </row>
    <row r="969">
      <c r="A969" s="2" t="inlineStr">
        <is>
          <t>INV00966</t>
        </is>
      </c>
      <c r="B969" s="7" t="n">
        <v>46143</v>
      </c>
      <c r="C969" s="2" t="inlineStr">
        <is>
          <t>TCS</t>
        </is>
      </c>
      <c r="D969" s="2" t="inlineStr">
        <is>
          <t>HR</t>
        </is>
      </c>
      <c r="E969" s="2" t="inlineStr">
        <is>
          <t>Office Supplies</t>
        </is>
      </c>
      <c r="F969" s="8" t="n">
        <v>179900</v>
      </c>
      <c r="G969" s="2" t="n">
        <v>45</v>
      </c>
      <c r="H969" s="7" t="n">
        <v>46188</v>
      </c>
      <c r="I969" s="7" t="n">
        <v>46188</v>
      </c>
      <c r="J969" s="2" t="inlineStr">
        <is>
          <t>Paid</t>
        </is>
      </c>
      <c r="K969" s="2" t="inlineStr">
        <is>
          <t>No</t>
        </is>
      </c>
      <c r="L969" s="9" t="n">
        <v>0</v>
      </c>
      <c r="M969" s="2" t="inlineStr">
        <is>
          <t>Received</t>
        </is>
      </c>
      <c r="N969" s="2" t="inlineStr">
        <is>
          <t>Approved</t>
        </is>
      </c>
      <c r="O969" s="2" t="n"/>
      <c r="P969" s="2" t="n"/>
      <c r="Q969" s="2" t="n"/>
      <c r="R969" s="2" t="n"/>
    </row>
    <row r="970">
      <c r="A970" s="2" t="inlineStr">
        <is>
          <t>INV00967</t>
        </is>
      </c>
      <c r="B970" s="7" t="n">
        <v>46361</v>
      </c>
      <c r="C970" s="2" t="inlineStr">
        <is>
          <t>Deloitte</t>
        </is>
      </c>
      <c r="D970" s="2" t="inlineStr">
        <is>
          <t>Marketing</t>
        </is>
      </c>
      <c r="E970" s="2" t="inlineStr">
        <is>
          <t>Consulting</t>
        </is>
      </c>
      <c r="F970" s="8" t="n">
        <v>68000</v>
      </c>
      <c r="G970" s="2" t="n">
        <v>60</v>
      </c>
      <c r="H970" s="7" t="n">
        <v>46421</v>
      </c>
      <c r="I970" s="7" t="n">
        <v>46421</v>
      </c>
      <c r="J970" s="2" t="inlineStr">
        <is>
          <t>Paid</t>
        </is>
      </c>
      <c r="K970" s="2" t="inlineStr">
        <is>
          <t>Yes</t>
        </is>
      </c>
      <c r="L970" s="9" t="n">
        <v>0.02</v>
      </c>
      <c r="M970" s="2" t="inlineStr">
        <is>
          <t>Received</t>
        </is>
      </c>
      <c r="N970" s="2" t="inlineStr">
        <is>
          <t>Approved</t>
        </is>
      </c>
      <c r="O970" s="2" t="n"/>
      <c r="P970" s="2" t="n"/>
      <c r="Q970" s="2" t="n"/>
      <c r="R970" s="2" t="n"/>
    </row>
    <row r="971">
      <c r="A971" s="2" t="inlineStr">
        <is>
          <t>INV00968</t>
        </is>
      </c>
      <c r="B971" s="7" t="n">
        <v>46278</v>
      </c>
      <c r="C971" s="2" t="inlineStr">
        <is>
          <t>IBM</t>
        </is>
      </c>
      <c r="D971" s="2" t="inlineStr">
        <is>
          <t>Marketing</t>
        </is>
      </c>
      <c r="E971" s="2" t="inlineStr">
        <is>
          <t>Cloud</t>
        </is>
      </c>
      <c r="F971" s="8" t="n">
        <v>690400</v>
      </c>
      <c r="G971" s="2" t="n">
        <v>45</v>
      </c>
      <c r="H971" s="7" t="n">
        <v>46323</v>
      </c>
      <c r="I971" s="7" t="n">
        <v>46323</v>
      </c>
      <c r="J971" s="2" t="inlineStr">
        <is>
          <t>Paid</t>
        </is>
      </c>
      <c r="K971" s="2" t="inlineStr">
        <is>
          <t>No</t>
        </is>
      </c>
      <c r="L971" s="9" t="n">
        <v>0</v>
      </c>
      <c r="M971" s="2" t="inlineStr">
        <is>
          <t>Received</t>
        </is>
      </c>
      <c r="N971" s="2" t="inlineStr">
        <is>
          <t>Approved</t>
        </is>
      </c>
      <c r="O971" s="2" t="n"/>
      <c r="P971" s="2" t="n"/>
      <c r="Q971" s="2" t="n"/>
      <c r="R971" s="2" t="n"/>
    </row>
    <row r="972">
      <c r="A972" s="2" t="inlineStr">
        <is>
          <t>INV00969</t>
        </is>
      </c>
      <c r="B972" s="7" t="n">
        <v>46240</v>
      </c>
      <c r="C972" s="2" t="inlineStr">
        <is>
          <t>IBM</t>
        </is>
      </c>
      <c r="D972" s="2" t="inlineStr">
        <is>
          <t>Operations</t>
        </is>
      </c>
      <c r="E972" s="2" t="inlineStr">
        <is>
          <t>Software</t>
        </is>
      </c>
      <c r="F972" s="8" t="n">
        <v>88900</v>
      </c>
      <c r="G972" s="2" t="n">
        <v>15</v>
      </c>
      <c r="H972" s="7" t="n">
        <v>46255</v>
      </c>
      <c r="I972" s="7" t="n">
        <v>46260</v>
      </c>
      <c r="J972" s="2" t="inlineStr">
        <is>
          <t>Paid</t>
        </is>
      </c>
      <c r="K972" s="2" t="inlineStr">
        <is>
          <t>No</t>
        </is>
      </c>
      <c r="L972" s="9" t="n">
        <v>0</v>
      </c>
      <c r="M972" s="2" t="inlineStr">
        <is>
          <t>Received</t>
        </is>
      </c>
      <c r="N972" s="2" t="inlineStr">
        <is>
          <t>Approved</t>
        </is>
      </c>
      <c r="O972" s="2" t="n"/>
      <c r="P972" s="2" t="n"/>
      <c r="Q972" s="2" t="n"/>
      <c r="R972" s="2" t="n"/>
    </row>
    <row r="973">
      <c r="A973" s="2" t="inlineStr">
        <is>
          <t>INV00970</t>
        </is>
      </c>
      <c r="B973" s="7" t="n">
        <v>46249</v>
      </c>
      <c r="C973" s="2" t="inlineStr">
        <is>
          <t>Accenture</t>
        </is>
      </c>
      <c r="D973" s="2" t="inlineStr">
        <is>
          <t>Sales</t>
        </is>
      </c>
      <c r="E973" s="2" t="inlineStr">
        <is>
          <t>Software</t>
        </is>
      </c>
      <c r="F973" s="8" t="n">
        <v>186600</v>
      </c>
      <c r="G973" s="2" t="n">
        <v>30</v>
      </c>
      <c r="H973" s="7" t="n">
        <v>46279</v>
      </c>
      <c r="I973" s="7" t="n">
        <v>46279</v>
      </c>
      <c r="J973" s="2" t="inlineStr">
        <is>
          <t>Paid</t>
        </is>
      </c>
      <c r="K973" s="2" t="inlineStr">
        <is>
          <t>Yes</t>
        </is>
      </c>
      <c r="L973" s="9" t="n">
        <v>0.02</v>
      </c>
      <c r="M973" s="2" t="inlineStr">
        <is>
          <t>Received</t>
        </is>
      </c>
      <c r="N973" s="2" t="inlineStr">
        <is>
          <t>Approved</t>
        </is>
      </c>
      <c r="O973" s="2" t="n"/>
      <c r="P973" s="2" t="n"/>
      <c r="Q973" s="2" t="n"/>
      <c r="R973" s="2" t="n"/>
    </row>
    <row r="974">
      <c r="A974" s="2" t="inlineStr">
        <is>
          <t>INV00971</t>
        </is>
      </c>
      <c r="B974" s="7" t="n">
        <v>46293</v>
      </c>
      <c r="C974" s="2" t="inlineStr">
        <is>
          <t>Wipro</t>
        </is>
      </c>
      <c r="D974" s="2" t="inlineStr">
        <is>
          <t>Marketing</t>
        </is>
      </c>
      <c r="E974" s="2" t="inlineStr">
        <is>
          <t>Facilities</t>
        </is>
      </c>
      <c r="F974" s="8" t="n">
        <v>242800</v>
      </c>
      <c r="G974" s="2" t="n">
        <v>15</v>
      </c>
      <c r="H974" s="7" t="n">
        <v>46308</v>
      </c>
      <c r="I974" s="7" t="n">
        <v>46323</v>
      </c>
      <c r="J974" s="2" t="inlineStr">
        <is>
          <t>Paid</t>
        </is>
      </c>
      <c r="K974" s="2" t="inlineStr">
        <is>
          <t>Yes</t>
        </is>
      </c>
      <c r="L974" s="9" t="n">
        <v>0.02</v>
      </c>
      <c r="M974" s="2" t="inlineStr">
        <is>
          <t>Pending</t>
        </is>
      </c>
      <c r="N974" s="2" t="inlineStr">
        <is>
          <t>Approved</t>
        </is>
      </c>
      <c r="O974" s="2" t="n"/>
      <c r="P974" s="2" t="n"/>
      <c r="Q974" s="2" t="n"/>
      <c r="R974" s="2" t="n"/>
    </row>
    <row r="975">
      <c r="A975" s="2" t="inlineStr">
        <is>
          <t>INV00972</t>
        </is>
      </c>
      <c r="B975" s="7" t="n">
        <v>46135</v>
      </c>
      <c r="C975" s="2" t="inlineStr">
        <is>
          <t>Wipro</t>
        </is>
      </c>
      <c r="D975" s="2" t="inlineStr">
        <is>
          <t>Operations</t>
        </is>
      </c>
      <c r="E975" s="2" t="inlineStr">
        <is>
          <t>Cloud</t>
        </is>
      </c>
      <c r="F975" s="8" t="n">
        <v>449300</v>
      </c>
      <c r="G975" s="2" t="n">
        <v>15</v>
      </c>
      <c r="H975" s="7" t="n">
        <v>46150</v>
      </c>
      <c r="I975" s="7" t="n">
        <v>46150</v>
      </c>
      <c r="J975" s="2" t="inlineStr">
        <is>
          <t>Paid</t>
        </is>
      </c>
      <c r="K975" s="2" t="inlineStr">
        <is>
          <t>No</t>
        </is>
      </c>
      <c r="L975" s="9" t="n">
        <v>0</v>
      </c>
      <c r="M975" s="2" t="inlineStr">
        <is>
          <t>Received</t>
        </is>
      </c>
      <c r="N975" s="2" t="inlineStr">
        <is>
          <t>Pending</t>
        </is>
      </c>
      <c r="O975" s="2" t="n"/>
      <c r="P975" s="2" t="n"/>
      <c r="Q975" s="2" t="n"/>
      <c r="R975" s="2" t="n"/>
    </row>
    <row r="976">
      <c r="A976" s="2" t="inlineStr">
        <is>
          <t>INV00973</t>
        </is>
      </c>
      <c r="B976" s="7" t="n">
        <v>46275</v>
      </c>
      <c r="C976" s="2" t="inlineStr">
        <is>
          <t>Microsoft</t>
        </is>
      </c>
      <c r="D976" s="2" t="inlineStr">
        <is>
          <t>Finance</t>
        </is>
      </c>
      <c r="E976" s="2" t="inlineStr">
        <is>
          <t>Cloud</t>
        </is>
      </c>
      <c r="F976" s="8" t="n">
        <v>686000</v>
      </c>
      <c r="G976" s="2" t="n">
        <v>30</v>
      </c>
      <c r="H976" s="7" t="n">
        <v>46305</v>
      </c>
      <c r="I976" s="7" t="n">
        <v>46365</v>
      </c>
      <c r="J976" s="2" t="inlineStr">
        <is>
          <t>Paid</t>
        </is>
      </c>
      <c r="K976" s="2" t="inlineStr">
        <is>
          <t>Yes</t>
        </is>
      </c>
      <c r="L976" s="9" t="n">
        <v>0.02</v>
      </c>
      <c r="M976" s="2" t="inlineStr">
        <is>
          <t>Received</t>
        </is>
      </c>
      <c r="N976" s="2" t="inlineStr">
        <is>
          <t>Approved</t>
        </is>
      </c>
      <c r="O976" s="2" t="n"/>
      <c r="P976" s="2" t="n"/>
      <c r="Q976" s="2" t="n"/>
      <c r="R976" s="2" t="n"/>
    </row>
    <row r="977">
      <c r="A977" s="2" t="inlineStr">
        <is>
          <t>INV00974</t>
        </is>
      </c>
      <c r="B977" s="7" t="n">
        <v>46238</v>
      </c>
      <c r="C977" s="2" t="inlineStr">
        <is>
          <t>IBM</t>
        </is>
      </c>
      <c r="D977" s="2" t="inlineStr">
        <is>
          <t>IT</t>
        </is>
      </c>
      <c r="E977" s="2" t="inlineStr">
        <is>
          <t>Professional Services</t>
        </is>
      </c>
      <c r="F977" s="8" t="n">
        <v>692000</v>
      </c>
      <c r="G977" s="2" t="n">
        <v>30</v>
      </c>
      <c r="H977" s="7" t="n">
        <v>46268</v>
      </c>
      <c r="I977" s="7" t="n">
        <v>46268</v>
      </c>
      <c r="J977" s="2" t="inlineStr">
        <is>
          <t>Paid</t>
        </is>
      </c>
      <c r="K977" s="2" t="inlineStr">
        <is>
          <t>No</t>
        </is>
      </c>
      <c r="L977" s="9" t="n">
        <v>0</v>
      </c>
      <c r="M977" s="2" t="inlineStr">
        <is>
          <t>Pending</t>
        </is>
      </c>
      <c r="N977" s="2" t="inlineStr">
        <is>
          <t>Approved</t>
        </is>
      </c>
      <c r="O977" s="2" t="n"/>
      <c r="P977" s="2" t="n"/>
      <c r="Q977" s="2" t="n"/>
      <c r="R977" s="2" t="n"/>
    </row>
    <row r="978">
      <c r="A978" s="2" t="inlineStr">
        <is>
          <t>INV00975</t>
        </is>
      </c>
      <c r="B978" s="7" t="n">
        <v>46259</v>
      </c>
      <c r="C978" s="2" t="inlineStr">
        <is>
          <t>SAP</t>
        </is>
      </c>
      <c r="D978" s="2" t="inlineStr">
        <is>
          <t>Finance</t>
        </is>
      </c>
      <c r="E978" s="2" t="inlineStr">
        <is>
          <t>Office Supplies</t>
        </is>
      </c>
      <c r="F978" s="8" t="n">
        <v>438800</v>
      </c>
      <c r="G978" s="2" t="n">
        <v>60</v>
      </c>
      <c r="H978" s="7" t="n">
        <v>46319</v>
      </c>
      <c r="I978" s="7" t="n">
        <v>46319</v>
      </c>
      <c r="J978" s="2" t="inlineStr">
        <is>
          <t>Paid</t>
        </is>
      </c>
      <c r="K978" s="2" t="inlineStr">
        <is>
          <t>Yes</t>
        </is>
      </c>
      <c r="L978" s="9" t="n">
        <v>0.02</v>
      </c>
      <c r="M978" s="2" t="inlineStr">
        <is>
          <t>Received</t>
        </is>
      </c>
      <c r="N978" s="2" t="inlineStr">
        <is>
          <t>Approved</t>
        </is>
      </c>
      <c r="O978" s="2" t="n"/>
      <c r="P978" s="2" t="n"/>
      <c r="Q978" s="2" t="n"/>
      <c r="R978" s="2" t="n"/>
    </row>
    <row r="979">
      <c r="A979" s="2" t="inlineStr">
        <is>
          <t>INV00976</t>
        </is>
      </c>
      <c r="B979" s="7" t="n">
        <v>46336</v>
      </c>
      <c r="C979" s="2" t="inlineStr">
        <is>
          <t>Infosys</t>
        </is>
      </c>
      <c r="D979" s="2" t="inlineStr">
        <is>
          <t>Marketing</t>
        </is>
      </c>
      <c r="E979" s="2" t="inlineStr">
        <is>
          <t>Cloud</t>
        </is>
      </c>
      <c r="F979" s="8" t="n">
        <v>670900</v>
      </c>
      <c r="G979" s="2" t="n">
        <v>45</v>
      </c>
      <c r="H979" s="7" t="n">
        <v>46381</v>
      </c>
      <c r="I979" s="7" t="n">
        <v>46381</v>
      </c>
      <c r="J979" s="2" t="inlineStr">
        <is>
          <t>Paid</t>
        </is>
      </c>
      <c r="K979" s="2" t="inlineStr">
        <is>
          <t>No</t>
        </is>
      </c>
      <c r="L979" s="9" t="n">
        <v>0</v>
      </c>
      <c r="M979" s="2" t="inlineStr">
        <is>
          <t>Received</t>
        </is>
      </c>
      <c r="N979" s="2" t="inlineStr">
        <is>
          <t>Approved</t>
        </is>
      </c>
      <c r="O979" s="2" t="n"/>
      <c r="P979" s="2" t="n"/>
      <c r="Q979" s="2" t="n"/>
      <c r="R979" s="2" t="n"/>
    </row>
    <row r="980">
      <c r="A980" s="2" t="inlineStr">
        <is>
          <t>INV00977</t>
        </is>
      </c>
      <c r="B980" s="7" t="n">
        <v>46281</v>
      </c>
      <c r="C980" s="2" t="inlineStr">
        <is>
          <t>IBM</t>
        </is>
      </c>
      <c r="D980" s="2" t="inlineStr">
        <is>
          <t>Finance</t>
        </is>
      </c>
      <c r="E980" s="2" t="inlineStr">
        <is>
          <t>Cloud</t>
        </is>
      </c>
      <c r="F980" s="8" t="n">
        <v>191300</v>
      </c>
      <c r="G980" s="2" t="n">
        <v>15</v>
      </c>
      <c r="H980" s="7" t="n">
        <v>46296</v>
      </c>
      <c r="I980" s="2" t="n"/>
      <c r="J980" s="2" t="inlineStr">
        <is>
          <t>Pending</t>
        </is>
      </c>
      <c r="K980" s="2" t="inlineStr">
        <is>
          <t>No</t>
        </is>
      </c>
      <c r="L980" s="9" t="n">
        <v>0</v>
      </c>
      <c r="M980" s="2" t="inlineStr">
        <is>
          <t>Received</t>
        </is>
      </c>
      <c r="N980" s="2" t="inlineStr">
        <is>
          <t>Approved</t>
        </is>
      </c>
      <c r="O980" s="2" t="n"/>
      <c r="P980" s="2" t="n"/>
      <c r="Q980" s="2" t="n"/>
      <c r="R980" s="2" t="n"/>
    </row>
    <row r="981">
      <c r="A981" s="2" t="inlineStr">
        <is>
          <t>INV00978</t>
        </is>
      </c>
      <c r="B981" s="7" t="n">
        <v>46088</v>
      </c>
      <c r="C981" s="2" t="inlineStr">
        <is>
          <t>Cognizant</t>
        </is>
      </c>
      <c r="D981" s="2" t="inlineStr">
        <is>
          <t>IT</t>
        </is>
      </c>
      <c r="E981" s="2" t="inlineStr">
        <is>
          <t>Facilities</t>
        </is>
      </c>
      <c r="F981" s="8" t="n">
        <v>626300</v>
      </c>
      <c r="G981" s="2" t="n">
        <v>30</v>
      </c>
      <c r="H981" s="7" t="n">
        <v>46118</v>
      </c>
      <c r="I981" s="2" t="n"/>
      <c r="J981" s="2" t="inlineStr">
        <is>
          <t>Pending</t>
        </is>
      </c>
      <c r="K981" s="2" t="inlineStr">
        <is>
          <t>No</t>
        </is>
      </c>
      <c r="L981" s="9" t="n">
        <v>0</v>
      </c>
      <c r="M981" s="2" t="inlineStr">
        <is>
          <t>Received</t>
        </is>
      </c>
      <c r="N981" s="2" t="inlineStr">
        <is>
          <t>Pending</t>
        </is>
      </c>
      <c r="O981" s="2" t="n"/>
      <c r="P981" s="2" t="n"/>
      <c r="Q981" s="2" t="n"/>
      <c r="R981" s="2" t="n"/>
    </row>
    <row r="982">
      <c r="A982" s="2" t="inlineStr">
        <is>
          <t>INV00979</t>
        </is>
      </c>
      <c r="B982" s="7" t="n">
        <v>46131</v>
      </c>
      <c r="C982" s="2" t="inlineStr">
        <is>
          <t>SAP</t>
        </is>
      </c>
      <c r="D982" s="2" t="inlineStr">
        <is>
          <t>Finance</t>
        </is>
      </c>
      <c r="E982" s="2" t="inlineStr">
        <is>
          <t>Consulting</t>
        </is>
      </c>
      <c r="F982" s="8" t="n">
        <v>52000</v>
      </c>
      <c r="G982" s="2" t="n">
        <v>30</v>
      </c>
      <c r="H982" s="7" t="n">
        <v>46161</v>
      </c>
      <c r="I982" s="2" t="n"/>
      <c r="J982" s="2" t="inlineStr">
        <is>
          <t>Pending</t>
        </is>
      </c>
      <c r="K982" s="2" t="inlineStr">
        <is>
          <t>No</t>
        </is>
      </c>
      <c r="L982" s="9" t="n">
        <v>0</v>
      </c>
      <c r="M982" s="2" t="inlineStr">
        <is>
          <t>Received</t>
        </is>
      </c>
      <c r="N982" s="2" t="inlineStr">
        <is>
          <t>Pending</t>
        </is>
      </c>
      <c r="O982" s="2" t="n"/>
      <c r="P982" s="2" t="n"/>
      <c r="Q982" s="2" t="n"/>
      <c r="R982" s="2" t="n"/>
    </row>
    <row r="983">
      <c r="A983" s="2" t="inlineStr">
        <is>
          <t>INV00980</t>
        </is>
      </c>
      <c r="B983" s="7" t="n">
        <v>46255</v>
      </c>
      <c r="C983" s="2" t="inlineStr">
        <is>
          <t>Accenture</t>
        </is>
      </c>
      <c r="D983" s="2" t="inlineStr">
        <is>
          <t>Operations</t>
        </is>
      </c>
      <c r="E983" s="2" t="inlineStr">
        <is>
          <t>Facilities</t>
        </is>
      </c>
      <c r="F983" s="8" t="n">
        <v>447100</v>
      </c>
      <c r="G983" s="2" t="n">
        <v>45</v>
      </c>
      <c r="H983" s="7" t="n">
        <v>46300</v>
      </c>
      <c r="I983" s="7" t="n">
        <v>46300</v>
      </c>
      <c r="J983" s="2" t="inlineStr">
        <is>
          <t>Paid</t>
        </is>
      </c>
      <c r="K983" s="2" t="inlineStr">
        <is>
          <t>No</t>
        </is>
      </c>
      <c r="L983" s="9" t="n">
        <v>0</v>
      </c>
      <c r="M983" s="2" t="inlineStr">
        <is>
          <t>Received</t>
        </is>
      </c>
      <c r="N983" s="2" t="inlineStr">
        <is>
          <t>Approved</t>
        </is>
      </c>
      <c r="O983" s="2" t="n"/>
      <c r="P983" s="2" t="n"/>
      <c r="Q983" s="2" t="n"/>
      <c r="R983" s="2" t="n"/>
    </row>
    <row r="984">
      <c r="A984" s="2" t="inlineStr">
        <is>
          <t>INV00981</t>
        </is>
      </c>
      <c r="B984" s="7" t="n">
        <v>46156</v>
      </c>
      <c r="C984" s="2" t="inlineStr">
        <is>
          <t>Accenture</t>
        </is>
      </c>
      <c r="D984" s="2" t="inlineStr">
        <is>
          <t>Operations</t>
        </is>
      </c>
      <c r="E984" s="2" t="inlineStr">
        <is>
          <t>Facilities</t>
        </is>
      </c>
      <c r="F984" s="8" t="n">
        <v>6400</v>
      </c>
      <c r="G984" s="2" t="n">
        <v>60</v>
      </c>
      <c r="H984" s="7" t="n">
        <v>46216</v>
      </c>
      <c r="I984" s="2" t="n"/>
      <c r="J984" s="2" t="inlineStr">
        <is>
          <t>Pending</t>
        </is>
      </c>
      <c r="K984" s="2" t="inlineStr">
        <is>
          <t>No</t>
        </is>
      </c>
      <c r="L984" s="9" t="n">
        <v>0</v>
      </c>
      <c r="M984" s="2" t="inlineStr">
        <is>
          <t>Received</t>
        </is>
      </c>
      <c r="N984" s="2" t="inlineStr">
        <is>
          <t>Pending</t>
        </is>
      </c>
      <c r="O984" s="2" t="n"/>
      <c r="P984" s="2" t="n"/>
      <c r="Q984" s="2" t="n"/>
      <c r="R984" s="2" t="n"/>
    </row>
    <row r="985">
      <c r="A985" s="2" t="inlineStr">
        <is>
          <t>INV00982</t>
        </is>
      </c>
      <c r="B985" s="7" t="n">
        <v>46143</v>
      </c>
      <c r="C985" s="2" t="inlineStr">
        <is>
          <t>HCLTech</t>
        </is>
      </c>
      <c r="D985" s="2" t="inlineStr">
        <is>
          <t>Sales</t>
        </is>
      </c>
      <c r="E985" s="2" t="inlineStr">
        <is>
          <t>Cloud</t>
        </is>
      </c>
      <c r="F985" s="8" t="n">
        <v>441900</v>
      </c>
      <c r="G985" s="2" t="n">
        <v>30</v>
      </c>
      <c r="H985" s="7" t="n">
        <v>46173</v>
      </c>
      <c r="I985" s="7" t="n">
        <v>46173</v>
      </c>
      <c r="J985" s="2" t="inlineStr">
        <is>
          <t>Paid</t>
        </is>
      </c>
      <c r="K985" s="2" t="inlineStr">
        <is>
          <t>No</t>
        </is>
      </c>
      <c r="L985" s="9" t="n">
        <v>0</v>
      </c>
      <c r="M985" s="2" t="inlineStr">
        <is>
          <t>Received</t>
        </is>
      </c>
      <c r="N985" s="2" t="inlineStr">
        <is>
          <t>Approved</t>
        </is>
      </c>
      <c r="O985" s="2" t="n"/>
      <c r="P985" s="2" t="n"/>
      <c r="Q985" s="2" t="n"/>
      <c r="R985" s="2" t="n"/>
    </row>
    <row r="986">
      <c r="A986" s="2" t="inlineStr">
        <is>
          <t>INV00983</t>
        </is>
      </c>
      <c r="B986" s="7" t="n">
        <v>46132</v>
      </c>
      <c r="C986" s="2" t="inlineStr">
        <is>
          <t>Google Cloud</t>
        </is>
      </c>
      <c r="D986" s="2" t="inlineStr">
        <is>
          <t>Operations</t>
        </is>
      </c>
      <c r="E986" s="2" t="inlineStr">
        <is>
          <t>Facilities</t>
        </is>
      </c>
      <c r="F986" s="8" t="n">
        <v>432400</v>
      </c>
      <c r="G986" s="2" t="n">
        <v>45</v>
      </c>
      <c r="H986" s="7" t="n">
        <v>46177</v>
      </c>
      <c r="I986" s="2" t="n"/>
      <c r="J986" s="2" t="inlineStr">
        <is>
          <t>Pending</t>
        </is>
      </c>
      <c r="K986" s="2" t="inlineStr">
        <is>
          <t>No</t>
        </is>
      </c>
      <c r="L986" s="9" t="n">
        <v>0</v>
      </c>
      <c r="M986" s="2" t="inlineStr">
        <is>
          <t>Received</t>
        </is>
      </c>
      <c r="N986" s="2" t="inlineStr">
        <is>
          <t>Pending</t>
        </is>
      </c>
      <c r="O986" s="2" t="n"/>
      <c r="P986" s="2" t="n"/>
      <c r="Q986" s="2" t="n"/>
      <c r="R986" s="2" t="n"/>
    </row>
    <row r="987">
      <c r="A987" s="2" t="inlineStr">
        <is>
          <t>INV00984</t>
        </is>
      </c>
      <c r="B987" s="7" t="n">
        <v>46047</v>
      </c>
      <c r="C987" s="2" t="inlineStr">
        <is>
          <t>SAP</t>
        </is>
      </c>
      <c r="D987" s="2" t="inlineStr">
        <is>
          <t>Operations</t>
        </is>
      </c>
      <c r="E987" s="2" t="inlineStr">
        <is>
          <t>Travel</t>
        </is>
      </c>
      <c r="F987" s="8" t="n">
        <v>990200</v>
      </c>
      <c r="G987" s="2" t="n">
        <v>60</v>
      </c>
      <c r="H987" s="7" t="n">
        <v>46107</v>
      </c>
      <c r="I987" s="7" t="n">
        <v>46107</v>
      </c>
      <c r="J987" s="2" t="inlineStr">
        <is>
          <t>Paid</t>
        </is>
      </c>
      <c r="K987" s="2" t="inlineStr">
        <is>
          <t>Yes</t>
        </is>
      </c>
      <c r="L987" s="9" t="n">
        <v>0.02</v>
      </c>
      <c r="M987" s="2" t="inlineStr">
        <is>
          <t>Received</t>
        </is>
      </c>
      <c r="N987" s="2" t="inlineStr">
        <is>
          <t>Approved</t>
        </is>
      </c>
      <c r="O987" s="2" t="n"/>
      <c r="P987" s="2" t="n"/>
      <c r="Q987" s="2" t="n"/>
      <c r="R987" s="2" t="n"/>
    </row>
    <row r="988">
      <c r="A988" s="2" t="inlineStr">
        <is>
          <t>INV00985</t>
        </is>
      </c>
      <c r="B988" s="7" t="n">
        <v>46146</v>
      </c>
      <c r="C988" s="2" t="inlineStr">
        <is>
          <t>IBM</t>
        </is>
      </c>
      <c r="D988" s="2" t="inlineStr">
        <is>
          <t>Finance</t>
        </is>
      </c>
      <c r="E988" s="2" t="inlineStr">
        <is>
          <t>Travel</t>
        </is>
      </c>
      <c r="F988" s="8" t="n">
        <v>831400</v>
      </c>
      <c r="G988" s="2" t="n">
        <v>15</v>
      </c>
      <c r="H988" s="7" t="n">
        <v>46161</v>
      </c>
      <c r="I988" s="2" t="n"/>
      <c r="J988" s="2" t="inlineStr">
        <is>
          <t>Pending</t>
        </is>
      </c>
      <c r="K988" s="2" t="inlineStr">
        <is>
          <t>No</t>
        </is>
      </c>
      <c r="L988" s="9" t="n">
        <v>0</v>
      </c>
      <c r="M988" s="2" t="inlineStr">
        <is>
          <t>Received</t>
        </is>
      </c>
      <c r="N988" s="2" t="inlineStr">
        <is>
          <t>Approved</t>
        </is>
      </c>
      <c r="O988" s="2" t="n"/>
      <c r="P988" s="2" t="n"/>
      <c r="Q988" s="2" t="n"/>
      <c r="R988" s="2" t="n"/>
    </row>
    <row r="989">
      <c r="A989" s="2" t="inlineStr">
        <is>
          <t>INV00986</t>
        </is>
      </c>
      <c r="B989" s="7" t="n">
        <v>46268</v>
      </c>
      <c r="C989" s="2" t="inlineStr">
        <is>
          <t>IBM</t>
        </is>
      </c>
      <c r="D989" s="2" t="inlineStr">
        <is>
          <t>Finance</t>
        </is>
      </c>
      <c r="E989" s="2" t="inlineStr">
        <is>
          <t>Consulting</t>
        </is>
      </c>
      <c r="F989" s="8" t="n">
        <v>141400</v>
      </c>
      <c r="G989" s="2" t="n">
        <v>45</v>
      </c>
      <c r="H989" s="7" t="n">
        <v>46313</v>
      </c>
      <c r="I989" s="7" t="n">
        <v>46328</v>
      </c>
      <c r="J989" s="2" t="inlineStr">
        <is>
          <t>Paid</t>
        </is>
      </c>
      <c r="K989" s="2" t="inlineStr">
        <is>
          <t>No</t>
        </is>
      </c>
      <c r="L989" s="9" t="n">
        <v>0</v>
      </c>
      <c r="M989" s="2" t="inlineStr">
        <is>
          <t>Received</t>
        </is>
      </c>
      <c r="N989" s="2" t="inlineStr">
        <is>
          <t>Approved</t>
        </is>
      </c>
      <c r="O989" s="2" t="n"/>
      <c r="P989" s="2" t="n"/>
      <c r="Q989" s="2" t="n"/>
      <c r="R989" s="2" t="n"/>
    </row>
    <row r="990">
      <c r="A990" s="2" t="inlineStr">
        <is>
          <t>INV00987</t>
        </is>
      </c>
      <c r="B990" s="7" t="n">
        <v>46198</v>
      </c>
      <c r="C990" s="2" t="inlineStr">
        <is>
          <t>IBM</t>
        </is>
      </c>
      <c r="D990" s="2" t="inlineStr">
        <is>
          <t>Sales</t>
        </is>
      </c>
      <c r="E990" s="2" t="inlineStr">
        <is>
          <t>Cloud</t>
        </is>
      </c>
      <c r="F990" s="8" t="n">
        <v>420800</v>
      </c>
      <c r="G990" s="2" t="n">
        <v>30</v>
      </c>
      <c r="H990" s="7" t="n">
        <v>46228</v>
      </c>
      <c r="I990" s="7" t="n">
        <v>46233</v>
      </c>
      <c r="J990" s="2" t="inlineStr">
        <is>
          <t>Paid</t>
        </is>
      </c>
      <c r="K990" s="2" t="inlineStr">
        <is>
          <t>No</t>
        </is>
      </c>
      <c r="L990" s="9" t="n">
        <v>0</v>
      </c>
      <c r="M990" s="2" t="inlineStr">
        <is>
          <t>Received</t>
        </is>
      </c>
      <c r="N990" s="2" t="inlineStr">
        <is>
          <t>Approved</t>
        </is>
      </c>
      <c r="O990" s="2" t="n"/>
      <c r="P990" s="2" t="n"/>
      <c r="Q990" s="2" t="n"/>
      <c r="R990" s="2" t="n"/>
    </row>
    <row r="991">
      <c r="A991" s="2" t="inlineStr">
        <is>
          <t>INV00988</t>
        </is>
      </c>
      <c r="B991" s="7" t="n">
        <v>46027</v>
      </c>
      <c r="C991" s="2" t="inlineStr">
        <is>
          <t>Amazon Web Services</t>
        </is>
      </c>
      <c r="D991" s="2" t="inlineStr">
        <is>
          <t>Sales</t>
        </is>
      </c>
      <c r="E991" s="2" t="inlineStr">
        <is>
          <t>Professional Services</t>
        </is>
      </c>
      <c r="F991" s="8" t="n">
        <v>102100</v>
      </c>
      <c r="G991" s="2" t="n">
        <v>60</v>
      </c>
      <c r="H991" s="7" t="n">
        <v>46087</v>
      </c>
      <c r="I991" s="2" t="n"/>
      <c r="J991" s="2" t="inlineStr">
        <is>
          <t>Pending</t>
        </is>
      </c>
      <c r="K991" s="2" t="inlineStr">
        <is>
          <t>Yes</t>
        </is>
      </c>
      <c r="L991" s="9" t="n">
        <v>0.02</v>
      </c>
      <c r="M991" s="2" t="inlineStr">
        <is>
          <t>Pending</t>
        </is>
      </c>
      <c r="N991" s="2" t="inlineStr">
        <is>
          <t>Approved</t>
        </is>
      </c>
      <c r="O991" s="2" t="n"/>
      <c r="P991" s="2" t="n"/>
      <c r="Q991" s="2" t="n"/>
      <c r="R991" s="2" t="n"/>
    </row>
    <row r="992">
      <c r="A992" s="2" t="inlineStr">
        <is>
          <t>INV00989</t>
        </is>
      </c>
      <c r="B992" s="7" t="n">
        <v>46309</v>
      </c>
      <c r="C992" s="2" t="inlineStr">
        <is>
          <t>Microsoft</t>
        </is>
      </c>
      <c r="D992" s="2" t="inlineStr">
        <is>
          <t>Marketing</t>
        </is>
      </c>
      <c r="E992" s="2" t="inlineStr">
        <is>
          <t>Facilities</t>
        </is>
      </c>
      <c r="F992" s="8" t="n">
        <v>619000</v>
      </c>
      <c r="G992" s="2" t="n">
        <v>45</v>
      </c>
      <c r="H992" s="7" t="n">
        <v>46354</v>
      </c>
      <c r="I992" s="7" t="n">
        <v>46369</v>
      </c>
      <c r="J992" s="2" t="inlineStr">
        <is>
          <t>Paid</t>
        </is>
      </c>
      <c r="K992" s="2" t="inlineStr">
        <is>
          <t>No</t>
        </is>
      </c>
      <c r="L992" s="9" t="n">
        <v>0</v>
      </c>
      <c r="M992" s="2" t="inlineStr">
        <is>
          <t>Pending</t>
        </is>
      </c>
      <c r="N992" s="2" t="inlineStr">
        <is>
          <t>Approved</t>
        </is>
      </c>
      <c r="O992" s="2" t="n"/>
      <c r="P992" s="2" t="n"/>
      <c r="Q992" s="2" t="n"/>
      <c r="R992" s="2" t="n"/>
    </row>
    <row r="993">
      <c r="A993" s="2" t="inlineStr">
        <is>
          <t>INV00990</t>
        </is>
      </c>
      <c r="B993" s="7" t="n">
        <v>46271</v>
      </c>
      <c r="C993" s="2" t="inlineStr">
        <is>
          <t>Cognizant</t>
        </is>
      </c>
      <c r="D993" s="2" t="inlineStr">
        <is>
          <t>Marketing</t>
        </is>
      </c>
      <c r="E993" s="2" t="inlineStr">
        <is>
          <t>Facilities</t>
        </is>
      </c>
      <c r="F993" s="8" t="n">
        <v>145600</v>
      </c>
      <c r="G993" s="2" t="n">
        <v>15</v>
      </c>
      <c r="H993" s="7" t="n">
        <v>46286</v>
      </c>
      <c r="I993" s="2" t="n"/>
      <c r="J993" s="2" t="inlineStr">
        <is>
          <t>Pending</t>
        </is>
      </c>
      <c r="K993" s="2" t="inlineStr">
        <is>
          <t>No</t>
        </is>
      </c>
      <c r="L993" s="9" t="n">
        <v>0</v>
      </c>
      <c r="M993" s="2" t="inlineStr">
        <is>
          <t>Received</t>
        </is>
      </c>
      <c r="N993" s="2" t="inlineStr">
        <is>
          <t>Approved</t>
        </is>
      </c>
      <c r="O993" s="2" t="n"/>
      <c r="P993" s="2" t="n"/>
      <c r="Q993" s="2" t="n"/>
      <c r="R993" s="2" t="n"/>
    </row>
    <row r="994">
      <c r="A994" s="2" t="inlineStr">
        <is>
          <t>INV00991</t>
        </is>
      </c>
      <c r="B994" s="7" t="n">
        <v>46258</v>
      </c>
      <c r="C994" s="2" t="inlineStr">
        <is>
          <t>Deloitte</t>
        </is>
      </c>
      <c r="D994" s="2" t="inlineStr">
        <is>
          <t>Sales</t>
        </is>
      </c>
      <c r="E994" s="2" t="inlineStr">
        <is>
          <t>Consulting</t>
        </is>
      </c>
      <c r="F994" s="8" t="n">
        <v>681400</v>
      </c>
      <c r="G994" s="2" t="n">
        <v>15</v>
      </c>
      <c r="H994" s="7" t="n">
        <v>46273</v>
      </c>
      <c r="I994" s="7" t="n">
        <v>46278</v>
      </c>
      <c r="J994" s="2" t="inlineStr">
        <is>
          <t>Paid</t>
        </is>
      </c>
      <c r="K994" s="2" t="inlineStr">
        <is>
          <t>No</t>
        </is>
      </c>
      <c r="L994" s="9" t="n">
        <v>0</v>
      </c>
      <c r="M994" s="2" t="inlineStr">
        <is>
          <t>Received</t>
        </is>
      </c>
      <c r="N994" s="2" t="inlineStr">
        <is>
          <t>Approved</t>
        </is>
      </c>
      <c r="O994" s="2" t="n"/>
      <c r="P994" s="2" t="n"/>
      <c r="Q994" s="2" t="n"/>
      <c r="R994" s="2" t="n"/>
    </row>
    <row r="995">
      <c r="A995" s="2" t="inlineStr">
        <is>
          <t>INV00992</t>
        </is>
      </c>
      <c r="B995" s="7" t="n">
        <v>46305</v>
      </c>
      <c r="C995" s="2" t="inlineStr">
        <is>
          <t>Microsoft</t>
        </is>
      </c>
      <c r="D995" s="2" t="inlineStr">
        <is>
          <t>Marketing</t>
        </is>
      </c>
      <c r="E995" s="2" t="inlineStr">
        <is>
          <t>Facilities</t>
        </is>
      </c>
      <c r="F995" s="8" t="n">
        <v>418900</v>
      </c>
      <c r="G995" s="2" t="n">
        <v>60</v>
      </c>
      <c r="H995" s="7" t="n">
        <v>46365</v>
      </c>
      <c r="I995" s="7" t="n">
        <v>46395</v>
      </c>
      <c r="J995" s="2" t="inlineStr">
        <is>
          <t>Paid</t>
        </is>
      </c>
      <c r="K995" s="2" t="inlineStr">
        <is>
          <t>No</t>
        </is>
      </c>
      <c r="L995" s="9" t="n">
        <v>0</v>
      </c>
      <c r="M995" s="2" t="inlineStr">
        <is>
          <t>Received</t>
        </is>
      </c>
      <c r="N995" s="2" t="inlineStr">
        <is>
          <t>Approved</t>
        </is>
      </c>
      <c r="O995" s="2" t="n"/>
      <c r="P995" s="2" t="n"/>
      <c r="Q995" s="2" t="n"/>
      <c r="R995" s="2" t="n"/>
    </row>
    <row r="996">
      <c r="A996" s="2" t="inlineStr">
        <is>
          <t>INV00993</t>
        </is>
      </c>
      <c r="B996" s="7" t="n">
        <v>46348</v>
      </c>
      <c r="C996" s="2" t="inlineStr">
        <is>
          <t>TCS</t>
        </is>
      </c>
      <c r="D996" s="2" t="inlineStr">
        <is>
          <t>Marketing</t>
        </is>
      </c>
      <c r="E996" s="2" t="inlineStr">
        <is>
          <t>Consulting</t>
        </is>
      </c>
      <c r="F996" s="8" t="n">
        <v>361200</v>
      </c>
      <c r="G996" s="2" t="n">
        <v>30</v>
      </c>
      <c r="H996" s="7" t="n">
        <v>46378</v>
      </c>
      <c r="I996" s="7" t="n">
        <v>46378</v>
      </c>
      <c r="J996" s="2" t="inlineStr">
        <is>
          <t>Paid</t>
        </is>
      </c>
      <c r="K996" s="2" t="inlineStr">
        <is>
          <t>No</t>
        </is>
      </c>
      <c r="L996" s="9" t="n">
        <v>0</v>
      </c>
      <c r="M996" s="2" t="inlineStr">
        <is>
          <t>Received</t>
        </is>
      </c>
      <c r="N996" s="2" t="inlineStr">
        <is>
          <t>Approved</t>
        </is>
      </c>
      <c r="O996" s="2" t="n"/>
      <c r="P996" s="2" t="n"/>
      <c r="Q996" s="2" t="n"/>
      <c r="R996" s="2" t="n"/>
    </row>
    <row r="997">
      <c r="A997" s="2" t="inlineStr">
        <is>
          <t>INV00994</t>
        </is>
      </c>
      <c r="B997" s="7" t="n">
        <v>46277</v>
      </c>
      <c r="C997" s="2" t="inlineStr">
        <is>
          <t>Amazon Web Services</t>
        </is>
      </c>
      <c r="D997" s="2" t="inlineStr">
        <is>
          <t>HR</t>
        </is>
      </c>
      <c r="E997" s="2" t="inlineStr">
        <is>
          <t>Facilities</t>
        </is>
      </c>
      <c r="F997" s="8" t="n">
        <v>232500</v>
      </c>
      <c r="G997" s="2" t="n">
        <v>45</v>
      </c>
      <c r="H997" s="7" t="n">
        <v>46322</v>
      </c>
      <c r="I997" s="7" t="n">
        <v>46322</v>
      </c>
      <c r="J997" s="2" t="inlineStr">
        <is>
          <t>Paid</t>
        </is>
      </c>
      <c r="K997" s="2" t="inlineStr">
        <is>
          <t>Yes</t>
        </is>
      </c>
      <c r="L997" s="9" t="n">
        <v>0.02</v>
      </c>
      <c r="M997" s="2" t="inlineStr">
        <is>
          <t>Pending</t>
        </is>
      </c>
      <c r="N997" s="2" t="inlineStr">
        <is>
          <t>Approved</t>
        </is>
      </c>
      <c r="O997" s="2" t="n"/>
      <c r="P997" s="2" t="n"/>
      <c r="Q997" s="2" t="n"/>
      <c r="R997" s="2" t="n"/>
    </row>
    <row r="998">
      <c r="A998" s="2" t="inlineStr">
        <is>
          <t>INV00995</t>
        </is>
      </c>
      <c r="B998" s="7" t="n">
        <v>46174</v>
      </c>
      <c r="C998" s="2" t="inlineStr">
        <is>
          <t>Deloitte</t>
        </is>
      </c>
      <c r="D998" s="2" t="inlineStr">
        <is>
          <t>Operations</t>
        </is>
      </c>
      <c r="E998" s="2" t="inlineStr">
        <is>
          <t>Software</t>
        </is>
      </c>
      <c r="F998" s="8" t="n">
        <v>11200</v>
      </c>
      <c r="G998" s="2" t="n">
        <v>60</v>
      </c>
      <c r="H998" s="7" t="n">
        <v>46234</v>
      </c>
      <c r="I998" s="7" t="n">
        <v>46234</v>
      </c>
      <c r="J998" s="2" t="inlineStr">
        <is>
          <t>Paid</t>
        </is>
      </c>
      <c r="K998" s="2" t="inlineStr">
        <is>
          <t>No</t>
        </is>
      </c>
      <c r="L998" s="9" t="n">
        <v>0</v>
      </c>
      <c r="M998" s="2" t="inlineStr">
        <is>
          <t>Received</t>
        </is>
      </c>
      <c r="N998" s="2" t="inlineStr">
        <is>
          <t>Approved</t>
        </is>
      </c>
      <c r="O998" s="2" t="n"/>
      <c r="P998" s="2" t="n"/>
      <c r="Q998" s="2" t="n"/>
      <c r="R998" s="2" t="n"/>
    </row>
    <row r="999">
      <c r="A999" s="2" t="inlineStr">
        <is>
          <t>INV00996</t>
        </is>
      </c>
      <c r="B999" s="7" t="n">
        <v>46056</v>
      </c>
      <c r="C999" s="2" t="inlineStr">
        <is>
          <t>Deloitte</t>
        </is>
      </c>
      <c r="D999" s="2" t="inlineStr">
        <is>
          <t>Marketing</t>
        </is>
      </c>
      <c r="E999" s="2" t="inlineStr">
        <is>
          <t>Office Supplies</t>
        </is>
      </c>
      <c r="F999" s="8" t="n">
        <v>407200</v>
      </c>
      <c r="G999" s="2" t="n">
        <v>15</v>
      </c>
      <c r="H999" s="7" t="n">
        <v>46071</v>
      </c>
      <c r="I999" s="2" t="n"/>
      <c r="J999" s="2" t="inlineStr">
        <is>
          <t>Pending</t>
        </is>
      </c>
      <c r="K999" s="2" t="inlineStr">
        <is>
          <t>No</t>
        </is>
      </c>
      <c r="L999" s="9" t="n">
        <v>0</v>
      </c>
      <c r="M999" s="2" t="inlineStr">
        <is>
          <t>Pending</t>
        </is>
      </c>
      <c r="N999" s="2" t="inlineStr">
        <is>
          <t>Approved</t>
        </is>
      </c>
      <c r="O999" s="2" t="n"/>
      <c r="P999" s="2" t="n"/>
      <c r="Q999" s="2" t="n"/>
      <c r="R999" s="2" t="n"/>
    </row>
    <row r="1000">
      <c r="A1000" s="2" t="inlineStr">
        <is>
          <t>INV00997</t>
        </is>
      </c>
      <c r="B1000" s="7" t="n">
        <v>46115</v>
      </c>
      <c r="C1000" s="2" t="inlineStr">
        <is>
          <t>Cognizant</t>
        </is>
      </c>
      <c r="D1000" s="2" t="inlineStr">
        <is>
          <t>Marketing</t>
        </is>
      </c>
      <c r="E1000" s="2" t="inlineStr">
        <is>
          <t>Consulting</t>
        </is>
      </c>
      <c r="F1000" s="8" t="n">
        <v>334000</v>
      </c>
      <c r="G1000" s="2" t="n">
        <v>60</v>
      </c>
      <c r="H1000" s="7" t="n">
        <v>46175</v>
      </c>
      <c r="I1000" s="7" t="n">
        <v>46175</v>
      </c>
      <c r="J1000" s="2" t="inlineStr">
        <is>
          <t>Paid</t>
        </is>
      </c>
      <c r="K1000" s="2" t="inlineStr">
        <is>
          <t>No</t>
        </is>
      </c>
      <c r="L1000" s="9" t="n">
        <v>0</v>
      </c>
      <c r="M1000" s="2" t="inlineStr">
        <is>
          <t>Pending</t>
        </is>
      </c>
      <c r="N1000" s="2" t="inlineStr">
        <is>
          <t>Approved</t>
        </is>
      </c>
      <c r="O1000" s="2" t="n"/>
      <c r="P1000" s="2" t="n"/>
      <c r="Q1000" s="2" t="n"/>
      <c r="R1000" s="2" t="n"/>
    </row>
    <row r="1001">
      <c r="A1001" s="2" t="inlineStr">
        <is>
          <t>INV00998</t>
        </is>
      </c>
      <c r="B1001" s="7" t="n">
        <v>46183</v>
      </c>
      <c r="C1001" s="2" t="inlineStr">
        <is>
          <t>HCLTech</t>
        </is>
      </c>
      <c r="D1001" s="2" t="inlineStr">
        <is>
          <t>IT</t>
        </is>
      </c>
      <c r="E1001" s="2" t="inlineStr">
        <is>
          <t>Professional Services</t>
        </is>
      </c>
      <c r="F1001" s="8" t="n">
        <v>775900</v>
      </c>
      <c r="G1001" s="2" t="n">
        <v>45</v>
      </c>
      <c r="H1001" s="7" t="n">
        <v>46228</v>
      </c>
      <c r="I1001" s="2" t="n"/>
      <c r="J1001" s="2" t="inlineStr">
        <is>
          <t>Pending</t>
        </is>
      </c>
      <c r="K1001" s="2" t="inlineStr">
        <is>
          <t>Yes</t>
        </is>
      </c>
      <c r="L1001" s="9" t="n">
        <v>0.02</v>
      </c>
      <c r="M1001" s="2" t="inlineStr">
        <is>
          <t>Pending</t>
        </is>
      </c>
      <c r="N1001" s="2" t="inlineStr">
        <is>
          <t>Approved</t>
        </is>
      </c>
      <c r="O1001" s="2" t="n"/>
      <c r="P1001" s="2" t="n"/>
      <c r="Q1001" s="2" t="n"/>
      <c r="R1001" s="2" t="n"/>
    </row>
    <row r="1002">
      <c r="A1002" s="2" t="inlineStr">
        <is>
          <t>INV00999</t>
        </is>
      </c>
      <c r="B1002" s="7" t="n">
        <v>46175</v>
      </c>
      <c r="C1002" s="2" t="inlineStr">
        <is>
          <t>Deloitte</t>
        </is>
      </c>
      <c r="D1002" s="2" t="inlineStr">
        <is>
          <t>Finance</t>
        </is>
      </c>
      <c r="E1002" s="2" t="inlineStr">
        <is>
          <t>Cloud</t>
        </is>
      </c>
      <c r="F1002" s="8" t="n">
        <v>366800</v>
      </c>
      <c r="G1002" s="2" t="n">
        <v>15</v>
      </c>
      <c r="H1002" s="7" t="n">
        <v>46190</v>
      </c>
      <c r="I1002" s="2" t="n"/>
      <c r="J1002" s="2" t="inlineStr">
        <is>
          <t>Pending</t>
        </is>
      </c>
      <c r="K1002" s="2" t="inlineStr">
        <is>
          <t>Yes</t>
        </is>
      </c>
      <c r="L1002" s="9" t="n">
        <v>0.02</v>
      </c>
      <c r="M1002" s="2" t="inlineStr">
        <is>
          <t>Received</t>
        </is>
      </c>
      <c r="N1002" s="2" t="inlineStr">
        <is>
          <t>Approved</t>
        </is>
      </c>
      <c r="O1002" s="2" t="n"/>
      <c r="P1002" s="2" t="n"/>
      <c r="Q1002" s="2" t="n"/>
      <c r="R1002" s="2" t="n"/>
    </row>
    <row r="1003">
      <c r="A1003" s="2" t="inlineStr">
        <is>
          <t>INV01000</t>
        </is>
      </c>
      <c r="B1003" s="7" t="n">
        <v>46336</v>
      </c>
      <c r="C1003" s="2" t="inlineStr">
        <is>
          <t>Oracle</t>
        </is>
      </c>
      <c r="D1003" s="2" t="inlineStr">
        <is>
          <t>Marketing</t>
        </is>
      </c>
      <c r="E1003" s="2" t="inlineStr">
        <is>
          <t>Professional Services</t>
        </is>
      </c>
      <c r="F1003" s="8" t="n">
        <v>107700</v>
      </c>
      <c r="G1003" s="2" t="n">
        <v>30</v>
      </c>
      <c r="H1003" s="7" t="n">
        <v>46366</v>
      </c>
      <c r="I1003" s="2" t="n"/>
      <c r="J1003" s="2" t="inlineStr">
        <is>
          <t>Pending</t>
        </is>
      </c>
      <c r="K1003" s="2" t="inlineStr">
        <is>
          <t>No</t>
        </is>
      </c>
      <c r="L1003" s="9" t="n">
        <v>0</v>
      </c>
      <c r="M1003" s="2" t="inlineStr">
        <is>
          <t>Received</t>
        </is>
      </c>
      <c r="N1003" s="2" t="inlineStr">
        <is>
          <t>Approved</t>
        </is>
      </c>
      <c r="O1003" s="2" t="n"/>
      <c r="P1003" s="2" t="n"/>
      <c r="Q1003" s="2" t="n"/>
      <c r="R1003" s="2" t="n"/>
    </row>
  </sheetData>
  <autoFilter ref="A3:N1003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  <col width="16" customWidth="1" min="12" max="12"/>
    <col width="20" customWidth="1" min="13" max="13"/>
    <col width="16" customWidth="1" min="14" max="14"/>
  </cols>
  <sheetData>
    <row r="1">
      <c r="A1" s="1" t="inlineStr">
        <is>
          <t>Calculated AP Metrics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Invoice_ID</t>
        </is>
      </c>
      <c r="B3" s="6" t="inlineStr">
        <is>
          <t>Invoice_Date</t>
        </is>
      </c>
      <c r="C3" s="6" t="inlineStr">
        <is>
          <t>Vendor</t>
        </is>
      </c>
      <c r="D3" s="6" t="inlineStr">
        <is>
          <t>Department</t>
        </is>
      </c>
      <c r="E3" s="6" t="inlineStr">
        <is>
          <t>Invoice_Amount</t>
        </is>
      </c>
      <c r="F3" s="6" t="inlineStr">
        <is>
          <t>Due_Date</t>
        </is>
      </c>
      <c r="G3" s="6" t="inlineStr">
        <is>
          <t>Payment_Date</t>
        </is>
      </c>
      <c r="H3" s="6" t="inlineStr">
        <is>
          <t>Status</t>
        </is>
      </c>
      <c r="I3" s="6" t="inlineStr">
        <is>
          <t>Payment_Days</t>
        </is>
      </c>
      <c r="J3" s="6" t="inlineStr">
        <is>
          <t>Days_Past_Due</t>
        </is>
      </c>
      <c r="K3" s="6" t="inlineStr">
        <is>
          <t>Outstanding_Amount</t>
        </is>
      </c>
      <c r="L3" s="6" t="inlineStr">
        <is>
          <t>Aging_Bucket</t>
        </is>
      </c>
      <c r="M3" s="6" t="inlineStr">
        <is>
          <t>Discount_Opportunity</t>
        </is>
      </c>
      <c r="N3" s="6" t="inlineStr">
        <is>
          <t>Payment_Timing</t>
        </is>
      </c>
    </row>
    <row r="4">
      <c r="A4" s="2">
        <f>Raw_Data!A4</f>
        <v/>
      </c>
      <c r="B4" s="7">
        <f>Raw_Data!B4</f>
        <v/>
      </c>
      <c r="C4" s="2">
        <f>Raw_Data!C4</f>
        <v/>
      </c>
      <c r="D4" s="2">
        <f>Raw_Data!D4</f>
        <v/>
      </c>
      <c r="E4" s="8">
        <f>Raw_Data!F4</f>
        <v/>
      </c>
      <c r="F4" s="7">
        <f>Raw_Data!H4</f>
        <v/>
      </c>
      <c r="G4" s="7">
        <f>Raw_Data!I4</f>
        <v/>
      </c>
      <c r="H4" s="2">
        <f>Raw_Data!J4</f>
        <v/>
      </c>
      <c r="I4" s="2">
        <f>IF(G4="",0,G4-B4)</f>
        <v/>
      </c>
      <c r="J4" s="2">
        <f>IF(H4="Paid",MAX(0,G4-F4),MAX(0,DATE(2026,12,31)-F4))</f>
        <v/>
      </c>
      <c r="K4" s="8">
        <f>IF(H4="Paid",0,E4)</f>
        <v/>
      </c>
      <c r="L4" s="2">
        <f>IF(J4=0,"Current",IF(J4&lt;=30,"1-30 Days",IF(J4&lt;=60,"31-60 Days",IF(J4&lt;=90,"61-90 Days","90+ Days"))))</f>
        <v/>
      </c>
      <c r="M4" s="8">
        <f>IF(Raw_Data!K4="Yes",Raw_Data!F4*Raw_Data!L4,0)</f>
        <v/>
      </c>
      <c r="N4" s="2">
        <f>IF(H4&lt;&gt;"Paid","Outstanding",IF(J4=0,"On Time","Late"))</f>
        <v/>
      </c>
    </row>
    <row r="5">
      <c r="A5" s="2">
        <f>Raw_Data!A5</f>
        <v/>
      </c>
      <c r="B5" s="7">
        <f>Raw_Data!B5</f>
        <v/>
      </c>
      <c r="C5" s="2">
        <f>Raw_Data!C5</f>
        <v/>
      </c>
      <c r="D5" s="2">
        <f>Raw_Data!D5</f>
        <v/>
      </c>
      <c r="E5" s="8">
        <f>Raw_Data!F5</f>
        <v/>
      </c>
      <c r="F5" s="7">
        <f>Raw_Data!H5</f>
        <v/>
      </c>
      <c r="G5" s="7">
        <f>Raw_Data!I5</f>
        <v/>
      </c>
      <c r="H5" s="2">
        <f>Raw_Data!J5</f>
        <v/>
      </c>
      <c r="I5" s="2">
        <f>IF(G5="",0,G5-B5)</f>
        <v/>
      </c>
      <c r="J5" s="2">
        <f>IF(H5="Paid",MAX(0,G5-F5),MAX(0,DATE(2026,12,31)-F5))</f>
        <v/>
      </c>
      <c r="K5" s="8">
        <f>IF(H5="Paid",0,E5)</f>
        <v/>
      </c>
      <c r="L5" s="2">
        <f>IF(J5=0,"Current",IF(J5&lt;=30,"1-30 Days",IF(J5&lt;=60,"31-60 Days",IF(J5&lt;=90,"61-90 Days","90+ Days"))))</f>
        <v/>
      </c>
      <c r="M5" s="8">
        <f>IF(Raw_Data!K5="Yes",Raw_Data!F5*Raw_Data!L5,0)</f>
        <v/>
      </c>
      <c r="N5" s="2">
        <f>IF(H5&lt;&gt;"Paid","Outstanding",IF(J5=0,"On Time","Late"))</f>
        <v/>
      </c>
    </row>
    <row r="6">
      <c r="A6" s="2">
        <f>Raw_Data!A6</f>
        <v/>
      </c>
      <c r="B6" s="7">
        <f>Raw_Data!B6</f>
        <v/>
      </c>
      <c r="C6" s="2">
        <f>Raw_Data!C6</f>
        <v/>
      </c>
      <c r="D6" s="2">
        <f>Raw_Data!D6</f>
        <v/>
      </c>
      <c r="E6" s="8">
        <f>Raw_Data!F6</f>
        <v/>
      </c>
      <c r="F6" s="7">
        <f>Raw_Data!H6</f>
        <v/>
      </c>
      <c r="G6" s="7">
        <f>Raw_Data!I6</f>
        <v/>
      </c>
      <c r="H6" s="2">
        <f>Raw_Data!J6</f>
        <v/>
      </c>
      <c r="I6" s="2">
        <f>IF(G6="",0,G6-B6)</f>
        <v/>
      </c>
      <c r="J6" s="2">
        <f>IF(H6="Paid",MAX(0,G6-F6),MAX(0,DATE(2026,12,31)-F6))</f>
        <v/>
      </c>
      <c r="K6" s="8">
        <f>IF(H6="Paid",0,E6)</f>
        <v/>
      </c>
      <c r="L6" s="2">
        <f>IF(J6=0,"Current",IF(J6&lt;=30,"1-30 Days",IF(J6&lt;=60,"31-60 Days",IF(J6&lt;=90,"61-90 Days","90+ Days"))))</f>
        <v/>
      </c>
      <c r="M6" s="8">
        <f>IF(Raw_Data!K6="Yes",Raw_Data!F6*Raw_Data!L6,0)</f>
        <v/>
      </c>
      <c r="N6" s="2">
        <f>IF(H6&lt;&gt;"Paid","Outstanding",IF(J6=0,"On Time","Late"))</f>
        <v/>
      </c>
    </row>
    <row r="7">
      <c r="A7" s="2">
        <f>Raw_Data!A7</f>
        <v/>
      </c>
      <c r="B7" s="7">
        <f>Raw_Data!B7</f>
        <v/>
      </c>
      <c r="C7" s="2">
        <f>Raw_Data!C7</f>
        <v/>
      </c>
      <c r="D7" s="2">
        <f>Raw_Data!D7</f>
        <v/>
      </c>
      <c r="E7" s="8">
        <f>Raw_Data!F7</f>
        <v/>
      </c>
      <c r="F7" s="7">
        <f>Raw_Data!H7</f>
        <v/>
      </c>
      <c r="G7" s="7">
        <f>Raw_Data!I7</f>
        <v/>
      </c>
      <c r="H7" s="2">
        <f>Raw_Data!J7</f>
        <v/>
      </c>
      <c r="I7" s="2">
        <f>IF(G7="",0,G7-B7)</f>
        <v/>
      </c>
      <c r="J7" s="2">
        <f>IF(H7="Paid",MAX(0,G7-F7),MAX(0,DATE(2026,12,31)-F7))</f>
        <v/>
      </c>
      <c r="K7" s="8">
        <f>IF(H7="Paid",0,E7)</f>
        <v/>
      </c>
      <c r="L7" s="2">
        <f>IF(J7=0,"Current",IF(J7&lt;=30,"1-30 Days",IF(J7&lt;=60,"31-60 Days",IF(J7&lt;=90,"61-90 Days","90+ Days"))))</f>
        <v/>
      </c>
      <c r="M7" s="8">
        <f>IF(Raw_Data!K7="Yes",Raw_Data!F7*Raw_Data!L7,0)</f>
        <v/>
      </c>
      <c r="N7" s="2">
        <f>IF(H7&lt;&gt;"Paid","Outstanding",IF(J7=0,"On Time","Late"))</f>
        <v/>
      </c>
    </row>
    <row r="8">
      <c r="A8" s="2">
        <f>Raw_Data!A8</f>
        <v/>
      </c>
      <c r="B8" s="7">
        <f>Raw_Data!B8</f>
        <v/>
      </c>
      <c r="C8" s="2">
        <f>Raw_Data!C8</f>
        <v/>
      </c>
      <c r="D8" s="2">
        <f>Raw_Data!D8</f>
        <v/>
      </c>
      <c r="E8" s="8">
        <f>Raw_Data!F8</f>
        <v/>
      </c>
      <c r="F8" s="7">
        <f>Raw_Data!H8</f>
        <v/>
      </c>
      <c r="G8" s="7">
        <f>Raw_Data!I8</f>
        <v/>
      </c>
      <c r="H8" s="2">
        <f>Raw_Data!J8</f>
        <v/>
      </c>
      <c r="I8" s="2">
        <f>IF(G8="",0,G8-B8)</f>
        <v/>
      </c>
      <c r="J8" s="2">
        <f>IF(H8="Paid",MAX(0,G8-F8),MAX(0,DATE(2026,12,31)-F8))</f>
        <v/>
      </c>
      <c r="K8" s="8">
        <f>IF(H8="Paid",0,E8)</f>
        <v/>
      </c>
      <c r="L8" s="2">
        <f>IF(J8=0,"Current",IF(J8&lt;=30,"1-30 Days",IF(J8&lt;=60,"31-60 Days",IF(J8&lt;=90,"61-90 Days","90+ Days"))))</f>
        <v/>
      </c>
      <c r="M8" s="8">
        <f>IF(Raw_Data!K8="Yes",Raw_Data!F8*Raw_Data!L8,0)</f>
        <v/>
      </c>
      <c r="N8" s="2">
        <f>IF(H8&lt;&gt;"Paid","Outstanding",IF(J8=0,"On Time","Late"))</f>
        <v/>
      </c>
    </row>
    <row r="9">
      <c r="A9" s="2">
        <f>Raw_Data!A9</f>
        <v/>
      </c>
      <c r="B9" s="7">
        <f>Raw_Data!B9</f>
        <v/>
      </c>
      <c r="C9" s="2">
        <f>Raw_Data!C9</f>
        <v/>
      </c>
      <c r="D9" s="2">
        <f>Raw_Data!D9</f>
        <v/>
      </c>
      <c r="E9" s="8">
        <f>Raw_Data!F9</f>
        <v/>
      </c>
      <c r="F9" s="7">
        <f>Raw_Data!H9</f>
        <v/>
      </c>
      <c r="G9" s="7">
        <f>Raw_Data!I9</f>
        <v/>
      </c>
      <c r="H9" s="2">
        <f>Raw_Data!J9</f>
        <v/>
      </c>
      <c r="I9" s="2">
        <f>IF(G9="",0,G9-B9)</f>
        <v/>
      </c>
      <c r="J9" s="2">
        <f>IF(H9="Paid",MAX(0,G9-F9),MAX(0,DATE(2026,12,31)-F9))</f>
        <v/>
      </c>
      <c r="K9" s="8">
        <f>IF(H9="Paid",0,E9)</f>
        <v/>
      </c>
      <c r="L9" s="2">
        <f>IF(J9=0,"Current",IF(J9&lt;=30,"1-30 Days",IF(J9&lt;=60,"31-60 Days",IF(J9&lt;=90,"61-90 Days","90+ Days"))))</f>
        <v/>
      </c>
      <c r="M9" s="8">
        <f>IF(Raw_Data!K9="Yes",Raw_Data!F9*Raw_Data!L9,0)</f>
        <v/>
      </c>
      <c r="N9" s="2">
        <f>IF(H9&lt;&gt;"Paid","Outstanding",IF(J9=0,"On Time","Late"))</f>
        <v/>
      </c>
    </row>
    <row r="10">
      <c r="A10" s="2">
        <f>Raw_Data!A10</f>
        <v/>
      </c>
      <c r="B10" s="7">
        <f>Raw_Data!B10</f>
        <v/>
      </c>
      <c r="C10" s="2">
        <f>Raw_Data!C10</f>
        <v/>
      </c>
      <c r="D10" s="2">
        <f>Raw_Data!D10</f>
        <v/>
      </c>
      <c r="E10" s="8">
        <f>Raw_Data!F10</f>
        <v/>
      </c>
      <c r="F10" s="7">
        <f>Raw_Data!H10</f>
        <v/>
      </c>
      <c r="G10" s="7">
        <f>Raw_Data!I10</f>
        <v/>
      </c>
      <c r="H10" s="2">
        <f>Raw_Data!J10</f>
        <v/>
      </c>
      <c r="I10" s="2">
        <f>IF(G10="",0,G10-B10)</f>
        <v/>
      </c>
      <c r="J10" s="2">
        <f>IF(H10="Paid",MAX(0,G10-F10),MAX(0,DATE(2026,12,31)-F10))</f>
        <v/>
      </c>
      <c r="K10" s="8">
        <f>IF(H10="Paid",0,E10)</f>
        <v/>
      </c>
      <c r="L10" s="2">
        <f>IF(J10=0,"Current",IF(J10&lt;=30,"1-30 Days",IF(J10&lt;=60,"31-60 Days",IF(J10&lt;=90,"61-90 Days","90+ Days"))))</f>
        <v/>
      </c>
      <c r="M10" s="8">
        <f>IF(Raw_Data!K10="Yes",Raw_Data!F10*Raw_Data!L10,0)</f>
        <v/>
      </c>
      <c r="N10" s="2">
        <f>IF(H10&lt;&gt;"Paid","Outstanding",IF(J10=0,"On Time","Late"))</f>
        <v/>
      </c>
    </row>
    <row r="11">
      <c r="A11" s="2">
        <f>Raw_Data!A11</f>
        <v/>
      </c>
      <c r="B11" s="7">
        <f>Raw_Data!B11</f>
        <v/>
      </c>
      <c r="C11" s="2">
        <f>Raw_Data!C11</f>
        <v/>
      </c>
      <c r="D11" s="2">
        <f>Raw_Data!D11</f>
        <v/>
      </c>
      <c r="E11" s="8">
        <f>Raw_Data!F11</f>
        <v/>
      </c>
      <c r="F11" s="7">
        <f>Raw_Data!H11</f>
        <v/>
      </c>
      <c r="G11" s="7">
        <f>Raw_Data!I11</f>
        <v/>
      </c>
      <c r="H11" s="2">
        <f>Raw_Data!J11</f>
        <v/>
      </c>
      <c r="I11" s="2">
        <f>IF(G11="",0,G11-B11)</f>
        <v/>
      </c>
      <c r="J11" s="2">
        <f>IF(H11="Paid",MAX(0,G11-F11),MAX(0,DATE(2026,12,31)-F11))</f>
        <v/>
      </c>
      <c r="K11" s="8">
        <f>IF(H11="Paid",0,E11)</f>
        <v/>
      </c>
      <c r="L11" s="2">
        <f>IF(J11=0,"Current",IF(J11&lt;=30,"1-30 Days",IF(J11&lt;=60,"31-60 Days",IF(J11&lt;=90,"61-90 Days","90+ Days"))))</f>
        <v/>
      </c>
      <c r="M11" s="8">
        <f>IF(Raw_Data!K11="Yes",Raw_Data!F11*Raw_Data!L11,0)</f>
        <v/>
      </c>
      <c r="N11" s="2">
        <f>IF(H11&lt;&gt;"Paid","Outstanding",IF(J11=0,"On Time","Late"))</f>
        <v/>
      </c>
    </row>
    <row r="12">
      <c r="A12" s="2">
        <f>Raw_Data!A12</f>
        <v/>
      </c>
      <c r="B12" s="7">
        <f>Raw_Data!B12</f>
        <v/>
      </c>
      <c r="C12" s="2">
        <f>Raw_Data!C12</f>
        <v/>
      </c>
      <c r="D12" s="2">
        <f>Raw_Data!D12</f>
        <v/>
      </c>
      <c r="E12" s="8">
        <f>Raw_Data!F12</f>
        <v/>
      </c>
      <c r="F12" s="7">
        <f>Raw_Data!H12</f>
        <v/>
      </c>
      <c r="G12" s="7">
        <f>Raw_Data!I12</f>
        <v/>
      </c>
      <c r="H12" s="2">
        <f>Raw_Data!J12</f>
        <v/>
      </c>
      <c r="I12" s="2">
        <f>IF(G12="",0,G12-B12)</f>
        <v/>
      </c>
      <c r="J12" s="2">
        <f>IF(H12="Paid",MAX(0,G12-F12),MAX(0,DATE(2026,12,31)-F12))</f>
        <v/>
      </c>
      <c r="K12" s="8">
        <f>IF(H12="Paid",0,E12)</f>
        <v/>
      </c>
      <c r="L12" s="2">
        <f>IF(J12=0,"Current",IF(J12&lt;=30,"1-30 Days",IF(J12&lt;=60,"31-60 Days",IF(J12&lt;=90,"61-90 Days","90+ Days"))))</f>
        <v/>
      </c>
      <c r="M12" s="8">
        <f>IF(Raw_Data!K12="Yes",Raw_Data!F12*Raw_Data!L12,0)</f>
        <v/>
      </c>
      <c r="N12" s="2">
        <f>IF(H12&lt;&gt;"Paid","Outstanding",IF(J12=0,"On Time","Late"))</f>
        <v/>
      </c>
    </row>
    <row r="13">
      <c r="A13" s="2">
        <f>Raw_Data!A13</f>
        <v/>
      </c>
      <c r="B13" s="7">
        <f>Raw_Data!B13</f>
        <v/>
      </c>
      <c r="C13" s="2">
        <f>Raw_Data!C13</f>
        <v/>
      </c>
      <c r="D13" s="2">
        <f>Raw_Data!D13</f>
        <v/>
      </c>
      <c r="E13" s="8">
        <f>Raw_Data!F13</f>
        <v/>
      </c>
      <c r="F13" s="7">
        <f>Raw_Data!H13</f>
        <v/>
      </c>
      <c r="G13" s="7">
        <f>Raw_Data!I13</f>
        <v/>
      </c>
      <c r="H13" s="2">
        <f>Raw_Data!J13</f>
        <v/>
      </c>
      <c r="I13" s="2">
        <f>IF(G13="",0,G13-B13)</f>
        <v/>
      </c>
      <c r="J13" s="2">
        <f>IF(H13="Paid",MAX(0,G13-F13),MAX(0,DATE(2026,12,31)-F13))</f>
        <v/>
      </c>
      <c r="K13" s="8">
        <f>IF(H13="Paid",0,E13)</f>
        <v/>
      </c>
      <c r="L13" s="2">
        <f>IF(J13=0,"Current",IF(J13&lt;=30,"1-30 Days",IF(J13&lt;=60,"31-60 Days",IF(J13&lt;=90,"61-90 Days","90+ Days"))))</f>
        <v/>
      </c>
      <c r="M13" s="8">
        <f>IF(Raw_Data!K13="Yes",Raw_Data!F13*Raw_Data!L13,0)</f>
        <v/>
      </c>
      <c r="N13" s="2">
        <f>IF(H13&lt;&gt;"Paid","Outstanding",IF(J13=0,"On Time","Late"))</f>
        <v/>
      </c>
    </row>
    <row r="14">
      <c r="A14" s="2">
        <f>Raw_Data!A14</f>
        <v/>
      </c>
      <c r="B14" s="7">
        <f>Raw_Data!B14</f>
        <v/>
      </c>
      <c r="C14" s="2">
        <f>Raw_Data!C14</f>
        <v/>
      </c>
      <c r="D14" s="2">
        <f>Raw_Data!D14</f>
        <v/>
      </c>
      <c r="E14" s="8">
        <f>Raw_Data!F14</f>
        <v/>
      </c>
      <c r="F14" s="7">
        <f>Raw_Data!H14</f>
        <v/>
      </c>
      <c r="G14" s="7">
        <f>Raw_Data!I14</f>
        <v/>
      </c>
      <c r="H14" s="2">
        <f>Raw_Data!J14</f>
        <v/>
      </c>
      <c r="I14" s="2">
        <f>IF(G14="",0,G14-B14)</f>
        <v/>
      </c>
      <c r="J14" s="2">
        <f>IF(H14="Paid",MAX(0,G14-F14),MAX(0,DATE(2026,12,31)-F14))</f>
        <v/>
      </c>
      <c r="K14" s="8">
        <f>IF(H14="Paid",0,E14)</f>
        <v/>
      </c>
      <c r="L14" s="2">
        <f>IF(J14=0,"Current",IF(J14&lt;=30,"1-30 Days",IF(J14&lt;=60,"31-60 Days",IF(J14&lt;=90,"61-90 Days","90+ Days"))))</f>
        <v/>
      </c>
      <c r="M14" s="8">
        <f>IF(Raw_Data!K14="Yes",Raw_Data!F14*Raw_Data!L14,0)</f>
        <v/>
      </c>
      <c r="N14" s="2">
        <f>IF(H14&lt;&gt;"Paid","Outstanding",IF(J14=0,"On Time","Late"))</f>
        <v/>
      </c>
    </row>
    <row r="15">
      <c r="A15" s="2">
        <f>Raw_Data!A15</f>
        <v/>
      </c>
      <c r="B15" s="7">
        <f>Raw_Data!B15</f>
        <v/>
      </c>
      <c r="C15" s="2">
        <f>Raw_Data!C15</f>
        <v/>
      </c>
      <c r="D15" s="2">
        <f>Raw_Data!D15</f>
        <v/>
      </c>
      <c r="E15" s="8">
        <f>Raw_Data!F15</f>
        <v/>
      </c>
      <c r="F15" s="7">
        <f>Raw_Data!H15</f>
        <v/>
      </c>
      <c r="G15" s="7">
        <f>Raw_Data!I15</f>
        <v/>
      </c>
      <c r="H15" s="2">
        <f>Raw_Data!J15</f>
        <v/>
      </c>
      <c r="I15" s="2">
        <f>IF(G15="",0,G15-B15)</f>
        <v/>
      </c>
      <c r="J15" s="2">
        <f>IF(H15="Paid",MAX(0,G15-F15),MAX(0,DATE(2026,12,31)-F15))</f>
        <v/>
      </c>
      <c r="K15" s="8">
        <f>IF(H15="Paid",0,E15)</f>
        <v/>
      </c>
      <c r="L15" s="2">
        <f>IF(J15=0,"Current",IF(J15&lt;=30,"1-30 Days",IF(J15&lt;=60,"31-60 Days",IF(J15&lt;=90,"61-90 Days","90+ Days"))))</f>
        <v/>
      </c>
      <c r="M15" s="8">
        <f>IF(Raw_Data!K15="Yes",Raw_Data!F15*Raw_Data!L15,0)</f>
        <v/>
      </c>
      <c r="N15" s="2">
        <f>IF(H15&lt;&gt;"Paid","Outstanding",IF(J15=0,"On Time","Late"))</f>
        <v/>
      </c>
    </row>
    <row r="16">
      <c r="A16" s="2">
        <f>Raw_Data!A16</f>
        <v/>
      </c>
      <c r="B16" s="7">
        <f>Raw_Data!B16</f>
        <v/>
      </c>
      <c r="C16" s="2">
        <f>Raw_Data!C16</f>
        <v/>
      </c>
      <c r="D16" s="2">
        <f>Raw_Data!D16</f>
        <v/>
      </c>
      <c r="E16" s="8">
        <f>Raw_Data!F16</f>
        <v/>
      </c>
      <c r="F16" s="7">
        <f>Raw_Data!H16</f>
        <v/>
      </c>
      <c r="G16" s="7">
        <f>Raw_Data!I16</f>
        <v/>
      </c>
      <c r="H16" s="2">
        <f>Raw_Data!J16</f>
        <v/>
      </c>
      <c r="I16" s="2">
        <f>IF(G16="",0,G16-B16)</f>
        <v/>
      </c>
      <c r="J16" s="2">
        <f>IF(H16="Paid",MAX(0,G16-F16),MAX(0,DATE(2026,12,31)-F16))</f>
        <v/>
      </c>
      <c r="K16" s="8">
        <f>IF(H16="Paid",0,E16)</f>
        <v/>
      </c>
      <c r="L16" s="2">
        <f>IF(J16=0,"Current",IF(J16&lt;=30,"1-30 Days",IF(J16&lt;=60,"31-60 Days",IF(J16&lt;=90,"61-90 Days","90+ Days"))))</f>
        <v/>
      </c>
      <c r="M16" s="8">
        <f>IF(Raw_Data!K16="Yes",Raw_Data!F16*Raw_Data!L16,0)</f>
        <v/>
      </c>
      <c r="N16" s="2">
        <f>IF(H16&lt;&gt;"Paid","Outstanding",IF(J16=0,"On Time","Late"))</f>
        <v/>
      </c>
    </row>
    <row r="17">
      <c r="A17" s="2">
        <f>Raw_Data!A17</f>
        <v/>
      </c>
      <c r="B17" s="7">
        <f>Raw_Data!B17</f>
        <v/>
      </c>
      <c r="C17" s="2">
        <f>Raw_Data!C17</f>
        <v/>
      </c>
      <c r="D17" s="2">
        <f>Raw_Data!D17</f>
        <v/>
      </c>
      <c r="E17" s="8">
        <f>Raw_Data!F17</f>
        <v/>
      </c>
      <c r="F17" s="7">
        <f>Raw_Data!H17</f>
        <v/>
      </c>
      <c r="G17" s="7">
        <f>Raw_Data!I17</f>
        <v/>
      </c>
      <c r="H17" s="2">
        <f>Raw_Data!J17</f>
        <v/>
      </c>
      <c r="I17" s="2">
        <f>IF(G17="",0,G17-B17)</f>
        <v/>
      </c>
      <c r="J17" s="2">
        <f>IF(H17="Paid",MAX(0,G17-F17),MAX(0,DATE(2026,12,31)-F17))</f>
        <v/>
      </c>
      <c r="K17" s="8">
        <f>IF(H17="Paid",0,E17)</f>
        <v/>
      </c>
      <c r="L17" s="2">
        <f>IF(J17=0,"Current",IF(J17&lt;=30,"1-30 Days",IF(J17&lt;=60,"31-60 Days",IF(J17&lt;=90,"61-90 Days","90+ Days"))))</f>
        <v/>
      </c>
      <c r="M17" s="8">
        <f>IF(Raw_Data!K17="Yes",Raw_Data!F17*Raw_Data!L17,0)</f>
        <v/>
      </c>
      <c r="N17" s="2">
        <f>IF(H17&lt;&gt;"Paid","Outstanding",IF(J17=0,"On Time","Late"))</f>
        <v/>
      </c>
    </row>
    <row r="18">
      <c r="A18" s="2">
        <f>Raw_Data!A18</f>
        <v/>
      </c>
      <c r="B18" s="7">
        <f>Raw_Data!B18</f>
        <v/>
      </c>
      <c r="C18" s="2">
        <f>Raw_Data!C18</f>
        <v/>
      </c>
      <c r="D18" s="2">
        <f>Raw_Data!D18</f>
        <v/>
      </c>
      <c r="E18" s="8">
        <f>Raw_Data!F18</f>
        <v/>
      </c>
      <c r="F18" s="7">
        <f>Raw_Data!H18</f>
        <v/>
      </c>
      <c r="G18" s="7">
        <f>Raw_Data!I18</f>
        <v/>
      </c>
      <c r="H18" s="2">
        <f>Raw_Data!J18</f>
        <v/>
      </c>
      <c r="I18" s="2">
        <f>IF(G18="",0,G18-B18)</f>
        <v/>
      </c>
      <c r="J18" s="2">
        <f>IF(H18="Paid",MAX(0,G18-F18),MAX(0,DATE(2026,12,31)-F18))</f>
        <v/>
      </c>
      <c r="K18" s="8">
        <f>IF(H18="Paid",0,E18)</f>
        <v/>
      </c>
      <c r="L18" s="2">
        <f>IF(J18=0,"Current",IF(J18&lt;=30,"1-30 Days",IF(J18&lt;=60,"31-60 Days",IF(J18&lt;=90,"61-90 Days","90+ Days"))))</f>
        <v/>
      </c>
      <c r="M18" s="8">
        <f>IF(Raw_Data!K18="Yes",Raw_Data!F18*Raw_Data!L18,0)</f>
        <v/>
      </c>
      <c r="N18" s="2">
        <f>IF(H18&lt;&gt;"Paid","Outstanding",IF(J18=0,"On Time","Late"))</f>
        <v/>
      </c>
    </row>
    <row r="19">
      <c r="A19" s="2">
        <f>Raw_Data!A19</f>
        <v/>
      </c>
      <c r="B19" s="7">
        <f>Raw_Data!B19</f>
        <v/>
      </c>
      <c r="C19" s="2">
        <f>Raw_Data!C19</f>
        <v/>
      </c>
      <c r="D19" s="2">
        <f>Raw_Data!D19</f>
        <v/>
      </c>
      <c r="E19" s="8">
        <f>Raw_Data!F19</f>
        <v/>
      </c>
      <c r="F19" s="7">
        <f>Raw_Data!H19</f>
        <v/>
      </c>
      <c r="G19" s="7">
        <f>Raw_Data!I19</f>
        <v/>
      </c>
      <c r="H19" s="2">
        <f>Raw_Data!J19</f>
        <v/>
      </c>
      <c r="I19" s="2">
        <f>IF(G19="",0,G19-B19)</f>
        <v/>
      </c>
      <c r="J19" s="2">
        <f>IF(H19="Paid",MAX(0,G19-F19),MAX(0,DATE(2026,12,31)-F19))</f>
        <v/>
      </c>
      <c r="K19" s="8">
        <f>IF(H19="Paid",0,E19)</f>
        <v/>
      </c>
      <c r="L19" s="2">
        <f>IF(J19=0,"Current",IF(J19&lt;=30,"1-30 Days",IF(J19&lt;=60,"31-60 Days",IF(J19&lt;=90,"61-90 Days","90+ Days"))))</f>
        <v/>
      </c>
      <c r="M19" s="8">
        <f>IF(Raw_Data!K19="Yes",Raw_Data!F19*Raw_Data!L19,0)</f>
        <v/>
      </c>
      <c r="N19" s="2">
        <f>IF(H19&lt;&gt;"Paid","Outstanding",IF(J19=0,"On Time","Late"))</f>
        <v/>
      </c>
    </row>
    <row r="20">
      <c r="A20" s="2">
        <f>Raw_Data!A20</f>
        <v/>
      </c>
      <c r="B20" s="7">
        <f>Raw_Data!B20</f>
        <v/>
      </c>
      <c r="C20" s="2">
        <f>Raw_Data!C20</f>
        <v/>
      </c>
      <c r="D20" s="2">
        <f>Raw_Data!D20</f>
        <v/>
      </c>
      <c r="E20" s="8">
        <f>Raw_Data!F20</f>
        <v/>
      </c>
      <c r="F20" s="7">
        <f>Raw_Data!H20</f>
        <v/>
      </c>
      <c r="G20" s="7">
        <f>Raw_Data!I20</f>
        <v/>
      </c>
      <c r="H20" s="2">
        <f>Raw_Data!J20</f>
        <v/>
      </c>
      <c r="I20" s="2">
        <f>IF(G20="",0,G20-B20)</f>
        <v/>
      </c>
      <c r="J20" s="2">
        <f>IF(H20="Paid",MAX(0,G20-F20),MAX(0,DATE(2026,12,31)-F20))</f>
        <v/>
      </c>
      <c r="K20" s="8">
        <f>IF(H20="Paid",0,E20)</f>
        <v/>
      </c>
      <c r="L20" s="2">
        <f>IF(J20=0,"Current",IF(J20&lt;=30,"1-30 Days",IF(J20&lt;=60,"31-60 Days",IF(J20&lt;=90,"61-90 Days","90+ Days"))))</f>
        <v/>
      </c>
      <c r="M20" s="8">
        <f>IF(Raw_Data!K20="Yes",Raw_Data!F20*Raw_Data!L20,0)</f>
        <v/>
      </c>
      <c r="N20" s="2">
        <f>IF(H20&lt;&gt;"Paid","Outstanding",IF(J20=0,"On Time","Late"))</f>
        <v/>
      </c>
    </row>
    <row r="21">
      <c r="A21" s="2">
        <f>Raw_Data!A21</f>
        <v/>
      </c>
      <c r="B21" s="7">
        <f>Raw_Data!B21</f>
        <v/>
      </c>
      <c r="C21" s="2">
        <f>Raw_Data!C21</f>
        <v/>
      </c>
      <c r="D21" s="2">
        <f>Raw_Data!D21</f>
        <v/>
      </c>
      <c r="E21" s="8">
        <f>Raw_Data!F21</f>
        <v/>
      </c>
      <c r="F21" s="7">
        <f>Raw_Data!H21</f>
        <v/>
      </c>
      <c r="G21" s="7">
        <f>Raw_Data!I21</f>
        <v/>
      </c>
      <c r="H21" s="2">
        <f>Raw_Data!J21</f>
        <v/>
      </c>
      <c r="I21" s="2">
        <f>IF(G21="",0,G21-B21)</f>
        <v/>
      </c>
      <c r="J21" s="2">
        <f>IF(H21="Paid",MAX(0,G21-F21),MAX(0,DATE(2026,12,31)-F21))</f>
        <v/>
      </c>
      <c r="K21" s="8">
        <f>IF(H21="Paid",0,E21)</f>
        <v/>
      </c>
      <c r="L21" s="2">
        <f>IF(J21=0,"Current",IF(J21&lt;=30,"1-30 Days",IF(J21&lt;=60,"31-60 Days",IF(J21&lt;=90,"61-90 Days","90+ Days"))))</f>
        <v/>
      </c>
      <c r="M21" s="8">
        <f>IF(Raw_Data!K21="Yes",Raw_Data!F21*Raw_Data!L21,0)</f>
        <v/>
      </c>
      <c r="N21" s="2">
        <f>IF(H21&lt;&gt;"Paid","Outstanding",IF(J21=0,"On Time","Late"))</f>
        <v/>
      </c>
    </row>
    <row r="22">
      <c r="A22" s="2">
        <f>Raw_Data!A22</f>
        <v/>
      </c>
      <c r="B22" s="7">
        <f>Raw_Data!B22</f>
        <v/>
      </c>
      <c r="C22" s="2">
        <f>Raw_Data!C22</f>
        <v/>
      </c>
      <c r="D22" s="2">
        <f>Raw_Data!D22</f>
        <v/>
      </c>
      <c r="E22" s="8">
        <f>Raw_Data!F22</f>
        <v/>
      </c>
      <c r="F22" s="7">
        <f>Raw_Data!H22</f>
        <v/>
      </c>
      <c r="G22" s="7">
        <f>Raw_Data!I22</f>
        <v/>
      </c>
      <c r="H22" s="2">
        <f>Raw_Data!J22</f>
        <v/>
      </c>
      <c r="I22" s="2">
        <f>IF(G22="",0,G22-B22)</f>
        <v/>
      </c>
      <c r="J22" s="2">
        <f>IF(H22="Paid",MAX(0,G22-F22),MAX(0,DATE(2026,12,31)-F22))</f>
        <v/>
      </c>
      <c r="K22" s="8">
        <f>IF(H22="Paid",0,E22)</f>
        <v/>
      </c>
      <c r="L22" s="2">
        <f>IF(J22=0,"Current",IF(J22&lt;=30,"1-30 Days",IF(J22&lt;=60,"31-60 Days",IF(J22&lt;=90,"61-90 Days","90+ Days"))))</f>
        <v/>
      </c>
      <c r="M22" s="8">
        <f>IF(Raw_Data!K22="Yes",Raw_Data!F22*Raw_Data!L22,0)</f>
        <v/>
      </c>
      <c r="N22" s="2">
        <f>IF(H22&lt;&gt;"Paid","Outstanding",IF(J22=0,"On Time","Late"))</f>
        <v/>
      </c>
    </row>
    <row r="23">
      <c r="A23" s="2">
        <f>Raw_Data!A23</f>
        <v/>
      </c>
      <c r="B23" s="7">
        <f>Raw_Data!B23</f>
        <v/>
      </c>
      <c r="C23" s="2">
        <f>Raw_Data!C23</f>
        <v/>
      </c>
      <c r="D23" s="2">
        <f>Raw_Data!D23</f>
        <v/>
      </c>
      <c r="E23" s="8">
        <f>Raw_Data!F23</f>
        <v/>
      </c>
      <c r="F23" s="7">
        <f>Raw_Data!H23</f>
        <v/>
      </c>
      <c r="G23" s="7">
        <f>Raw_Data!I23</f>
        <v/>
      </c>
      <c r="H23" s="2">
        <f>Raw_Data!J23</f>
        <v/>
      </c>
      <c r="I23" s="2">
        <f>IF(G23="",0,G23-B23)</f>
        <v/>
      </c>
      <c r="J23" s="2">
        <f>IF(H23="Paid",MAX(0,G23-F23),MAX(0,DATE(2026,12,31)-F23))</f>
        <v/>
      </c>
      <c r="K23" s="8">
        <f>IF(H23="Paid",0,E23)</f>
        <v/>
      </c>
      <c r="L23" s="2">
        <f>IF(J23=0,"Current",IF(J23&lt;=30,"1-30 Days",IF(J23&lt;=60,"31-60 Days",IF(J23&lt;=90,"61-90 Days","90+ Days"))))</f>
        <v/>
      </c>
      <c r="M23" s="8">
        <f>IF(Raw_Data!K23="Yes",Raw_Data!F23*Raw_Data!L23,0)</f>
        <v/>
      </c>
      <c r="N23" s="2">
        <f>IF(H23&lt;&gt;"Paid","Outstanding",IF(J23=0,"On Time","Late"))</f>
        <v/>
      </c>
    </row>
    <row r="24">
      <c r="A24" s="2">
        <f>Raw_Data!A24</f>
        <v/>
      </c>
      <c r="B24" s="7">
        <f>Raw_Data!B24</f>
        <v/>
      </c>
      <c r="C24" s="2">
        <f>Raw_Data!C24</f>
        <v/>
      </c>
      <c r="D24" s="2">
        <f>Raw_Data!D24</f>
        <v/>
      </c>
      <c r="E24" s="8">
        <f>Raw_Data!F24</f>
        <v/>
      </c>
      <c r="F24" s="7">
        <f>Raw_Data!H24</f>
        <v/>
      </c>
      <c r="G24" s="7">
        <f>Raw_Data!I24</f>
        <v/>
      </c>
      <c r="H24" s="2">
        <f>Raw_Data!J24</f>
        <v/>
      </c>
      <c r="I24" s="2">
        <f>IF(G24="",0,G24-B24)</f>
        <v/>
      </c>
      <c r="J24" s="2">
        <f>IF(H24="Paid",MAX(0,G24-F24),MAX(0,DATE(2026,12,31)-F24))</f>
        <v/>
      </c>
      <c r="K24" s="8">
        <f>IF(H24="Paid",0,E24)</f>
        <v/>
      </c>
      <c r="L24" s="2">
        <f>IF(J24=0,"Current",IF(J24&lt;=30,"1-30 Days",IF(J24&lt;=60,"31-60 Days",IF(J24&lt;=90,"61-90 Days","90+ Days"))))</f>
        <v/>
      </c>
      <c r="M24" s="8">
        <f>IF(Raw_Data!K24="Yes",Raw_Data!F24*Raw_Data!L24,0)</f>
        <v/>
      </c>
      <c r="N24" s="2">
        <f>IF(H24&lt;&gt;"Paid","Outstanding",IF(J24=0,"On Time","Late"))</f>
        <v/>
      </c>
    </row>
    <row r="25">
      <c r="A25" s="2">
        <f>Raw_Data!A25</f>
        <v/>
      </c>
      <c r="B25" s="7">
        <f>Raw_Data!B25</f>
        <v/>
      </c>
      <c r="C25" s="2">
        <f>Raw_Data!C25</f>
        <v/>
      </c>
      <c r="D25" s="2">
        <f>Raw_Data!D25</f>
        <v/>
      </c>
      <c r="E25" s="8">
        <f>Raw_Data!F25</f>
        <v/>
      </c>
      <c r="F25" s="7">
        <f>Raw_Data!H25</f>
        <v/>
      </c>
      <c r="G25" s="7">
        <f>Raw_Data!I25</f>
        <v/>
      </c>
      <c r="H25" s="2">
        <f>Raw_Data!J25</f>
        <v/>
      </c>
      <c r="I25" s="2">
        <f>IF(G25="",0,G25-B25)</f>
        <v/>
      </c>
      <c r="J25" s="2">
        <f>IF(H25="Paid",MAX(0,G25-F25),MAX(0,DATE(2026,12,31)-F25))</f>
        <v/>
      </c>
      <c r="K25" s="8">
        <f>IF(H25="Paid",0,E25)</f>
        <v/>
      </c>
      <c r="L25" s="2">
        <f>IF(J25=0,"Current",IF(J25&lt;=30,"1-30 Days",IF(J25&lt;=60,"31-60 Days",IF(J25&lt;=90,"61-90 Days","90+ Days"))))</f>
        <v/>
      </c>
      <c r="M25" s="8">
        <f>IF(Raw_Data!K25="Yes",Raw_Data!F25*Raw_Data!L25,0)</f>
        <v/>
      </c>
      <c r="N25" s="2">
        <f>IF(H25&lt;&gt;"Paid","Outstanding",IF(J25=0,"On Time","Late"))</f>
        <v/>
      </c>
    </row>
    <row r="26">
      <c r="A26" s="2">
        <f>Raw_Data!A26</f>
        <v/>
      </c>
      <c r="B26" s="7">
        <f>Raw_Data!B26</f>
        <v/>
      </c>
      <c r="C26" s="2">
        <f>Raw_Data!C26</f>
        <v/>
      </c>
      <c r="D26" s="2">
        <f>Raw_Data!D26</f>
        <v/>
      </c>
      <c r="E26" s="8">
        <f>Raw_Data!F26</f>
        <v/>
      </c>
      <c r="F26" s="7">
        <f>Raw_Data!H26</f>
        <v/>
      </c>
      <c r="G26" s="7">
        <f>Raw_Data!I26</f>
        <v/>
      </c>
      <c r="H26" s="2">
        <f>Raw_Data!J26</f>
        <v/>
      </c>
      <c r="I26" s="2">
        <f>IF(G26="",0,G26-B26)</f>
        <v/>
      </c>
      <c r="J26" s="2">
        <f>IF(H26="Paid",MAX(0,G26-F26),MAX(0,DATE(2026,12,31)-F26))</f>
        <v/>
      </c>
      <c r="K26" s="8">
        <f>IF(H26="Paid",0,E26)</f>
        <v/>
      </c>
      <c r="L26" s="2">
        <f>IF(J26=0,"Current",IF(J26&lt;=30,"1-30 Days",IF(J26&lt;=60,"31-60 Days",IF(J26&lt;=90,"61-90 Days","90+ Days"))))</f>
        <v/>
      </c>
      <c r="M26" s="8">
        <f>IF(Raw_Data!K26="Yes",Raw_Data!F26*Raw_Data!L26,0)</f>
        <v/>
      </c>
      <c r="N26" s="2">
        <f>IF(H26&lt;&gt;"Paid","Outstanding",IF(J26=0,"On Time","Late"))</f>
        <v/>
      </c>
    </row>
    <row r="27">
      <c r="A27" s="2">
        <f>Raw_Data!A27</f>
        <v/>
      </c>
      <c r="B27" s="7">
        <f>Raw_Data!B27</f>
        <v/>
      </c>
      <c r="C27" s="2">
        <f>Raw_Data!C27</f>
        <v/>
      </c>
      <c r="D27" s="2">
        <f>Raw_Data!D27</f>
        <v/>
      </c>
      <c r="E27" s="8">
        <f>Raw_Data!F27</f>
        <v/>
      </c>
      <c r="F27" s="7">
        <f>Raw_Data!H27</f>
        <v/>
      </c>
      <c r="G27" s="7">
        <f>Raw_Data!I27</f>
        <v/>
      </c>
      <c r="H27" s="2">
        <f>Raw_Data!J27</f>
        <v/>
      </c>
      <c r="I27" s="2">
        <f>IF(G27="",0,G27-B27)</f>
        <v/>
      </c>
      <c r="J27" s="2">
        <f>IF(H27="Paid",MAX(0,G27-F27),MAX(0,DATE(2026,12,31)-F27))</f>
        <v/>
      </c>
      <c r="K27" s="8">
        <f>IF(H27="Paid",0,E27)</f>
        <v/>
      </c>
      <c r="L27" s="2">
        <f>IF(J27=0,"Current",IF(J27&lt;=30,"1-30 Days",IF(J27&lt;=60,"31-60 Days",IF(J27&lt;=90,"61-90 Days","90+ Days"))))</f>
        <v/>
      </c>
      <c r="M27" s="8">
        <f>IF(Raw_Data!K27="Yes",Raw_Data!F27*Raw_Data!L27,0)</f>
        <v/>
      </c>
      <c r="N27" s="2">
        <f>IF(H27&lt;&gt;"Paid","Outstanding",IF(J27=0,"On Time","Late"))</f>
        <v/>
      </c>
    </row>
    <row r="28">
      <c r="A28" s="2">
        <f>Raw_Data!A28</f>
        <v/>
      </c>
      <c r="B28" s="7">
        <f>Raw_Data!B28</f>
        <v/>
      </c>
      <c r="C28" s="2">
        <f>Raw_Data!C28</f>
        <v/>
      </c>
      <c r="D28" s="2">
        <f>Raw_Data!D28</f>
        <v/>
      </c>
      <c r="E28" s="8">
        <f>Raw_Data!F28</f>
        <v/>
      </c>
      <c r="F28" s="7">
        <f>Raw_Data!H28</f>
        <v/>
      </c>
      <c r="G28" s="7">
        <f>Raw_Data!I28</f>
        <v/>
      </c>
      <c r="H28" s="2">
        <f>Raw_Data!J28</f>
        <v/>
      </c>
      <c r="I28" s="2">
        <f>IF(G28="",0,G28-B28)</f>
        <v/>
      </c>
      <c r="J28" s="2">
        <f>IF(H28="Paid",MAX(0,G28-F28),MAX(0,DATE(2026,12,31)-F28))</f>
        <v/>
      </c>
      <c r="K28" s="8">
        <f>IF(H28="Paid",0,E28)</f>
        <v/>
      </c>
      <c r="L28" s="2">
        <f>IF(J28=0,"Current",IF(J28&lt;=30,"1-30 Days",IF(J28&lt;=60,"31-60 Days",IF(J28&lt;=90,"61-90 Days","90+ Days"))))</f>
        <v/>
      </c>
      <c r="M28" s="8">
        <f>IF(Raw_Data!K28="Yes",Raw_Data!F28*Raw_Data!L28,0)</f>
        <v/>
      </c>
      <c r="N28" s="2">
        <f>IF(H28&lt;&gt;"Paid","Outstanding",IF(J28=0,"On Time","Late"))</f>
        <v/>
      </c>
    </row>
    <row r="29">
      <c r="A29" s="2">
        <f>Raw_Data!A29</f>
        <v/>
      </c>
      <c r="B29" s="7">
        <f>Raw_Data!B29</f>
        <v/>
      </c>
      <c r="C29" s="2">
        <f>Raw_Data!C29</f>
        <v/>
      </c>
      <c r="D29" s="2">
        <f>Raw_Data!D29</f>
        <v/>
      </c>
      <c r="E29" s="8">
        <f>Raw_Data!F29</f>
        <v/>
      </c>
      <c r="F29" s="7">
        <f>Raw_Data!H29</f>
        <v/>
      </c>
      <c r="G29" s="7">
        <f>Raw_Data!I29</f>
        <v/>
      </c>
      <c r="H29" s="2">
        <f>Raw_Data!J29</f>
        <v/>
      </c>
      <c r="I29" s="2">
        <f>IF(G29="",0,G29-B29)</f>
        <v/>
      </c>
      <c r="J29" s="2">
        <f>IF(H29="Paid",MAX(0,G29-F29),MAX(0,DATE(2026,12,31)-F29))</f>
        <v/>
      </c>
      <c r="K29" s="8">
        <f>IF(H29="Paid",0,E29)</f>
        <v/>
      </c>
      <c r="L29" s="2">
        <f>IF(J29=0,"Current",IF(J29&lt;=30,"1-30 Days",IF(J29&lt;=60,"31-60 Days",IF(J29&lt;=90,"61-90 Days","90+ Days"))))</f>
        <v/>
      </c>
      <c r="M29" s="8">
        <f>IF(Raw_Data!K29="Yes",Raw_Data!F29*Raw_Data!L29,0)</f>
        <v/>
      </c>
      <c r="N29" s="2">
        <f>IF(H29&lt;&gt;"Paid","Outstanding",IF(J29=0,"On Time","Late"))</f>
        <v/>
      </c>
    </row>
    <row r="30">
      <c r="A30" s="2">
        <f>Raw_Data!A30</f>
        <v/>
      </c>
      <c r="B30" s="7">
        <f>Raw_Data!B30</f>
        <v/>
      </c>
      <c r="C30" s="2">
        <f>Raw_Data!C30</f>
        <v/>
      </c>
      <c r="D30" s="2">
        <f>Raw_Data!D30</f>
        <v/>
      </c>
      <c r="E30" s="8">
        <f>Raw_Data!F30</f>
        <v/>
      </c>
      <c r="F30" s="7">
        <f>Raw_Data!H30</f>
        <v/>
      </c>
      <c r="G30" s="7">
        <f>Raw_Data!I30</f>
        <v/>
      </c>
      <c r="H30" s="2">
        <f>Raw_Data!J30</f>
        <v/>
      </c>
      <c r="I30" s="2">
        <f>IF(G30="",0,G30-B30)</f>
        <v/>
      </c>
      <c r="J30" s="2">
        <f>IF(H30="Paid",MAX(0,G30-F30),MAX(0,DATE(2026,12,31)-F30))</f>
        <v/>
      </c>
      <c r="K30" s="8">
        <f>IF(H30="Paid",0,E30)</f>
        <v/>
      </c>
      <c r="L30" s="2">
        <f>IF(J30=0,"Current",IF(J30&lt;=30,"1-30 Days",IF(J30&lt;=60,"31-60 Days",IF(J30&lt;=90,"61-90 Days","90+ Days"))))</f>
        <v/>
      </c>
      <c r="M30" s="8">
        <f>IF(Raw_Data!K30="Yes",Raw_Data!F30*Raw_Data!L30,0)</f>
        <v/>
      </c>
      <c r="N30" s="2">
        <f>IF(H30&lt;&gt;"Paid","Outstanding",IF(J30=0,"On Time","Late"))</f>
        <v/>
      </c>
    </row>
    <row r="31">
      <c r="A31" s="2">
        <f>Raw_Data!A31</f>
        <v/>
      </c>
      <c r="B31" s="7">
        <f>Raw_Data!B31</f>
        <v/>
      </c>
      <c r="C31" s="2">
        <f>Raw_Data!C31</f>
        <v/>
      </c>
      <c r="D31" s="2">
        <f>Raw_Data!D31</f>
        <v/>
      </c>
      <c r="E31" s="8">
        <f>Raw_Data!F31</f>
        <v/>
      </c>
      <c r="F31" s="7">
        <f>Raw_Data!H31</f>
        <v/>
      </c>
      <c r="G31" s="7">
        <f>Raw_Data!I31</f>
        <v/>
      </c>
      <c r="H31" s="2">
        <f>Raw_Data!J31</f>
        <v/>
      </c>
      <c r="I31" s="2">
        <f>IF(G31="",0,G31-B31)</f>
        <v/>
      </c>
      <c r="J31" s="2">
        <f>IF(H31="Paid",MAX(0,G31-F31),MAX(0,DATE(2026,12,31)-F31))</f>
        <v/>
      </c>
      <c r="K31" s="8">
        <f>IF(H31="Paid",0,E31)</f>
        <v/>
      </c>
      <c r="L31" s="2">
        <f>IF(J31=0,"Current",IF(J31&lt;=30,"1-30 Days",IF(J31&lt;=60,"31-60 Days",IF(J31&lt;=90,"61-90 Days","90+ Days"))))</f>
        <v/>
      </c>
      <c r="M31" s="8">
        <f>IF(Raw_Data!K31="Yes",Raw_Data!F31*Raw_Data!L31,0)</f>
        <v/>
      </c>
      <c r="N31" s="2">
        <f>IF(H31&lt;&gt;"Paid","Outstanding",IF(J31=0,"On Time","Late"))</f>
        <v/>
      </c>
    </row>
    <row r="32">
      <c r="A32" s="2">
        <f>Raw_Data!A32</f>
        <v/>
      </c>
      <c r="B32" s="7">
        <f>Raw_Data!B32</f>
        <v/>
      </c>
      <c r="C32" s="2">
        <f>Raw_Data!C32</f>
        <v/>
      </c>
      <c r="D32" s="2">
        <f>Raw_Data!D32</f>
        <v/>
      </c>
      <c r="E32" s="8">
        <f>Raw_Data!F32</f>
        <v/>
      </c>
      <c r="F32" s="7">
        <f>Raw_Data!H32</f>
        <v/>
      </c>
      <c r="G32" s="7">
        <f>Raw_Data!I32</f>
        <v/>
      </c>
      <c r="H32" s="2">
        <f>Raw_Data!J32</f>
        <v/>
      </c>
      <c r="I32" s="2">
        <f>IF(G32="",0,G32-B32)</f>
        <v/>
      </c>
      <c r="J32" s="2">
        <f>IF(H32="Paid",MAX(0,G32-F32),MAX(0,DATE(2026,12,31)-F32))</f>
        <v/>
      </c>
      <c r="K32" s="8">
        <f>IF(H32="Paid",0,E32)</f>
        <v/>
      </c>
      <c r="L32" s="2">
        <f>IF(J32=0,"Current",IF(J32&lt;=30,"1-30 Days",IF(J32&lt;=60,"31-60 Days",IF(J32&lt;=90,"61-90 Days","90+ Days"))))</f>
        <v/>
      </c>
      <c r="M32" s="8">
        <f>IF(Raw_Data!K32="Yes",Raw_Data!F32*Raw_Data!L32,0)</f>
        <v/>
      </c>
      <c r="N32" s="2">
        <f>IF(H32&lt;&gt;"Paid","Outstanding",IF(J32=0,"On Time","Late"))</f>
        <v/>
      </c>
    </row>
    <row r="33">
      <c r="A33" s="2">
        <f>Raw_Data!A33</f>
        <v/>
      </c>
      <c r="B33" s="7">
        <f>Raw_Data!B33</f>
        <v/>
      </c>
      <c r="C33" s="2">
        <f>Raw_Data!C33</f>
        <v/>
      </c>
      <c r="D33" s="2">
        <f>Raw_Data!D33</f>
        <v/>
      </c>
      <c r="E33" s="8">
        <f>Raw_Data!F33</f>
        <v/>
      </c>
      <c r="F33" s="7">
        <f>Raw_Data!H33</f>
        <v/>
      </c>
      <c r="G33" s="7">
        <f>Raw_Data!I33</f>
        <v/>
      </c>
      <c r="H33" s="2">
        <f>Raw_Data!J33</f>
        <v/>
      </c>
      <c r="I33" s="2">
        <f>IF(G33="",0,G33-B33)</f>
        <v/>
      </c>
      <c r="J33" s="2">
        <f>IF(H33="Paid",MAX(0,G33-F33),MAX(0,DATE(2026,12,31)-F33))</f>
        <v/>
      </c>
      <c r="K33" s="8">
        <f>IF(H33="Paid",0,E33)</f>
        <v/>
      </c>
      <c r="L33" s="2">
        <f>IF(J33=0,"Current",IF(J33&lt;=30,"1-30 Days",IF(J33&lt;=60,"31-60 Days",IF(J33&lt;=90,"61-90 Days","90+ Days"))))</f>
        <v/>
      </c>
      <c r="M33" s="8">
        <f>IF(Raw_Data!K33="Yes",Raw_Data!F33*Raw_Data!L33,0)</f>
        <v/>
      </c>
      <c r="N33" s="2">
        <f>IF(H33&lt;&gt;"Paid","Outstanding",IF(J33=0,"On Time","Late"))</f>
        <v/>
      </c>
    </row>
    <row r="34">
      <c r="A34" s="2">
        <f>Raw_Data!A34</f>
        <v/>
      </c>
      <c r="B34" s="7">
        <f>Raw_Data!B34</f>
        <v/>
      </c>
      <c r="C34" s="2">
        <f>Raw_Data!C34</f>
        <v/>
      </c>
      <c r="D34" s="2">
        <f>Raw_Data!D34</f>
        <v/>
      </c>
      <c r="E34" s="8">
        <f>Raw_Data!F34</f>
        <v/>
      </c>
      <c r="F34" s="7">
        <f>Raw_Data!H34</f>
        <v/>
      </c>
      <c r="G34" s="7">
        <f>Raw_Data!I34</f>
        <v/>
      </c>
      <c r="H34" s="2">
        <f>Raw_Data!J34</f>
        <v/>
      </c>
      <c r="I34" s="2">
        <f>IF(G34="",0,G34-B34)</f>
        <v/>
      </c>
      <c r="J34" s="2">
        <f>IF(H34="Paid",MAX(0,G34-F34),MAX(0,DATE(2026,12,31)-F34))</f>
        <v/>
      </c>
      <c r="K34" s="8">
        <f>IF(H34="Paid",0,E34)</f>
        <v/>
      </c>
      <c r="L34" s="2">
        <f>IF(J34=0,"Current",IF(J34&lt;=30,"1-30 Days",IF(J34&lt;=60,"31-60 Days",IF(J34&lt;=90,"61-90 Days","90+ Days"))))</f>
        <v/>
      </c>
      <c r="M34" s="8">
        <f>IF(Raw_Data!K34="Yes",Raw_Data!F34*Raw_Data!L34,0)</f>
        <v/>
      </c>
      <c r="N34" s="2">
        <f>IF(H34&lt;&gt;"Paid","Outstanding",IF(J34=0,"On Time","Late"))</f>
        <v/>
      </c>
    </row>
    <row r="35">
      <c r="A35" s="2">
        <f>Raw_Data!A35</f>
        <v/>
      </c>
      <c r="B35" s="7">
        <f>Raw_Data!B35</f>
        <v/>
      </c>
      <c r="C35" s="2">
        <f>Raw_Data!C35</f>
        <v/>
      </c>
      <c r="D35" s="2">
        <f>Raw_Data!D35</f>
        <v/>
      </c>
      <c r="E35" s="8">
        <f>Raw_Data!F35</f>
        <v/>
      </c>
      <c r="F35" s="7">
        <f>Raw_Data!H35</f>
        <v/>
      </c>
      <c r="G35" s="7">
        <f>Raw_Data!I35</f>
        <v/>
      </c>
      <c r="H35" s="2">
        <f>Raw_Data!J35</f>
        <v/>
      </c>
      <c r="I35" s="2">
        <f>IF(G35="",0,G35-B35)</f>
        <v/>
      </c>
      <c r="J35" s="2">
        <f>IF(H35="Paid",MAX(0,G35-F35),MAX(0,DATE(2026,12,31)-F35))</f>
        <v/>
      </c>
      <c r="K35" s="8">
        <f>IF(H35="Paid",0,E35)</f>
        <v/>
      </c>
      <c r="L35" s="2">
        <f>IF(J35=0,"Current",IF(J35&lt;=30,"1-30 Days",IF(J35&lt;=60,"31-60 Days",IF(J35&lt;=90,"61-90 Days","90+ Days"))))</f>
        <v/>
      </c>
      <c r="M35" s="8">
        <f>IF(Raw_Data!K35="Yes",Raw_Data!F35*Raw_Data!L35,0)</f>
        <v/>
      </c>
      <c r="N35" s="2">
        <f>IF(H35&lt;&gt;"Paid","Outstanding",IF(J35=0,"On Time","Late"))</f>
        <v/>
      </c>
    </row>
    <row r="36">
      <c r="A36" s="2">
        <f>Raw_Data!A36</f>
        <v/>
      </c>
      <c r="B36" s="7">
        <f>Raw_Data!B36</f>
        <v/>
      </c>
      <c r="C36" s="2">
        <f>Raw_Data!C36</f>
        <v/>
      </c>
      <c r="D36" s="2">
        <f>Raw_Data!D36</f>
        <v/>
      </c>
      <c r="E36" s="8">
        <f>Raw_Data!F36</f>
        <v/>
      </c>
      <c r="F36" s="7">
        <f>Raw_Data!H36</f>
        <v/>
      </c>
      <c r="G36" s="7">
        <f>Raw_Data!I36</f>
        <v/>
      </c>
      <c r="H36" s="2">
        <f>Raw_Data!J36</f>
        <v/>
      </c>
      <c r="I36" s="2">
        <f>IF(G36="",0,G36-B36)</f>
        <v/>
      </c>
      <c r="J36" s="2">
        <f>IF(H36="Paid",MAX(0,G36-F36),MAX(0,DATE(2026,12,31)-F36))</f>
        <v/>
      </c>
      <c r="K36" s="8">
        <f>IF(H36="Paid",0,E36)</f>
        <v/>
      </c>
      <c r="L36" s="2">
        <f>IF(J36=0,"Current",IF(J36&lt;=30,"1-30 Days",IF(J36&lt;=60,"31-60 Days",IF(J36&lt;=90,"61-90 Days","90+ Days"))))</f>
        <v/>
      </c>
      <c r="M36" s="8">
        <f>IF(Raw_Data!K36="Yes",Raw_Data!F36*Raw_Data!L36,0)</f>
        <v/>
      </c>
      <c r="N36" s="2">
        <f>IF(H36&lt;&gt;"Paid","Outstanding",IF(J36=0,"On Time","Late"))</f>
        <v/>
      </c>
    </row>
    <row r="37">
      <c r="A37" s="2">
        <f>Raw_Data!A37</f>
        <v/>
      </c>
      <c r="B37" s="7">
        <f>Raw_Data!B37</f>
        <v/>
      </c>
      <c r="C37" s="2">
        <f>Raw_Data!C37</f>
        <v/>
      </c>
      <c r="D37" s="2">
        <f>Raw_Data!D37</f>
        <v/>
      </c>
      <c r="E37" s="8">
        <f>Raw_Data!F37</f>
        <v/>
      </c>
      <c r="F37" s="7">
        <f>Raw_Data!H37</f>
        <v/>
      </c>
      <c r="G37" s="7">
        <f>Raw_Data!I37</f>
        <v/>
      </c>
      <c r="H37" s="2">
        <f>Raw_Data!J37</f>
        <v/>
      </c>
      <c r="I37" s="2">
        <f>IF(G37="",0,G37-B37)</f>
        <v/>
      </c>
      <c r="J37" s="2">
        <f>IF(H37="Paid",MAX(0,G37-F37),MAX(0,DATE(2026,12,31)-F37))</f>
        <v/>
      </c>
      <c r="K37" s="8">
        <f>IF(H37="Paid",0,E37)</f>
        <v/>
      </c>
      <c r="L37" s="2">
        <f>IF(J37=0,"Current",IF(J37&lt;=30,"1-30 Days",IF(J37&lt;=60,"31-60 Days",IF(J37&lt;=90,"61-90 Days","90+ Days"))))</f>
        <v/>
      </c>
      <c r="M37" s="8">
        <f>IF(Raw_Data!K37="Yes",Raw_Data!F37*Raw_Data!L37,0)</f>
        <v/>
      </c>
      <c r="N37" s="2">
        <f>IF(H37&lt;&gt;"Paid","Outstanding",IF(J37=0,"On Time","Late"))</f>
        <v/>
      </c>
    </row>
    <row r="38">
      <c r="A38" s="2">
        <f>Raw_Data!A38</f>
        <v/>
      </c>
      <c r="B38" s="7">
        <f>Raw_Data!B38</f>
        <v/>
      </c>
      <c r="C38" s="2">
        <f>Raw_Data!C38</f>
        <v/>
      </c>
      <c r="D38" s="2">
        <f>Raw_Data!D38</f>
        <v/>
      </c>
      <c r="E38" s="8">
        <f>Raw_Data!F38</f>
        <v/>
      </c>
      <c r="F38" s="7">
        <f>Raw_Data!H38</f>
        <v/>
      </c>
      <c r="G38" s="7">
        <f>Raw_Data!I38</f>
        <v/>
      </c>
      <c r="H38" s="2">
        <f>Raw_Data!J38</f>
        <v/>
      </c>
      <c r="I38" s="2">
        <f>IF(G38="",0,G38-B38)</f>
        <v/>
      </c>
      <c r="J38" s="2">
        <f>IF(H38="Paid",MAX(0,G38-F38),MAX(0,DATE(2026,12,31)-F38))</f>
        <v/>
      </c>
      <c r="K38" s="8">
        <f>IF(H38="Paid",0,E38)</f>
        <v/>
      </c>
      <c r="L38" s="2">
        <f>IF(J38=0,"Current",IF(J38&lt;=30,"1-30 Days",IF(J38&lt;=60,"31-60 Days",IF(J38&lt;=90,"61-90 Days","90+ Days"))))</f>
        <v/>
      </c>
      <c r="M38" s="8">
        <f>IF(Raw_Data!K38="Yes",Raw_Data!F38*Raw_Data!L38,0)</f>
        <v/>
      </c>
      <c r="N38" s="2">
        <f>IF(H38&lt;&gt;"Paid","Outstanding",IF(J38=0,"On Time","Late"))</f>
        <v/>
      </c>
    </row>
    <row r="39">
      <c r="A39" s="2">
        <f>Raw_Data!A39</f>
        <v/>
      </c>
      <c r="B39" s="7">
        <f>Raw_Data!B39</f>
        <v/>
      </c>
      <c r="C39" s="2">
        <f>Raw_Data!C39</f>
        <v/>
      </c>
      <c r="D39" s="2">
        <f>Raw_Data!D39</f>
        <v/>
      </c>
      <c r="E39" s="8">
        <f>Raw_Data!F39</f>
        <v/>
      </c>
      <c r="F39" s="7">
        <f>Raw_Data!H39</f>
        <v/>
      </c>
      <c r="G39" s="7">
        <f>Raw_Data!I39</f>
        <v/>
      </c>
      <c r="H39" s="2">
        <f>Raw_Data!J39</f>
        <v/>
      </c>
      <c r="I39" s="2">
        <f>IF(G39="",0,G39-B39)</f>
        <v/>
      </c>
      <c r="J39" s="2">
        <f>IF(H39="Paid",MAX(0,G39-F39),MAX(0,DATE(2026,12,31)-F39))</f>
        <v/>
      </c>
      <c r="K39" s="8">
        <f>IF(H39="Paid",0,E39)</f>
        <v/>
      </c>
      <c r="L39" s="2">
        <f>IF(J39=0,"Current",IF(J39&lt;=30,"1-30 Days",IF(J39&lt;=60,"31-60 Days",IF(J39&lt;=90,"61-90 Days","90+ Days"))))</f>
        <v/>
      </c>
      <c r="M39" s="8">
        <f>IF(Raw_Data!K39="Yes",Raw_Data!F39*Raw_Data!L39,0)</f>
        <v/>
      </c>
      <c r="N39" s="2">
        <f>IF(H39&lt;&gt;"Paid","Outstanding",IF(J39=0,"On Time","Late"))</f>
        <v/>
      </c>
    </row>
    <row r="40">
      <c r="A40" s="2">
        <f>Raw_Data!A40</f>
        <v/>
      </c>
      <c r="B40" s="7">
        <f>Raw_Data!B40</f>
        <v/>
      </c>
      <c r="C40" s="2">
        <f>Raw_Data!C40</f>
        <v/>
      </c>
      <c r="D40" s="2">
        <f>Raw_Data!D40</f>
        <v/>
      </c>
      <c r="E40" s="8">
        <f>Raw_Data!F40</f>
        <v/>
      </c>
      <c r="F40" s="7">
        <f>Raw_Data!H40</f>
        <v/>
      </c>
      <c r="G40" s="7">
        <f>Raw_Data!I40</f>
        <v/>
      </c>
      <c r="H40" s="2">
        <f>Raw_Data!J40</f>
        <v/>
      </c>
      <c r="I40" s="2">
        <f>IF(G40="",0,G40-B40)</f>
        <v/>
      </c>
      <c r="J40" s="2">
        <f>IF(H40="Paid",MAX(0,G40-F40),MAX(0,DATE(2026,12,31)-F40))</f>
        <v/>
      </c>
      <c r="K40" s="8">
        <f>IF(H40="Paid",0,E40)</f>
        <v/>
      </c>
      <c r="L40" s="2">
        <f>IF(J40=0,"Current",IF(J40&lt;=30,"1-30 Days",IF(J40&lt;=60,"31-60 Days",IF(J40&lt;=90,"61-90 Days","90+ Days"))))</f>
        <v/>
      </c>
      <c r="M40" s="8">
        <f>IF(Raw_Data!K40="Yes",Raw_Data!F40*Raw_Data!L40,0)</f>
        <v/>
      </c>
      <c r="N40" s="2">
        <f>IF(H40&lt;&gt;"Paid","Outstanding",IF(J40=0,"On Time","Late"))</f>
        <v/>
      </c>
    </row>
    <row r="41">
      <c r="A41" s="2">
        <f>Raw_Data!A41</f>
        <v/>
      </c>
      <c r="B41" s="7">
        <f>Raw_Data!B41</f>
        <v/>
      </c>
      <c r="C41" s="2">
        <f>Raw_Data!C41</f>
        <v/>
      </c>
      <c r="D41" s="2">
        <f>Raw_Data!D41</f>
        <v/>
      </c>
      <c r="E41" s="8">
        <f>Raw_Data!F41</f>
        <v/>
      </c>
      <c r="F41" s="7">
        <f>Raw_Data!H41</f>
        <v/>
      </c>
      <c r="G41" s="7">
        <f>Raw_Data!I41</f>
        <v/>
      </c>
      <c r="H41" s="2">
        <f>Raw_Data!J41</f>
        <v/>
      </c>
      <c r="I41" s="2">
        <f>IF(G41="",0,G41-B41)</f>
        <v/>
      </c>
      <c r="J41" s="2">
        <f>IF(H41="Paid",MAX(0,G41-F41),MAX(0,DATE(2026,12,31)-F41))</f>
        <v/>
      </c>
      <c r="K41" s="8">
        <f>IF(H41="Paid",0,E41)</f>
        <v/>
      </c>
      <c r="L41" s="2">
        <f>IF(J41=0,"Current",IF(J41&lt;=30,"1-30 Days",IF(J41&lt;=60,"31-60 Days",IF(J41&lt;=90,"61-90 Days","90+ Days"))))</f>
        <v/>
      </c>
      <c r="M41" s="8">
        <f>IF(Raw_Data!K41="Yes",Raw_Data!F41*Raw_Data!L41,0)</f>
        <v/>
      </c>
      <c r="N41" s="2">
        <f>IF(H41&lt;&gt;"Paid","Outstanding",IF(J41=0,"On Time","Late"))</f>
        <v/>
      </c>
    </row>
    <row r="42">
      <c r="A42" s="2">
        <f>Raw_Data!A42</f>
        <v/>
      </c>
      <c r="B42" s="7">
        <f>Raw_Data!B42</f>
        <v/>
      </c>
      <c r="C42" s="2">
        <f>Raw_Data!C42</f>
        <v/>
      </c>
      <c r="D42" s="2">
        <f>Raw_Data!D42</f>
        <v/>
      </c>
      <c r="E42" s="8">
        <f>Raw_Data!F42</f>
        <v/>
      </c>
      <c r="F42" s="7">
        <f>Raw_Data!H42</f>
        <v/>
      </c>
      <c r="G42" s="7">
        <f>Raw_Data!I42</f>
        <v/>
      </c>
      <c r="H42" s="2">
        <f>Raw_Data!J42</f>
        <v/>
      </c>
      <c r="I42" s="2">
        <f>IF(G42="",0,G42-B42)</f>
        <v/>
      </c>
      <c r="J42" s="2">
        <f>IF(H42="Paid",MAX(0,G42-F42),MAX(0,DATE(2026,12,31)-F42))</f>
        <v/>
      </c>
      <c r="K42" s="8">
        <f>IF(H42="Paid",0,E42)</f>
        <v/>
      </c>
      <c r="L42" s="2">
        <f>IF(J42=0,"Current",IF(J42&lt;=30,"1-30 Days",IF(J42&lt;=60,"31-60 Days",IF(J42&lt;=90,"61-90 Days","90+ Days"))))</f>
        <v/>
      </c>
      <c r="M42" s="8">
        <f>IF(Raw_Data!K42="Yes",Raw_Data!F42*Raw_Data!L42,0)</f>
        <v/>
      </c>
      <c r="N42" s="2">
        <f>IF(H42&lt;&gt;"Paid","Outstanding",IF(J42=0,"On Time","Late"))</f>
        <v/>
      </c>
    </row>
    <row r="43">
      <c r="A43" s="2">
        <f>Raw_Data!A43</f>
        <v/>
      </c>
      <c r="B43" s="7">
        <f>Raw_Data!B43</f>
        <v/>
      </c>
      <c r="C43" s="2">
        <f>Raw_Data!C43</f>
        <v/>
      </c>
      <c r="D43" s="2">
        <f>Raw_Data!D43</f>
        <v/>
      </c>
      <c r="E43" s="8">
        <f>Raw_Data!F43</f>
        <v/>
      </c>
      <c r="F43" s="7">
        <f>Raw_Data!H43</f>
        <v/>
      </c>
      <c r="G43" s="7">
        <f>Raw_Data!I43</f>
        <v/>
      </c>
      <c r="H43" s="2">
        <f>Raw_Data!J43</f>
        <v/>
      </c>
      <c r="I43" s="2">
        <f>IF(G43="",0,G43-B43)</f>
        <v/>
      </c>
      <c r="J43" s="2">
        <f>IF(H43="Paid",MAX(0,G43-F43),MAX(0,DATE(2026,12,31)-F43))</f>
        <v/>
      </c>
      <c r="K43" s="8">
        <f>IF(H43="Paid",0,E43)</f>
        <v/>
      </c>
      <c r="L43" s="2">
        <f>IF(J43=0,"Current",IF(J43&lt;=30,"1-30 Days",IF(J43&lt;=60,"31-60 Days",IF(J43&lt;=90,"61-90 Days","90+ Days"))))</f>
        <v/>
      </c>
      <c r="M43" s="8">
        <f>IF(Raw_Data!K43="Yes",Raw_Data!F43*Raw_Data!L43,0)</f>
        <v/>
      </c>
      <c r="N43" s="2">
        <f>IF(H43&lt;&gt;"Paid","Outstanding",IF(J43=0,"On Time","Late"))</f>
        <v/>
      </c>
    </row>
    <row r="44">
      <c r="A44" s="2">
        <f>Raw_Data!A44</f>
        <v/>
      </c>
      <c r="B44" s="7">
        <f>Raw_Data!B44</f>
        <v/>
      </c>
      <c r="C44" s="2">
        <f>Raw_Data!C44</f>
        <v/>
      </c>
      <c r="D44" s="2">
        <f>Raw_Data!D44</f>
        <v/>
      </c>
      <c r="E44" s="8">
        <f>Raw_Data!F44</f>
        <v/>
      </c>
      <c r="F44" s="7">
        <f>Raw_Data!H44</f>
        <v/>
      </c>
      <c r="G44" s="7">
        <f>Raw_Data!I44</f>
        <v/>
      </c>
      <c r="H44" s="2">
        <f>Raw_Data!J44</f>
        <v/>
      </c>
      <c r="I44" s="2">
        <f>IF(G44="",0,G44-B44)</f>
        <v/>
      </c>
      <c r="J44" s="2">
        <f>IF(H44="Paid",MAX(0,G44-F44),MAX(0,DATE(2026,12,31)-F44))</f>
        <v/>
      </c>
      <c r="K44" s="8">
        <f>IF(H44="Paid",0,E44)</f>
        <v/>
      </c>
      <c r="L44" s="2">
        <f>IF(J44=0,"Current",IF(J44&lt;=30,"1-30 Days",IF(J44&lt;=60,"31-60 Days",IF(J44&lt;=90,"61-90 Days","90+ Days"))))</f>
        <v/>
      </c>
      <c r="M44" s="8">
        <f>IF(Raw_Data!K44="Yes",Raw_Data!F44*Raw_Data!L44,0)</f>
        <v/>
      </c>
      <c r="N44" s="2">
        <f>IF(H44&lt;&gt;"Paid","Outstanding",IF(J44=0,"On Time","Late"))</f>
        <v/>
      </c>
    </row>
    <row r="45">
      <c r="A45" s="2">
        <f>Raw_Data!A45</f>
        <v/>
      </c>
      <c r="B45" s="7">
        <f>Raw_Data!B45</f>
        <v/>
      </c>
      <c r="C45" s="2">
        <f>Raw_Data!C45</f>
        <v/>
      </c>
      <c r="D45" s="2">
        <f>Raw_Data!D45</f>
        <v/>
      </c>
      <c r="E45" s="8">
        <f>Raw_Data!F45</f>
        <v/>
      </c>
      <c r="F45" s="7">
        <f>Raw_Data!H45</f>
        <v/>
      </c>
      <c r="G45" s="7">
        <f>Raw_Data!I45</f>
        <v/>
      </c>
      <c r="H45" s="2">
        <f>Raw_Data!J45</f>
        <v/>
      </c>
      <c r="I45" s="2">
        <f>IF(G45="",0,G45-B45)</f>
        <v/>
      </c>
      <c r="J45" s="2">
        <f>IF(H45="Paid",MAX(0,G45-F45),MAX(0,DATE(2026,12,31)-F45))</f>
        <v/>
      </c>
      <c r="K45" s="8">
        <f>IF(H45="Paid",0,E45)</f>
        <v/>
      </c>
      <c r="L45" s="2">
        <f>IF(J45=0,"Current",IF(J45&lt;=30,"1-30 Days",IF(J45&lt;=60,"31-60 Days",IF(J45&lt;=90,"61-90 Days","90+ Days"))))</f>
        <v/>
      </c>
      <c r="M45" s="8">
        <f>IF(Raw_Data!K45="Yes",Raw_Data!F45*Raw_Data!L45,0)</f>
        <v/>
      </c>
      <c r="N45" s="2">
        <f>IF(H45&lt;&gt;"Paid","Outstanding",IF(J45=0,"On Time","Late"))</f>
        <v/>
      </c>
    </row>
    <row r="46">
      <c r="A46" s="2">
        <f>Raw_Data!A46</f>
        <v/>
      </c>
      <c r="B46" s="7">
        <f>Raw_Data!B46</f>
        <v/>
      </c>
      <c r="C46" s="2">
        <f>Raw_Data!C46</f>
        <v/>
      </c>
      <c r="D46" s="2">
        <f>Raw_Data!D46</f>
        <v/>
      </c>
      <c r="E46" s="8">
        <f>Raw_Data!F46</f>
        <v/>
      </c>
      <c r="F46" s="7">
        <f>Raw_Data!H46</f>
        <v/>
      </c>
      <c r="G46" s="7">
        <f>Raw_Data!I46</f>
        <v/>
      </c>
      <c r="H46" s="2">
        <f>Raw_Data!J46</f>
        <v/>
      </c>
      <c r="I46" s="2">
        <f>IF(G46="",0,G46-B46)</f>
        <v/>
      </c>
      <c r="J46" s="2">
        <f>IF(H46="Paid",MAX(0,G46-F46),MAX(0,DATE(2026,12,31)-F46))</f>
        <v/>
      </c>
      <c r="K46" s="8">
        <f>IF(H46="Paid",0,E46)</f>
        <v/>
      </c>
      <c r="L46" s="2">
        <f>IF(J46=0,"Current",IF(J46&lt;=30,"1-30 Days",IF(J46&lt;=60,"31-60 Days",IF(J46&lt;=90,"61-90 Days","90+ Days"))))</f>
        <v/>
      </c>
      <c r="M46" s="8">
        <f>IF(Raw_Data!K46="Yes",Raw_Data!F46*Raw_Data!L46,0)</f>
        <v/>
      </c>
      <c r="N46" s="2">
        <f>IF(H46&lt;&gt;"Paid","Outstanding",IF(J46=0,"On Time","Late"))</f>
        <v/>
      </c>
    </row>
    <row r="47">
      <c r="A47" s="2">
        <f>Raw_Data!A47</f>
        <v/>
      </c>
      <c r="B47" s="7">
        <f>Raw_Data!B47</f>
        <v/>
      </c>
      <c r="C47" s="2">
        <f>Raw_Data!C47</f>
        <v/>
      </c>
      <c r="D47" s="2">
        <f>Raw_Data!D47</f>
        <v/>
      </c>
      <c r="E47" s="8">
        <f>Raw_Data!F47</f>
        <v/>
      </c>
      <c r="F47" s="7">
        <f>Raw_Data!H47</f>
        <v/>
      </c>
      <c r="G47" s="7">
        <f>Raw_Data!I47</f>
        <v/>
      </c>
      <c r="H47" s="2">
        <f>Raw_Data!J47</f>
        <v/>
      </c>
      <c r="I47" s="2">
        <f>IF(G47="",0,G47-B47)</f>
        <v/>
      </c>
      <c r="J47" s="2">
        <f>IF(H47="Paid",MAX(0,G47-F47),MAX(0,DATE(2026,12,31)-F47))</f>
        <v/>
      </c>
      <c r="K47" s="8">
        <f>IF(H47="Paid",0,E47)</f>
        <v/>
      </c>
      <c r="L47" s="2">
        <f>IF(J47=0,"Current",IF(J47&lt;=30,"1-30 Days",IF(J47&lt;=60,"31-60 Days",IF(J47&lt;=90,"61-90 Days","90+ Days"))))</f>
        <v/>
      </c>
      <c r="M47" s="8">
        <f>IF(Raw_Data!K47="Yes",Raw_Data!F47*Raw_Data!L47,0)</f>
        <v/>
      </c>
      <c r="N47" s="2">
        <f>IF(H47&lt;&gt;"Paid","Outstanding",IF(J47=0,"On Time","Late"))</f>
        <v/>
      </c>
    </row>
    <row r="48">
      <c r="A48" s="2">
        <f>Raw_Data!A48</f>
        <v/>
      </c>
      <c r="B48" s="7">
        <f>Raw_Data!B48</f>
        <v/>
      </c>
      <c r="C48" s="2">
        <f>Raw_Data!C48</f>
        <v/>
      </c>
      <c r="D48" s="2">
        <f>Raw_Data!D48</f>
        <v/>
      </c>
      <c r="E48" s="8">
        <f>Raw_Data!F48</f>
        <v/>
      </c>
      <c r="F48" s="7">
        <f>Raw_Data!H48</f>
        <v/>
      </c>
      <c r="G48" s="7">
        <f>Raw_Data!I48</f>
        <v/>
      </c>
      <c r="H48" s="2">
        <f>Raw_Data!J48</f>
        <v/>
      </c>
      <c r="I48" s="2">
        <f>IF(G48="",0,G48-B48)</f>
        <v/>
      </c>
      <c r="J48" s="2">
        <f>IF(H48="Paid",MAX(0,G48-F48),MAX(0,DATE(2026,12,31)-F48))</f>
        <v/>
      </c>
      <c r="K48" s="8">
        <f>IF(H48="Paid",0,E48)</f>
        <v/>
      </c>
      <c r="L48" s="2">
        <f>IF(J48=0,"Current",IF(J48&lt;=30,"1-30 Days",IF(J48&lt;=60,"31-60 Days",IF(J48&lt;=90,"61-90 Days","90+ Days"))))</f>
        <v/>
      </c>
      <c r="M48" s="8">
        <f>IF(Raw_Data!K48="Yes",Raw_Data!F48*Raw_Data!L48,0)</f>
        <v/>
      </c>
      <c r="N48" s="2">
        <f>IF(H48&lt;&gt;"Paid","Outstanding",IF(J48=0,"On Time","Late"))</f>
        <v/>
      </c>
    </row>
    <row r="49">
      <c r="A49" s="2">
        <f>Raw_Data!A49</f>
        <v/>
      </c>
      <c r="B49" s="7">
        <f>Raw_Data!B49</f>
        <v/>
      </c>
      <c r="C49" s="2">
        <f>Raw_Data!C49</f>
        <v/>
      </c>
      <c r="D49" s="2">
        <f>Raw_Data!D49</f>
        <v/>
      </c>
      <c r="E49" s="8">
        <f>Raw_Data!F49</f>
        <v/>
      </c>
      <c r="F49" s="7">
        <f>Raw_Data!H49</f>
        <v/>
      </c>
      <c r="G49" s="7">
        <f>Raw_Data!I49</f>
        <v/>
      </c>
      <c r="H49" s="2">
        <f>Raw_Data!J49</f>
        <v/>
      </c>
      <c r="I49" s="2">
        <f>IF(G49="",0,G49-B49)</f>
        <v/>
      </c>
      <c r="J49" s="2">
        <f>IF(H49="Paid",MAX(0,G49-F49),MAX(0,DATE(2026,12,31)-F49))</f>
        <v/>
      </c>
      <c r="K49" s="8">
        <f>IF(H49="Paid",0,E49)</f>
        <v/>
      </c>
      <c r="L49" s="2">
        <f>IF(J49=0,"Current",IF(J49&lt;=30,"1-30 Days",IF(J49&lt;=60,"31-60 Days",IF(J49&lt;=90,"61-90 Days","90+ Days"))))</f>
        <v/>
      </c>
      <c r="M49" s="8">
        <f>IF(Raw_Data!K49="Yes",Raw_Data!F49*Raw_Data!L49,0)</f>
        <v/>
      </c>
      <c r="N49" s="2">
        <f>IF(H49&lt;&gt;"Paid","Outstanding",IF(J49=0,"On Time","Late"))</f>
        <v/>
      </c>
    </row>
    <row r="50">
      <c r="A50" s="2">
        <f>Raw_Data!A50</f>
        <v/>
      </c>
      <c r="B50" s="7">
        <f>Raw_Data!B50</f>
        <v/>
      </c>
      <c r="C50" s="2">
        <f>Raw_Data!C50</f>
        <v/>
      </c>
      <c r="D50" s="2">
        <f>Raw_Data!D50</f>
        <v/>
      </c>
      <c r="E50" s="8">
        <f>Raw_Data!F50</f>
        <v/>
      </c>
      <c r="F50" s="7">
        <f>Raw_Data!H50</f>
        <v/>
      </c>
      <c r="G50" s="7">
        <f>Raw_Data!I50</f>
        <v/>
      </c>
      <c r="H50" s="2">
        <f>Raw_Data!J50</f>
        <v/>
      </c>
      <c r="I50" s="2">
        <f>IF(G50="",0,G50-B50)</f>
        <v/>
      </c>
      <c r="J50" s="2">
        <f>IF(H50="Paid",MAX(0,G50-F50),MAX(0,DATE(2026,12,31)-F50))</f>
        <v/>
      </c>
      <c r="K50" s="8">
        <f>IF(H50="Paid",0,E50)</f>
        <v/>
      </c>
      <c r="L50" s="2">
        <f>IF(J50=0,"Current",IF(J50&lt;=30,"1-30 Days",IF(J50&lt;=60,"31-60 Days",IF(J50&lt;=90,"61-90 Days","90+ Days"))))</f>
        <v/>
      </c>
      <c r="M50" s="8">
        <f>IF(Raw_Data!K50="Yes",Raw_Data!F50*Raw_Data!L50,0)</f>
        <v/>
      </c>
      <c r="N50" s="2">
        <f>IF(H50&lt;&gt;"Paid","Outstanding",IF(J50=0,"On Time","Late"))</f>
        <v/>
      </c>
    </row>
    <row r="51">
      <c r="A51" s="2">
        <f>Raw_Data!A51</f>
        <v/>
      </c>
      <c r="B51" s="7">
        <f>Raw_Data!B51</f>
        <v/>
      </c>
      <c r="C51" s="2">
        <f>Raw_Data!C51</f>
        <v/>
      </c>
      <c r="D51" s="2">
        <f>Raw_Data!D51</f>
        <v/>
      </c>
      <c r="E51" s="8">
        <f>Raw_Data!F51</f>
        <v/>
      </c>
      <c r="F51" s="7">
        <f>Raw_Data!H51</f>
        <v/>
      </c>
      <c r="G51" s="7">
        <f>Raw_Data!I51</f>
        <v/>
      </c>
      <c r="H51" s="2">
        <f>Raw_Data!J51</f>
        <v/>
      </c>
      <c r="I51" s="2">
        <f>IF(G51="",0,G51-B51)</f>
        <v/>
      </c>
      <c r="J51" s="2">
        <f>IF(H51="Paid",MAX(0,G51-F51),MAX(0,DATE(2026,12,31)-F51))</f>
        <v/>
      </c>
      <c r="K51" s="8">
        <f>IF(H51="Paid",0,E51)</f>
        <v/>
      </c>
      <c r="L51" s="2">
        <f>IF(J51=0,"Current",IF(J51&lt;=30,"1-30 Days",IF(J51&lt;=60,"31-60 Days",IF(J51&lt;=90,"61-90 Days","90+ Days"))))</f>
        <v/>
      </c>
      <c r="M51" s="8">
        <f>IF(Raw_Data!K51="Yes",Raw_Data!F51*Raw_Data!L51,0)</f>
        <v/>
      </c>
      <c r="N51" s="2">
        <f>IF(H51&lt;&gt;"Paid","Outstanding",IF(J51=0,"On Time","Late"))</f>
        <v/>
      </c>
    </row>
    <row r="52">
      <c r="A52" s="2">
        <f>Raw_Data!A52</f>
        <v/>
      </c>
      <c r="B52" s="7">
        <f>Raw_Data!B52</f>
        <v/>
      </c>
      <c r="C52" s="2">
        <f>Raw_Data!C52</f>
        <v/>
      </c>
      <c r="D52" s="2">
        <f>Raw_Data!D52</f>
        <v/>
      </c>
      <c r="E52" s="8">
        <f>Raw_Data!F52</f>
        <v/>
      </c>
      <c r="F52" s="7">
        <f>Raw_Data!H52</f>
        <v/>
      </c>
      <c r="G52" s="7">
        <f>Raw_Data!I52</f>
        <v/>
      </c>
      <c r="H52" s="2">
        <f>Raw_Data!J52</f>
        <v/>
      </c>
      <c r="I52" s="2">
        <f>IF(G52="",0,G52-B52)</f>
        <v/>
      </c>
      <c r="J52" s="2">
        <f>IF(H52="Paid",MAX(0,G52-F52),MAX(0,DATE(2026,12,31)-F52))</f>
        <v/>
      </c>
      <c r="K52" s="8">
        <f>IF(H52="Paid",0,E52)</f>
        <v/>
      </c>
      <c r="L52" s="2">
        <f>IF(J52=0,"Current",IF(J52&lt;=30,"1-30 Days",IF(J52&lt;=60,"31-60 Days",IF(J52&lt;=90,"61-90 Days","90+ Days"))))</f>
        <v/>
      </c>
      <c r="M52" s="8">
        <f>IF(Raw_Data!K52="Yes",Raw_Data!F52*Raw_Data!L52,0)</f>
        <v/>
      </c>
      <c r="N52" s="2">
        <f>IF(H52&lt;&gt;"Paid","Outstanding",IF(J52=0,"On Time","Late"))</f>
        <v/>
      </c>
    </row>
    <row r="53">
      <c r="A53" s="2">
        <f>Raw_Data!A53</f>
        <v/>
      </c>
      <c r="B53" s="7">
        <f>Raw_Data!B53</f>
        <v/>
      </c>
      <c r="C53" s="2">
        <f>Raw_Data!C53</f>
        <v/>
      </c>
      <c r="D53" s="2">
        <f>Raw_Data!D53</f>
        <v/>
      </c>
      <c r="E53" s="8">
        <f>Raw_Data!F53</f>
        <v/>
      </c>
      <c r="F53" s="7">
        <f>Raw_Data!H53</f>
        <v/>
      </c>
      <c r="G53" s="7">
        <f>Raw_Data!I53</f>
        <v/>
      </c>
      <c r="H53" s="2">
        <f>Raw_Data!J53</f>
        <v/>
      </c>
      <c r="I53" s="2">
        <f>IF(G53="",0,G53-B53)</f>
        <v/>
      </c>
      <c r="J53" s="2">
        <f>IF(H53="Paid",MAX(0,G53-F53),MAX(0,DATE(2026,12,31)-F53))</f>
        <v/>
      </c>
      <c r="K53" s="8">
        <f>IF(H53="Paid",0,E53)</f>
        <v/>
      </c>
      <c r="L53" s="2">
        <f>IF(J53=0,"Current",IF(J53&lt;=30,"1-30 Days",IF(J53&lt;=60,"31-60 Days",IF(J53&lt;=90,"61-90 Days","90+ Days"))))</f>
        <v/>
      </c>
      <c r="M53" s="8">
        <f>IF(Raw_Data!K53="Yes",Raw_Data!F53*Raw_Data!L53,0)</f>
        <v/>
      </c>
      <c r="N53" s="2">
        <f>IF(H53&lt;&gt;"Paid","Outstanding",IF(J53=0,"On Time","Late"))</f>
        <v/>
      </c>
    </row>
    <row r="54">
      <c r="A54" s="2">
        <f>Raw_Data!A54</f>
        <v/>
      </c>
      <c r="B54" s="7">
        <f>Raw_Data!B54</f>
        <v/>
      </c>
      <c r="C54" s="2">
        <f>Raw_Data!C54</f>
        <v/>
      </c>
      <c r="D54" s="2">
        <f>Raw_Data!D54</f>
        <v/>
      </c>
      <c r="E54" s="8">
        <f>Raw_Data!F54</f>
        <v/>
      </c>
      <c r="F54" s="7">
        <f>Raw_Data!H54</f>
        <v/>
      </c>
      <c r="G54" s="7">
        <f>Raw_Data!I54</f>
        <v/>
      </c>
      <c r="H54" s="2">
        <f>Raw_Data!J54</f>
        <v/>
      </c>
      <c r="I54" s="2">
        <f>IF(G54="",0,G54-B54)</f>
        <v/>
      </c>
      <c r="J54" s="2">
        <f>IF(H54="Paid",MAX(0,G54-F54),MAX(0,DATE(2026,12,31)-F54))</f>
        <v/>
      </c>
      <c r="K54" s="8">
        <f>IF(H54="Paid",0,E54)</f>
        <v/>
      </c>
      <c r="L54" s="2">
        <f>IF(J54=0,"Current",IF(J54&lt;=30,"1-30 Days",IF(J54&lt;=60,"31-60 Days",IF(J54&lt;=90,"61-90 Days","90+ Days"))))</f>
        <v/>
      </c>
      <c r="M54" s="8">
        <f>IF(Raw_Data!K54="Yes",Raw_Data!F54*Raw_Data!L54,0)</f>
        <v/>
      </c>
      <c r="N54" s="2">
        <f>IF(H54&lt;&gt;"Paid","Outstanding",IF(J54=0,"On Time","Late"))</f>
        <v/>
      </c>
    </row>
    <row r="55">
      <c r="A55" s="2">
        <f>Raw_Data!A55</f>
        <v/>
      </c>
      <c r="B55" s="7">
        <f>Raw_Data!B55</f>
        <v/>
      </c>
      <c r="C55" s="2">
        <f>Raw_Data!C55</f>
        <v/>
      </c>
      <c r="D55" s="2">
        <f>Raw_Data!D55</f>
        <v/>
      </c>
      <c r="E55" s="8">
        <f>Raw_Data!F55</f>
        <v/>
      </c>
      <c r="F55" s="7">
        <f>Raw_Data!H55</f>
        <v/>
      </c>
      <c r="G55" s="7">
        <f>Raw_Data!I55</f>
        <v/>
      </c>
      <c r="H55" s="2">
        <f>Raw_Data!J55</f>
        <v/>
      </c>
      <c r="I55" s="2">
        <f>IF(G55="",0,G55-B55)</f>
        <v/>
      </c>
      <c r="J55" s="2">
        <f>IF(H55="Paid",MAX(0,G55-F55),MAX(0,DATE(2026,12,31)-F55))</f>
        <v/>
      </c>
      <c r="K55" s="8">
        <f>IF(H55="Paid",0,E55)</f>
        <v/>
      </c>
      <c r="L55" s="2">
        <f>IF(J55=0,"Current",IF(J55&lt;=30,"1-30 Days",IF(J55&lt;=60,"31-60 Days",IF(J55&lt;=90,"61-90 Days","90+ Days"))))</f>
        <v/>
      </c>
      <c r="M55" s="8">
        <f>IF(Raw_Data!K55="Yes",Raw_Data!F55*Raw_Data!L55,0)</f>
        <v/>
      </c>
      <c r="N55" s="2">
        <f>IF(H55&lt;&gt;"Paid","Outstanding",IF(J55=0,"On Time","Late"))</f>
        <v/>
      </c>
    </row>
    <row r="56">
      <c r="A56" s="2">
        <f>Raw_Data!A56</f>
        <v/>
      </c>
      <c r="B56" s="7">
        <f>Raw_Data!B56</f>
        <v/>
      </c>
      <c r="C56" s="2">
        <f>Raw_Data!C56</f>
        <v/>
      </c>
      <c r="D56" s="2">
        <f>Raw_Data!D56</f>
        <v/>
      </c>
      <c r="E56" s="8">
        <f>Raw_Data!F56</f>
        <v/>
      </c>
      <c r="F56" s="7">
        <f>Raw_Data!H56</f>
        <v/>
      </c>
      <c r="G56" s="7">
        <f>Raw_Data!I56</f>
        <v/>
      </c>
      <c r="H56" s="2">
        <f>Raw_Data!J56</f>
        <v/>
      </c>
      <c r="I56" s="2">
        <f>IF(G56="",0,G56-B56)</f>
        <v/>
      </c>
      <c r="J56" s="2">
        <f>IF(H56="Paid",MAX(0,G56-F56),MAX(0,DATE(2026,12,31)-F56))</f>
        <v/>
      </c>
      <c r="K56" s="8">
        <f>IF(H56="Paid",0,E56)</f>
        <v/>
      </c>
      <c r="L56" s="2">
        <f>IF(J56=0,"Current",IF(J56&lt;=30,"1-30 Days",IF(J56&lt;=60,"31-60 Days",IF(J56&lt;=90,"61-90 Days","90+ Days"))))</f>
        <v/>
      </c>
      <c r="M56" s="8">
        <f>IF(Raw_Data!K56="Yes",Raw_Data!F56*Raw_Data!L56,0)</f>
        <v/>
      </c>
      <c r="N56" s="2">
        <f>IF(H56&lt;&gt;"Paid","Outstanding",IF(J56=0,"On Time","Late"))</f>
        <v/>
      </c>
    </row>
    <row r="57">
      <c r="A57" s="2">
        <f>Raw_Data!A57</f>
        <v/>
      </c>
      <c r="B57" s="7">
        <f>Raw_Data!B57</f>
        <v/>
      </c>
      <c r="C57" s="2">
        <f>Raw_Data!C57</f>
        <v/>
      </c>
      <c r="D57" s="2">
        <f>Raw_Data!D57</f>
        <v/>
      </c>
      <c r="E57" s="8">
        <f>Raw_Data!F57</f>
        <v/>
      </c>
      <c r="F57" s="7">
        <f>Raw_Data!H57</f>
        <v/>
      </c>
      <c r="G57" s="7">
        <f>Raw_Data!I57</f>
        <v/>
      </c>
      <c r="H57" s="2">
        <f>Raw_Data!J57</f>
        <v/>
      </c>
      <c r="I57" s="2">
        <f>IF(G57="",0,G57-B57)</f>
        <v/>
      </c>
      <c r="J57" s="2">
        <f>IF(H57="Paid",MAX(0,G57-F57),MAX(0,DATE(2026,12,31)-F57))</f>
        <v/>
      </c>
      <c r="K57" s="8">
        <f>IF(H57="Paid",0,E57)</f>
        <v/>
      </c>
      <c r="L57" s="2">
        <f>IF(J57=0,"Current",IF(J57&lt;=30,"1-30 Days",IF(J57&lt;=60,"31-60 Days",IF(J57&lt;=90,"61-90 Days","90+ Days"))))</f>
        <v/>
      </c>
      <c r="M57" s="8">
        <f>IF(Raw_Data!K57="Yes",Raw_Data!F57*Raw_Data!L57,0)</f>
        <v/>
      </c>
      <c r="N57" s="2">
        <f>IF(H57&lt;&gt;"Paid","Outstanding",IF(J57=0,"On Time","Late"))</f>
        <v/>
      </c>
    </row>
    <row r="58">
      <c r="A58" s="2">
        <f>Raw_Data!A58</f>
        <v/>
      </c>
      <c r="B58" s="7">
        <f>Raw_Data!B58</f>
        <v/>
      </c>
      <c r="C58" s="2">
        <f>Raw_Data!C58</f>
        <v/>
      </c>
      <c r="D58" s="2">
        <f>Raw_Data!D58</f>
        <v/>
      </c>
      <c r="E58" s="8">
        <f>Raw_Data!F58</f>
        <v/>
      </c>
      <c r="F58" s="7">
        <f>Raw_Data!H58</f>
        <v/>
      </c>
      <c r="G58" s="7">
        <f>Raw_Data!I58</f>
        <v/>
      </c>
      <c r="H58" s="2">
        <f>Raw_Data!J58</f>
        <v/>
      </c>
      <c r="I58" s="2">
        <f>IF(G58="",0,G58-B58)</f>
        <v/>
      </c>
      <c r="J58" s="2">
        <f>IF(H58="Paid",MAX(0,G58-F58),MAX(0,DATE(2026,12,31)-F58))</f>
        <v/>
      </c>
      <c r="K58" s="8">
        <f>IF(H58="Paid",0,E58)</f>
        <v/>
      </c>
      <c r="L58" s="2">
        <f>IF(J58=0,"Current",IF(J58&lt;=30,"1-30 Days",IF(J58&lt;=60,"31-60 Days",IF(J58&lt;=90,"61-90 Days","90+ Days"))))</f>
        <v/>
      </c>
      <c r="M58" s="8">
        <f>IF(Raw_Data!K58="Yes",Raw_Data!F58*Raw_Data!L58,0)</f>
        <v/>
      </c>
      <c r="N58" s="2">
        <f>IF(H58&lt;&gt;"Paid","Outstanding",IF(J58=0,"On Time","Late"))</f>
        <v/>
      </c>
    </row>
    <row r="59">
      <c r="A59" s="2">
        <f>Raw_Data!A59</f>
        <v/>
      </c>
      <c r="B59" s="7">
        <f>Raw_Data!B59</f>
        <v/>
      </c>
      <c r="C59" s="2">
        <f>Raw_Data!C59</f>
        <v/>
      </c>
      <c r="D59" s="2">
        <f>Raw_Data!D59</f>
        <v/>
      </c>
      <c r="E59" s="8">
        <f>Raw_Data!F59</f>
        <v/>
      </c>
      <c r="F59" s="7">
        <f>Raw_Data!H59</f>
        <v/>
      </c>
      <c r="G59" s="7">
        <f>Raw_Data!I59</f>
        <v/>
      </c>
      <c r="H59" s="2">
        <f>Raw_Data!J59</f>
        <v/>
      </c>
      <c r="I59" s="2">
        <f>IF(G59="",0,G59-B59)</f>
        <v/>
      </c>
      <c r="J59" s="2">
        <f>IF(H59="Paid",MAX(0,G59-F59),MAX(0,DATE(2026,12,31)-F59))</f>
        <v/>
      </c>
      <c r="K59" s="8">
        <f>IF(H59="Paid",0,E59)</f>
        <v/>
      </c>
      <c r="L59" s="2">
        <f>IF(J59=0,"Current",IF(J59&lt;=30,"1-30 Days",IF(J59&lt;=60,"31-60 Days",IF(J59&lt;=90,"61-90 Days","90+ Days"))))</f>
        <v/>
      </c>
      <c r="M59" s="8">
        <f>IF(Raw_Data!K59="Yes",Raw_Data!F59*Raw_Data!L59,0)</f>
        <v/>
      </c>
      <c r="N59" s="2">
        <f>IF(H59&lt;&gt;"Paid","Outstanding",IF(J59=0,"On Time","Late"))</f>
        <v/>
      </c>
    </row>
    <row r="60">
      <c r="A60" s="2">
        <f>Raw_Data!A60</f>
        <v/>
      </c>
      <c r="B60" s="7">
        <f>Raw_Data!B60</f>
        <v/>
      </c>
      <c r="C60" s="2">
        <f>Raw_Data!C60</f>
        <v/>
      </c>
      <c r="D60" s="2">
        <f>Raw_Data!D60</f>
        <v/>
      </c>
      <c r="E60" s="8">
        <f>Raw_Data!F60</f>
        <v/>
      </c>
      <c r="F60" s="7">
        <f>Raw_Data!H60</f>
        <v/>
      </c>
      <c r="G60" s="7">
        <f>Raw_Data!I60</f>
        <v/>
      </c>
      <c r="H60" s="2">
        <f>Raw_Data!J60</f>
        <v/>
      </c>
      <c r="I60" s="2">
        <f>IF(G60="",0,G60-B60)</f>
        <v/>
      </c>
      <c r="J60" s="2">
        <f>IF(H60="Paid",MAX(0,G60-F60),MAX(0,DATE(2026,12,31)-F60))</f>
        <v/>
      </c>
      <c r="K60" s="8">
        <f>IF(H60="Paid",0,E60)</f>
        <v/>
      </c>
      <c r="L60" s="2">
        <f>IF(J60=0,"Current",IF(J60&lt;=30,"1-30 Days",IF(J60&lt;=60,"31-60 Days",IF(J60&lt;=90,"61-90 Days","90+ Days"))))</f>
        <v/>
      </c>
      <c r="M60" s="8">
        <f>IF(Raw_Data!K60="Yes",Raw_Data!F60*Raw_Data!L60,0)</f>
        <v/>
      </c>
      <c r="N60" s="2">
        <f>IF(H60&lt;&gt;"Paid","Outstanding",IF(J60=0,"On Time","Late"))</f>
        <v/>
      </c>
    </row>
    <row r="61">
      <c r="A61" s="2">
        <f>Raw_Data!A61</f>
        <v/>
      </c>
      <c r="B61" s="7">
        <f>Raw_Data!B61</f>
        <v/>
      </c>
      <c r="C61" s="2">
        <f>Raw_Data!C61</f>
        <v/>
      </c>
      <c r="D61" s="2">
        <f>Raw_Data!D61</f>
        <v/>
      </c>
      <c r="E61" s="8">
        <f>Raw_Data!F61</f>
        <v/>
      </c>
      <c r="F61" s="7">
        <f>Raw_Data!H61</f>
        <v/>
      </c>
      <c r="G61" s="7">
        <f>Raw_Data!I61</f>
        <v/>
      </c>
      <c r="H61" s="2">
        <f>Raw_Data!J61</f>
        <v/>
      </c>
      <c r="I61" s="2">
        <f>IF(G61="",0,G61-B61)</f>
        <v/>
      </c>
      <c r="J61" s="2">
        <f>IF(H61="Paid",MAX(0,G61-F61),MAX(0,DATE(2026,12,31)-F61))</f>
        <v/>
      </c>
      <c r="K61" s="8">
        <f>IF(H61="Paid",0,E61)</f>
        <v/>
      </c>
      <c r="L61" s="2">
        <f>IF(J61=0,"Current",IF(J61&lt;=30,"1-30 Days",IF(J61&lt;=60,"31-60 Days",IF(J61&lt;=90,"61-90 Days","90+ Days"))))</f>
        <v/>
      </c>
      <c r="M61" s="8">
        <f>IF(Raw_Data!K61="Yes",Raw_Data!F61*Raw_Data!L61,0)</f>
        <v/>
      </c>
      <c r="N61" s="2">
        <f>IF(H61&lt;&gt;"Paid","Outstanding",IF(J61=0,"On Time","Late"))</f>
        <v/>
      </c>
    </row>
    <row r="62">
      <c r="A62" s="2">
        <f>Raw_Data!A62</f>
        <v/>
      </c>
      <c r="B62" s="7">
        <f>Raw_Data!B62</f>
        <v/>
      </c>
      <c r="C62" s="2">
        <f>Raw_Data!C62</f>
        <v/>
      </c>
      <c r="D62" s="2">
        <f>Raw_Data!D62</f>
        <v/>
      </c>
      <c r="E62" s="8">
        <f>Raw_Data!F62</f>
        <v/>
      </c>
      <c r="F62" s="7">
        <f>Raw_Data!H62</f>
        <v/>
      </c>
      <c r="G62" s="7">
        <f>Raw_Data!I62</f>
        <v/>
      </c>
      <c r="H62" s="2">
        <f>Raw_Data!J62</f>
        <v/>
      </c>
      <c r="I62" s="2">
        <f>IF(G62="",0,G62-B62)</f>
        <v/>
      </c>
      <c r="J62" s="2">
        <f>IF(H62="Paid",MAX(0,G62-F62),MAX(0,DATE(2026,12,31)-F62))</f>
        <v/>
      </c>
      <c r="K62" s="8">
        <f>IF(H62="Paid",0,E62)</f>
        <v/>
      </c>
      <c r="L62" s="2">
        <f>IF(J62=0,"Current",IF(J62&lt;=30,"1-30 Days",IF(J62&lt;=60,"31-60 Days",IF(J62&lt;=90,"61-90 Days","90+ Days"))))</f>
        <v/>
      </c>
      <c r="M62" s="8">
        <f>IF(Raw_Data!K62="Yes",Raw_Data!F62*Raw_Data!L62,0)</f>
        <v/>
      </c>
      <c r="N62" s="2">
        <f>IF(H62&lt;&gt;"Paid","Outstanding",IF(J62=0,"On Time","Late"))</f>
        <v/>
      </c>
    </row>
    <row r="63">
      <c r="A63" s="2">
        <f>Raw_Data!A63</f>
        <v/>
      </c>
      <c r="B63" s="7">
        <f>Raw_Data!B63</f>
        <v/>
      </c>
      <c r="C63" s="2">
        <f>Raw_Data!C63</f>
        <v/>
      </c>
      <c r="D63" s="2">
        <f>Raw_Data!D63</f>
        <v/>
      </c>
      <c r="E63" s="8">
        <f>Raw_Data!F63</f>
        <v/>
      </c>
      <c r="F63" s="7">
        <f>Raw_Data!H63</f>
        <v/>
      </c>
      <c r="G63" s="7">
        <f>Raw_Data!I63</f>
        <v/>
      </c>
      <c r="H63" s="2">
        <f>Raw_Data!J63</f>
        <v/>
      </c>
      <c r="I63" s="2">
        <f>IF(G63="",0,G63-B63)</f>
        <v/>
      </c>
      <c r="J63" s="2">
        <f>IF(H63="Paid",MAX(0,G63-F63),MAX(0,DATE(2026,12,31)-F63))</f>
        <v/>
      </c>
      <c r="K63" s="8">
        <f>IF(H63="Paid",0,E63)</f>
        <v/>
      </c>
      <c r="L63" s="2">
        <f>IF(J63=0,"Current",IF(J63&lt;=30,"1-30 Days",IF(J63&lt;=60,"31-60 Days",IF(J63&lt;=90,"61-90 Days","90+ Days"))))</f>
        <v/>
      </c>
      <c r="M63" s="8">
        <f>IF(Raw_Data!K63="Yes",Raw_Data!F63*Raw_Data!L63,0)</f>
        <v/>
      </c>
      <c r="N63" s="2">
        <f>IF(H63&lt;&gt;"Paid","Outstanding",IF(J63=0,"On Time","Late"))</f>
        <v/>
      </c>
    </row>
    <row r="64">
      <c r="A64" s="2">
        <f>Raw_Data!A64</f>
        <v/>
      </c>
      <c r="B64" s="7">
        <f>Raw_Data!B64</f>
        <v/>
      </c>
      <c r="C64" s="2">
        <f>Raw_Data!C64</f>
        <v/>
      </c>
      <c r="D64" s="2">
        <f>Raw_Data!D64</f>
        <v/>
      </c>
      <c r="E64" s="8">
        <f>Raw_Data!F64</f>
        <v/>
      </c>
      <c r="F64" s="7">
        <f>Raw_Data!H64</f>
        <v/>
      </c>
      <c r="G64" s="7">
        <f>Raw_Data!I64</f>
        <v/>
      </c>
      <c r="H64" s="2">
        <f>Raw_Data!J64</f>
        <v/>
      </c>
      <c r="I64" s="2">
        <f>IF(G64="",0,G64-B64)</f>
        <v/>
      </c>
      <c r="J64" s="2">
        <f>IF(H64="Paid",MAX(0,G64-F64),MAX(0,DATE(2026,12,31)-F64))</f>
        <v/>
      </c>
      <c r="K64" s="8">
        <f>IF(H64="Paid",0,E64)</f>
        <v/>
      </c>
      <c r="L64" s="2">
        <f>IF(J64=0,"Current",IF(J64&lt;=30,"1-30 Days",IF(J64&lt;=60,"31-60 Days",IF(J64&lt;=90,"61-90 Days","90+ Days"))))</f>
        <v/>
      </c>
      <c r="M64" s="8">
        <f>IF(Raw_Data!K64="Yes",Raw_Data!F64*Raw_Data!L64,0)</f>
        <v/>
      </c>
      <c r="N64" s="2">
        <f>IF(H64&lt;&gt;"Paid","Outstanding",IF(J64=0,"On Time","Late"))</f>
        <v/>
      </c>
    </row>
    <row r="65">
      <c r="A65" s="2">
        <f>Raw_Data!A65</f>
        <v/>
      </c>
      <c r="B65" s="7">
        <f>Raw_Data!B65</f>
        <v/>
      </c>
      <c r="C65" s="2">
        <f>Raw_Data!C65</f>
        <v/>
      </c>
      <c r="D65" s="2">
        <f>Raw_Data!D65</f>
        <v/>
      </c>
      <c r="E65" s="8">
        <f>Raw_Data!F65</f>
        <v/>
      </c>
      <c r="F65" s="7">
        <f>Raw_Data!H65</f>
        <v/>
      </c>
      <c r="G65" s="7">
        <f>Raw_Data!I65</f>
        <v/>
      </c>
      <c r="H65" s="2">
        <f>Raw_Data!J65</f>
        <v/>
      </c>
      <c r="I65" s="2">
        <f>IF(G65="",0,G65-B65)</f>
        <v/>
      </c>
      <c r="J65" s="2">
        <f>IF(H65="Paid",MAX(0,G65-F65),MAX(0,DATE(2026,12,31)-F65))</f>
        <v/>
      </c>
      <c r="K65" s="8">
        <f>IF(H65="Paid",0,E65)</f>
        <v/>
      </c>
      <c r="L65" s="2">
        <f>IF(J65=0,"Current",IF(J65&lt;=30,"1-30 Days",IF(J65&lt;=60,"31-60 Days",IF(J65&lt;=90,"61-90 Days","90+ Days"))))</f>
        <v/>
      </c>
      <c r="M65" s="8">
        <f>IF(Raw_Data!K65="Yes",Raw_Data!F65*Raw_Data!L65,0)</f>
        <v/>
      </c>
      <c r="N65" s="2">
        <f>IF(H65&lt;&gt;"Paid","Outstanding",IF(J65=0,"On Time","Late"))</f>
        <v/>
      </c>
    </row>
    <row r="66">
      <c r="A66" s="2">
        <f>Raw_Data!A66</f>
        <v/>
      </c>
      <c r="B66" s="7">
        <f>Raw_Data!B66</f>
        <v/>
      </c>
      <c r="C66" s="2">
        <f>Raw_Data!C66</f>
        <v/>
      </c>
      <c r="D66" s="2">
        <f>Raw_Data!D66</f>
        <v/>
      </c>
      <c r="E66" s="8">
        <f>Raw_Data!F66</f>
        <v/>
      </c>
      <c r="F66" s="7">
        <f>Raw_Data!H66</f>
        <v/>
      </c>
      <c r="G66" s="7">
        <f>Raw_Data!I66</f>
        <v/>
      </c>
      <c r="H66" s="2">
        <f>Raw_Data!J66</f>
        <v/>
      </c>
      <c r="I66" s="2">
        <f>IF(G66="",0,G66-B66)</f>
        <v/>
      </c>
      <c r="J66" s="2">
        <f>IF(H66="Paid",MAX(0,G66-F66),MAX(0,DATE(2026,12,31)-F66))</f>
        <v/>
      </c>
      <c r="K66" s="8">
        <f>IF(H66="Paid",0,E66)</f>
        <v/>
      </c>
      <c r="L66" s="2">
        <f>IF(J66=0,"Current",IF(J66&lt;=30,"1-30 Days",IF(J66&lt;=60,"31-60 Days",IF(J66&lt;=90,"61-90 Days","90+ Days"))))</f>
        <v/>
      </c>
      <c r="M66" s="8">
        <f>IF(Raw_Data!K66="Yes",Raw_Data!F66*Raw_Data!L66,0)</f>
        <v/>
      </c>
      <c r="N66" s="2">
        <f>IF(H66&lt;&gt;"Paid","Outstanding",IF(J66=0,"On Time","Late"))</f>
        <v/>
      </c>
    </row>
    <row r="67">
      <c r="A67" s="2">
        <f>Raw_Data!A67</f>
        <v/>
      </c>
      <c r="B67" s="7">
        <f>Raw_Data!B67</f>
        <v/>
      </c>
      <c r="C67" s="2">
        <f>Raw_Data!C67</f>
        <v/>
      </c>
      <c r="D67" s="2">
        <f>Raw_Data!D67</f>
        <v/>
      </c>
      <c r="E67" s="8">
        <f>Raw_Data!F67</f>
        <v/>
      </c>
      <c r="F67" s="7">
        <f>Raw_Data!H67</f>
        <v/>
      </c>
      <c r="G67" s="7">
        <f>Raw_Data!I67</f>
        <v/>
      </c>
      <c r="H67" s="2">
        <f>Raw_Data!J67</f>
        <v/>
      </c>
      <c r="I67" s="2">
        <f>IF(G67="",0,G67-B67)</f>
        <v/>
      </c>
      <c r="J67" s="2">
        <f>IF(H67="Paid",MAX(0,G67-F67),MAX(0,DATE(2026,12,31)-F67))</f>
        <v/>
      </c>
      <c r="K67" s="8">
        <f>IF(H67="Paid",0,E67)</f>
        <v/>
      </c>
      <c r="L67" s="2">
        <f>IF(J67=0,"Current",IF(J67&lt;=30,"1-30 Days",IF(J67&lt;=60,"31-60 Days",IF(J67&lt;=90,"61-90 Days","90+ Days"))))</f>
        <v/>
      </c>
      <c r="M67" s="8">
        <f>IF(Raw_Data!K67="Yes",Raw_Data!F67*Raw_Data!L67,0)</f>
        <v/>
      </c>
      <c r="N67" s="2">
        <f>IF(H67&lt;&gt;"Paid","Outstanding",IF(J67=0,"On Time","Late"))</f>
        <v/>
      </c>
    </row>
    <row r="68">
      <c r="A68" s="2">
        <f>Raw_Data!A68</f>
        <v/>
      </c>
      <c r="B68" s="7">
        <f>Raw_Data!B68</f>
        <v/>
      </c>
      <c r="C68" s="2">
        <f>Raw_Data!C68</f>
        <v/>
      </c>
      <c r="D68" s="2">
        <f>Raw_Data!D68</f>
        <v/>
      </c>
      <c r="E68" s="8">
        <f>Raw_Data!F68</f>
        <v/>
      </c>
      <c r="F68" s="7">
        <f>Raw_Data!H68</f>
        <v/>
      </c>
      <c r="G68" s="7">
        <f>Raw_Data!I68</f>
        <v/>
      </c>
      <c r="H68" s="2">
        <f>Raw_Data!J68</f>
        <v/>
      </c>
      <c r="I68" s="2">
        <f>IF(G68="",0,G68-B68)</f>
        <v/>
      </c>
      <c r="J68" s="2">
        <f>IF(H68="Paid",MAX(0,G68-F68),MAX(0,DATE(2026,12,31)-F68))</f>
        <v/>
      </c>
      <c r="K68" s="8">
        <f>IF(H68="Paid",0,E68)</f>
        <v/>
      </c>
      <c r="L68" s="2">
        <f>IF(J68=0,"Current",IF(J68&lt;=30,"1-30 Days",IF(J68&lt;=60,"31-60 Days",IF(J68&lt;=90,"61-90 Days","90+ Days"))))</f>
        <v/>
      </c>
      <c r="M68" s="8">
        <f>IF(Raw_Data!K68="Yes",Raw_Data!F68*Raw_Data!L68,0)</f>
        <v/>
      </c>
      <c r="N68" s="2">
        <f>IF(H68&lt;&gt;"Paid","Outstanding",IF(J68=0,"On Time","Late"))</f>
        <v/>
      </c>
    </row>
    <row r="69">
      <c r="A69" s="2">
        <f>Raw_Data!A69</f>
        <v/>
      </c>
      <c r="B69" s="7">
        <f>Raw_Data!B69</f>
        <v/>
      </c>
      <c r="C69" s="2">
        <f>Raw_Data!C69</f>
        <v/>
      </c>
      <c r="D69" s="2">
        <f>Raw_Data!D69</f>
        <v/>
      </c>
      <c r="E69" s="8">
        <f>Raw_Data!F69</f>
        <v/>
      </c>
      <c r="F69" s="7">
        <f>Raw_Data!H69</f>
        <v/>
      </c>
      <c r="G69" s="7">
        <f>Raw_Data!I69</f>
        <v/>
      </c>
      <c r="H69" s="2">
        <f>Raw_Data!J69</f>
        <v/>
      </c>
      <c r="I69" s="2">
        <f>IF(G69="",0,G69-B69)</f>
        <v/>
      </c>
      <c r="J69" s="2">
        <f>IF(H69="Paid",MAX(0,G69-F69),MAX(0,DATE(2026,12,31)-F69))</f>
        <v/>
      </c>
      <c r="K69" s="8">
        <f>IF(H69="Paid",0,E69)</f>
        <v/>
      </c>
      <c r="L69" s="2">
        <f>IF(J69=0,"Current",IF(J69&lt;=30,"1-30 Days",IF(J69&lt;=60,"31-60 Days",IF(J69&lt;=90,"61-90 Days","90+ Days"))))</f>
        <v/>
      </c>
      <c r="M69" s="8">
        <f>IF(Raw_Data!K69="Yes",Raw_Data!F69*Raw_Data!L69,0)</f>
        <v/>
      </c>
      <c r="N69" s="2">
        <f>IF(H69&lt;&gt;"Paid","Outstanding",IF(J69=0,"On Time","Late"))</f>
        <v/>
      </c>
    </row>
    <row r="70">
      <c r="A70" s="2">
        <f>Raw_Data!A70</f>
        <v/>
      </c>
      <c r="B70" s="7">
        <f>Raw_Data!B70</f>
        <v/>
      </c>
      <c r="C70" s="2">
        <f>Raw_Data!C70</f>
        <v/>
      </c>
      <c r="D70" s="2">
        <f>Raw_Data!D70</f>
        <v/>
      </c>
      <c r="E70" s="8">
        <f>Raw_Data!F70</f>
        <v/>
      </c>
      <c r="F70" s="7">
        <f>Raw_Data!H70</f>
        <v/>
      </c>
      <c r="G70" s="7">
        <f>Raw_Data!I70</f>
        <v/>
      </c>
      <c r="H70" s="2">
        <f>Raw_Data!J70</f>
        <v/>
      </c>
      <c r="I70" s="2">
        <f>IF(G70="",0,G70-B70)</f>
        <v/>
      </c>
      <c r="J70" s="2">
        <f>IF(H70="Paid",MAX(0,G70-F70),MAX(0,DATE(2026,12,31)-F70))</f>
        <v/>
      </c>
      <c r="K70" s="8">
        <f>IF(H70="Paid",0,E70)</f>
        <v/>
      </c>
      <c r="L70" s="2">
        <f>IF(J70=0,"Current",IF(J70&lt;=30,"1-30 Days",IF(J70&lt;=60,"31-60 Days",IF(J70&lt;=90,"61-90 Days","90+ Days"))))</f>
        <v/>
      </c>
      <c r="M70" s="8">
        <f>IF(Raw_Data!K70="Yes",Raw_Data!F70*Raw_Data!L70,0)</f>
        <v/>
      </c>
      <c r="N70" s="2">
        <f>IF(H70&lt;&gt;"Paid","Outstanding",IF(J70=0,"On Time","Late"))</f>
        <v/>
      </c>
    </row>
    <row r="71">
      <c r="A71" s="2">
        <f>Raw_Data!A71</f>
        <v/>
      </c>
      <c r="B71" s="7">
        <f>Raw_Data!B71</f>
        <v/>
      </c>
      <c r="C71" s="2">
        <f>Raw_Data!C71</f>
        <v/>
      </c>
      <c r="D71" s="2">
        <f>Raw_Data!D71</f>
        <v/>
      </c>
      <c r="E71" s="8">
        <f>Raw_Data!F71</f>
        <v/>
      </c>
      <c r="F71" s="7">
        <f>Raw_Data!H71</f>
        <v/>
      </c>
      <c r="G71" s="7">
        <f>Raw_Data!I71</f>
        <v/>
      </c>
      <c r="H71" s="2">
        <f>Raw_Data!J71</f>
        <v/>
      </c>
      <c r="I71" s="2">
        <f>IF(G71="",0,G71-B71)</f>
        <v/>
      </c>
      <c r="J71" s="2">
        <f>IF(H71="Paid",MAX(0,G71-F71),MAX(0,DATE(2026,12,31)-F71))</f>
        <v/>
      </c>
      <c r="K71" s="8">
        <f>IF(H71="Paid",0,E71)</f>
        <v/>
      </c>
      <c r="L71" s="2">
        <f>IF(J71=0,"Current",IF(J71&lt;=30,"1-30 Days",IF(J71&lt;=60,"31-60 Days",IF(J71&lt;=90,"61-90 Days","90+ Days"))))</f>
        <v/>
      </c>
      <c r="M71" s="8">
        <f>IF(Raw_Data!K71="Yes",Raw_Data!F71*Raw_Data!L71,0)</f>
        <v/>
      </c>
      <c r="N71" s="2">
        <f>IF(H71&lt;&gt;"Paid","Outstanding",IF(J71=0,"On Time","Late"))</f>
        <v/>
      </c>
    </row>
    <row r="72">
      <c r="A72" s="2">
        <f>Raw_Data!A72</f>
        <v/>
      </c>
      <c r="B72" s="7">
        <f>Raw_Data!B72</f>
        <v/>
      </c>
      <c r="C72" s="2">
        <f>Raw_Data!C72</f>
        <v/>
      </c>
      <c r="D72" s="2">
        <f>Raw_Data!D72</f>
        <v/>
      </c>
      <c r="E72" s="8">
        <f>Raw_Data!F72</f>
        <v/>
      </c>
      <c r="F72" s="7">
        <f>Raw_Data!H72</f>
        <v/>
      </c>
      <c r="G72" s="7">
        <f>Raw_Data!I72</f>
        <v/>
      </c>
      <c r="H72" s="2">
        <f>Raw_Data!J72</f>
        <v/>
      </c>
      <c r="I72" s="2">
        <f>IF(G72="",0,G72-B72)</f>
        <v/>
      </c>
      <c r="J72" s="2">
        <f>IF(H72="Paid",MAX(0,G72-F72),MAX(0,DATE(2026,12,31)-F72))</f>
        <v/>
      </c>
      <c r="K72" s="8">
        <f>IF(H72="Paid",0,E72)</f>
        <v/>
      </c>
      <c r="L72" s="2">
        <f>IF(J72=0,"Current",IF(J72&lt;=30,"1-30 Days",IF(J72&lt;=60,"31-60 Days",IF(J72&lt;=90,"61-90 Days","90+ Days"))))</f>
        <v/>
      </c>
      <c r="M72" s="8">
        <f>IF(Raw_Data!K72="Yes",Raw_Data!F72*Raw_Data!L72,0)</f>
        <v/>
      </c>
      <c r="N72" s="2">
        <f>IF(H72&lt;&gt;"Paid","Outstanding",IF(J72=0,"On Time","Late"))</f>
        <v/>
      </c>
    </row>
    <row r="73">
      <c r="A73" s="2">
        <f>Raw_Data!A73</f>
        <v/>
      </c>
      <c r="B73" s="7">
        <f>Raw_Data!B73</f>
        <v/>
      </c>
      <c r="C73" s="2">
        <f>Raw_Data!C73</f>
        <v/>
      </c>
      <c r="D73" s="2">
        <f>Raw_Data!D73</f>
        <v/>
      </c>
      <c r="E73" s="8">
        <f>Raw_Data!F73</f>
        <v/>
      </c>
      <c r="F73" s="7">
        <f>Raw_Data!H73</f>
        <v/>
      </c>
      <c r="G73" s="7">
        <f>Raw_Data!I73</f>
        <v/>
      </c>
      <c r="H73" s="2">
        <f>Raw_Data!J73</f>
        <v/>
      </c>
      <c r="I73" s="2">
        <f>IF(G73="",0,G73-B73)</f>
        <v/>
      </c>
      <c r="J73" s="2">
        <f>IF(H73="Paid",MAX(0,G73-F73),MAX(0,DATE(2026,12,31)-F73))</f>
        <v/>
      </c>
      <c r="K73" s="8">
        <f>IF(H73="Paid",0,E73)</f>
        <v/>
      </c>
      <c r="L73" s="2">
        <f>IF(J73=0,"Current",IF(J73&lt;=30,"1-30 Days",IF(J73&lt;=60,"31-60 Days",IF(J73&lt;=90,"61-90 Days","90+ Days"))))</f>
        <v/>
      </c>
      <c r="M73" s="8">
        <f>IF(Raw_Data!K73="Yes",Raw_Data!F73*Raw_Data!L73,0)</f>
        <v/>
      </c>
      <c r="N73" s="2">
        <f>IF(H73&lt;&gt;"Paid","Outstanding",IF(J73=0,"On Time","Late"))</f>
        <v/>
      </c>
    </row>
    <row r="74">
      <c r="A74" s="2">
        <f>Raw_Data!A74</f>
        <v/>
      </c>
      <c r="B74" s="7">
        <f>Raw_Data!B74</f>
        <v/>
      </c>
      <c r="C74" s="2">
        <f>Raw_Data!C74</f>
        <v/>
      </c>
      <c r="D74" s="2">
        <f>Raw_Data!D74</f>
        <v/>
      </c>
      <c r="E74" s="8">
        <f>Raw_Data!F74</f>
        <v/>
      </c>
      <c r="F74" s="7">
        <f>Raw_Data!H74</f>
        <v/>
      </c>
      <c r="G74" s="7">
        <f>Raw_Data!I74</f>
        <v/>
      </c>
      <c r="H74" s="2">
        <f>Raw_Data!J74</f>
        <v/>
      </c>
      <c r="I74" s="2">
        <f>IF(G74="",0,G74-B74)</f>
        <v/>
      </c>
      <c r="J74" s="2">
        <f>IF(H74="Paid",MAX(0,G74-F74),MAX(0,DATE(2026,12,31)-F74))</f>
        <v/>
      </c>
      <c r="K74" s="8">
        <f>IF(H74="Paid",0,E74)</f>
        <v/>
      </c>
      <c r="L74" s="2">
        <f>IF(J74=0,"Current",IF(J74&lt;=30,"1-30 Days",IF(J74&lt;=60,"31-60 Days",IF(J74&lt;=90,"61-90 Days","90+ Days"))))</f>
        <v/>
      </c>
      <c r="M74" s="8">
        <f>IF(Raw_Data!K74="Yes",Raw_Data!F74*Raw_Data!L74,0)</f>
        <v/>
      </c>
      <c r="N74" s="2">
        <f>IF(H74&lt;&gt;"Paid","Outstanding",IF(J74=0,"On Time","Late"))</f>
        <v/>
      </c>
    </row>
    <row r="75">
      <c r="A75" s="2">
        <f>Raw_Data!A75</f>
        <v/>
      </c>
      <c r="B75" s="7">
        <f>Raw_Data!B75</f>
        <v/>
      </c>
      <c r="C75" s="2">
        <f>Raw_Data!C75</f>
        <v/>
      </c>
      <c r="D75" s="2">
        <f>Raw_Data!D75</f>
        <v/>
      </c>
      <c r="E75" s="8">
        <f>Raw_Data!F75</f>
        <v/>
      </c>
      <c r="F75" s="7">
        <f>Raw_Data!H75</f>
        <v/>
      </c>
      <c r="G75" s="7">
        <f>Raw_Data!I75</f>
        <v/>
      </c>
      <c r="H75" s="2">
        <f>Raw_Data!J75</f>
        <v/>
      </c>
      <c r="I75" s="2">
        <f>IF(G75="",0,G75-B75)</f>
        <v/>
      </c>
      <c r="J75" s="2">
        <f>IF(H75="Paid",MAX(0,G75-F75),MAX(0,DATE(2026,12,31)-F75))</f>
        <v/>
      </c>
      <c r="K75" s="8">
        <f>IF(H75="Paid",0,E75)</f>
        <v/>
      </c>
      <c r="L75" s="2">
        <f>IF(J75=0,"Current",IF(J75&lt;=30,"1-30 Days",IF(J75&lt;=60,"31-60 Days",IF(J75&lt;=90,"61-90 Days","90+ Days"))))</f>
        <v/>
      </c>
      <c r="M75" s="8">
        <f>IF(Raw_Data!K75="Yes",Raw_Data!F75*Raw_Data!L75,0)</f>
        <v/>
      </c>
      <c r="N75" s="2">
        <f>IF(H75&lt;&gt;"Paid","Outstanding",IF(J75=0,"On Time","Late"))</f>
        <v/>
      </c>
    </row>
    <row r="76">
      <c r="A76" s="2">
        <f>Raw_Data!A76</f>
        <v/>
      </c>
      <c r="B76" s="7">
        <f>Raw_Data!B76</f>
        <v/>
      </c>
      <c r="C76" s="2">
        <f>Raw_Data!C76</f>
        <v/>
      </c>
      <c r="D76" s="2">
        <f>Raw_Data!D76</f>
        <v/>
      </c>
      <c r="E76" s="8">
        <f>Raw_Data!F76</f>
        <v/>
      </c>
      <c r="F76" s="7">
        <f>Raw_Data!H76</f>
        <v/>
      </c>
      <c r="G76" s="7">
        <f>Raw_Data!I76</f>
        <v/>
      </c>
      <c r="H76" s="2">
        <f>Raw_Data!J76</f>
        <v/>
      </c>
      <c r="I76" s="2">
        <f>IF(G76="",0,G76-B76)</f>
        <v/>
      </c>
      <c r="J76" s="2">
        <f>IF(H76="Paid",MAX(0,G76-F76),MAX(0,DATE(2026,12,31)-F76))</f>
        <v/>
      </c>
      <c r="K76" s="8">
        <f>IF(H76="Paid",0,E76)</f>
        <v/>
      </c>
      <c r="L76" s="2">
        <f>IF(J76=0,"Current",IF(J76&lt;=30,"1-30 Days",IF(J76&lt;=60,"31-60 Days",IF(J76&lt;=90,"61-90 Days","90+ Days"))))</f>
        <v/>
      </c>
      <c r="M76" s="8">
        <f>IF(Raw_Data!K76="Yes",Raw_Data!F76*Raw_Data!L76,0)</f>
        <v/>
      </c>
      <c r="N76" s="2">
        <f>IF(H76&lt;&gt;"Paid","Outstanding",IF(J76=0,"On Time","Late"))</f>
        <v/>
      </c>
    </row>
    <row r="77">
      <c r="A77" s="2">
        <f>Raw_Data!A77</f>
        <v/>
      </c>
      <c r="B77" s="7">
        <f>Raw_Data!B77</f>
        <v/>
      </c>
      <c r="C77" s="2">
        <f>Raw_Data!C77</f>
        <v/>
      </c>
      <c r="D77" s="2">
        <f>Raw_Data!D77</f>
        <v/>
      </c>
      <c r="E77" s="8">
        <f>Raw_Data!F77</f>
        <v/>
      </c>
      <c r="F77" s="7">
        <f>Raw_Data!H77</f>
        <v/>
      </c>
      <c r="G77" s="7">
        <f>Raw_Data!I77</f>
        <v/>
      </c>
      <c r="H77" s="2">
        <f>Raw_Data!J77</f>
        <v/>
      </c>
      <c r="I77" s="2">
        <f>IF(G77="",0,G77-B77)</f>
        <v/>
      </c>
      <c r="J77" s="2">
        <f>IF(H77="Paid",MAX(0,G77-F77),MAX(0,DATE(2026,12,31)-F77))</f>
        <v/>
      </c>
      <c r="K77" s="8">
        <f>IF(H77="Paid",0,E77)</f>
        <v/>
      </c>
      <c r="L77" s="2">
        <f>IF(J77=0,"Current",IF(J77&lt;=30,"1-30 Days",IF(J77&lt;=60,"31-60 Days",IF(J77&lt;=90,"61-90 Days","90+ Days"))))</f>
        <v/>
      </c>
      <c r="M77" s="8">
        <f>IF(Raw_Data!K77="Yes",Raw_Data!F77*Raw_Data!L77,0)</f>
        <v/>
      </c>
      <c r="N77" s="2">
        <f>IF(H77&lt;&gt;"Paid","Outstanding",IF(J77=0,"On Time","Late"))</f>
        <v/>
      </c>
    </row>
    <row r="78">
      <c r="A78" s="2">
        <f>Raw_Data!A78</f>
        <v/>
      </c>
      <c r="B78" s="7">
        <f>Raw_Data!B78</f>
        <v/>
      </c>
      <c r="C78" s="2">
        <f>Raw_Data!C78</f>
        <v/>
      </c>
      <c r="D78" s="2">
        <f>Raw_Data!D78</f>
        <v/>
      </c>
      <c r="E78" s="8">
        <f>Raw_Data!F78</f>
        <v/>
      </c>
      <c r="F78" s="7">
        <f>Raw_Data!H78</f>
        <v/>
      </c>
      <c r="G78" s="7">
        <f>Raw_Data!I78</f>
        <v/>
      </c>
      <c r="H78" s="2">
        <f>Raw_Data!J78</f>
        <v/>
      </c>
      <c r="I78" s="2">
        <f>IF(G78="",0,G78-B78)</f>
        <v/>
      </c>
      <c r="J78" s="2">
        <f>IF(H78="Paid",MAX(0,G78-F78),MAX(0,DATE(2026,12,31)-F78))</f>
        <v/>
      </c>
      <c r="K78" s="8">
        <f>IF(H78="Paid",0,E78)</f>
        <v/>
      </c>
      <c r="L78" s="2">
        <f>IF(J78=0,"Current",IF(J78&lt;=30,"1-30 Days",IF(J78&lt;=60,"31-60 Days",IF(J78&lt;=90,"61-90 Days","90+ Days"))))</f>
        <v/>
      </c>
      <c r="M78" s="8">
        <f>IF(Raw_Data!K78="Yes",Raw_Data!F78*Raw_Data!L78,0)</f>
        <v/>
      </c>
      <c r="N78" s="2">
        <f>IF(H78&lt;&gt;"Paid","Outstanding",IF(J78=0,"On Time","Late"))</f>
        <v/>
      </c>
    </row>
    <row r="79">
      <c r="A79" s="2">
        <f>Raw_Data!A79</f>
        <v/>
      </c>
      <c r="B79" s="7">
        <f>Raw_Data!B79</f>
        <v/>
      </c>
      <c r="C79" s="2">
        <f>Raw_Data!C79</f>
        <v/>
      </c>
      <c r="D79" s="2">
        <f>Raw_Data!D79</f>
        <v/>
      </c>
      <c r="E79" s="8">
        <f>Raw_Data!F79</f>
        <v/>
      </c>
      <c r="F79" s="7">
        <f>Raw_Data!H79</f>
        <v/>
      </c>
      <c r="G79" s="7">
        <f>Raw_Data!I79</f>
        <v/>
      </c>
      <c r="H79" s="2">
        <f>Raw_Data!J79</f>
        <v/>
      </c>
      <c r="I79" s="2">
        <f>IF(G79="",0,G79-B79)</f>
        <v/>
      </c>
      <c r="J79" s="2">
        <f>IF(H79="Paid",MAX(0,G79-F79),MAX(0,DATE(2026,12,31)-F79))</f>
        <v/>
      </c>
      <c r="K79" s="8">
        <f>IF(H79="Paid",0,E79)</f>
        <v/>
      </c>
      <c r="L79" s="2">
        <f>IF(J79=0,"Current",IF(J79&lt;=30,"1-30 Days",IF(J79&lt;=60,"31-60 Days",IF(J79&lt;=90,"61-90 Days","90+ Days"))))</f>
        <v/>
      </c>
      <c r="M79" s="8">
        <f>IF(Raw_Data!K79="Yes",Raw_Data!F79*Raw_Data!L79,0)</f>
        <v/>
      </c>
      <c r="N79" s="2">
        <f>IF(H79&lt;&gt;"Paid","Outstanding",IF(J79=0,"On Time","Late"))</f>
        <v/>
      </c>
    </row>
    <row r="80">
      <c r="A80" s="2">
        <f>Raw_Data!A80</f>
        <v/>
      </c>
      <c r="B80" s="7">
        <f>Raw_Data!B80</f>
        <v/>
      </c>
      <c r="C80" s="2">
        <f>Raw_Data!C80</f>
        <v/>
      </c>
      <c r="D80" s="2">
        <f>Raw_Data!D80</f>
        <v/>
      </c>
      <c r="E80" s="8">
        <f>Raw_Data!F80</f>
        <v/>
      </c>
      <c r="F80" s="7">
        <f>Raw_Data!H80</f>
        <v/>
      </c>
      <c r="G80" s="7">
        <f>Raw_Data!I80</f>
        <v/>
      </c>
      <c r="H80" s="2">
        <f>Raw_Data!J80</f>
        <v/>
      </c>
      <c r="I80" s="2">
        <f>IF(G80="",0,G80-B80)</f>
        <v/>
      </c>
      <c r="J80" s="2">
        <f>IF(H80="Paid",MAX(0,G80-F80),MAX(0,DATE(2026,12,31)-F80))</f>
        <v/>
      </c>
      <c r="K80" s="8">
        <f>IF(H80="Paid",0,E80)</f>
        <v/>
      </c>
      <c r="L80" s="2">
        <f>IF(J80=0,"Current",IF(J80&lt;=30,"1-30 Days",IF(J80&lt;=60,"31-60 Days",IF(J80&lt;=90,"61-90 Days","90+ Days"))))</f>
        <v/>
      </c>
      <c r="M80" s="8">
        <f>IF(Raw_Data!K80="Yes",Raw_Data!F80*Raw_Data!L80,0)</f>
        <v/>
      </c>
      <c r="N80" s="2">
        <f>IF(H80&lt;&gt;"Paid","Outstanding",IF(J80=0,"On Time","Late"))</f>
        <v/>
      </c>
    </row>
    <row r="81">
      <c r="A81" s="2">
        <f>Raw_Data!A81</f>
        <v/>
      </c>
      <c r="B81" s="7">
        <f>Raw_Data!B81</f>
        <v/>
      </c>
      <c r="C81" s="2">
        <f>Raw_Data!C81</f>
        <v/>
      </c>
      <c r="D81" s="2">
        <f>Raw_Data!D81</f>
        <v/>
      </c>
      <c r="E81" s="8">
        <f>Raw_Data!F81</f>
        <v/>
      </c>
      <c r="F81" s="7">
        <f>Raw_Data!H81</f>
        <v/>
      </c>
      <c r="G81" s="7">
        <f>Raw_Data!I81</f>
        <v/>
      </c>
      <c r="H81" s="2">
        <f>Raw_Data!J81</f>
        <v/>
      </c>
      <c r="I81" s="2">
        <f>IF(G81="",0,G81-B81)</f>
        <v/>
      </c>
      <c r="J81" s="2">
        <f>IF(H81="Paid",MAX(0,G81-F81),MAX(0,DATE(2026,12,31)-F81))</f>
        <v/>
      </c>
      <c r="K81" s="8">
        <f>IF(H81="Paid",0,E81)</f>
        <v/>
      </c>
      <c r="L81" s="2">
        <f>IF(J81=0,"Current",IF(J81&lt;=30,"1-30 Days",IF(J81&lt;=60,"31-60 Days",IF(J81&lt;=90,"61-90 Days","90+ Days"))))</f>
        <v/>
      </c>
      <c r="M81" s="8">
        <f>IF(Raw_Data!K81="Yes",Raw_Data!F81*Raw_Data!L81,0)</f>
        <v/>
      </c>
      <c r="N81" s="2">
        <f>IF(H81&lt;&gt;"Paid","Outstanding",IF(J81=0,"On Time","Late"))</f>
        <v/>
      </c>
    </row>
    <row r="82">
      <c r="A82" s="2">
        <f>Raw_Data!A82</f>
        <v/>
      </c>
      <c r="B82" s="7">
        <f>Raw_Data!B82</f>
        <v/>
      </c>
      <c r="C82" s="2">
        <f>Raw_Data!C82</f>
        <v/>
      </c>
      <c r="D82" s="2">
        <f>Raw_Data!D82</f>
        <v/>
      </c>
      <c r="E82" s="8">
        <f>Raw_Data!F82</f>
        <v/>
      </c>
      <c r="F82" s="7">
        <f>Raw_Data!H82</f>
        <v/>
      </c>
      <c r="G82" s="7">
        <f>Raw_Data!I82</f>
        <v/>
      </c>
      <c r="H82" s="2">
        <f>Raw_Data!J82</f>
        <v/>
      </c>
      <c r="I82" s="2">
        <f>IF(G82="",0,G82-B82)</f>
        <v/>
      </c>
      <c r="J82" s="2">
        <f>IF(H82="Paid",MAX(0,G82-F82),MAX(0,DATE(2026,12,31)-F82))</f>
        <v/>
      </c>
      <c r="K82" s="8">
        <f>IF(H82="Paid",0,E82)</f>
        <v/>
      </c>
      <c r="L82" s="2">
        <f>IF(J82=0,"Current",IF(J82&lt;=30,"1-30 Days",IF(J82&lt;=60,"31-60 Days",IF(J82&lt;=90,"61-90 Days","90+ Days"))))</f>
        <v/>
      </c>
      <c r="M82" s="8">
        <f>IF(Raw_Data!K82="Yes",Raw_Data!F82*Raw_Data!L82,0)</f>
        <v/>
      </c>
      <c r="N82" s="2">
        <f>IF(H82&lt;&gt;"Paid","Outstanding",IF(J82=0,"On Time","Late"))</f>
        <v/>
      </c>
    </row>
    <row r="83">
      <c r="A83" s="2">
        <f>Raw_Data!A83</f>
        <v/>
      </c>
      <c r="B83" s="7">
        <f>Raw_Data!B83</f>
        <v/>
      </c>
      <c r="C83" s="2">
        <f>Raw_Data!C83</f>
        <v/>
      </c>
      <c r="D83" s="2">
        <f>Raw_Data!D83</f>
        <v/>
      </c>
      <c r="E83" s="8">
        <f>Raw_Data!F83</f>
        <v/>
      </c>
      <c r="F83" s="7">
        <f>Raw_Data!H83</f>
        <v/>
      </c>
      <c r="G83" s="7">
        <f>Raw_Data!I83</f>
        <v/>
      </c>
      <c r="H83" s="2">
        <f>Raw_Data!J83</f>
        <v/>
      </c>
      <c r="I83" s="2">
        <f>IF(G83="",0,G83-B83)</f>
        <v/>
      </c>
      <c r="J83" s="2">
        <f>IF(H83="Paid",MAX(0,G83-F83),MAX(0,DATE(2026,12,31)-F83))</f>
        <v/>
      </c>
      <c r="K83" s="8">
        <f>IF(H83="Paid",0,E83)</f>
        <v/>
      </c>
      <c r="L83" s="2">
        <f>IF(J83=0,"Current",IF(J83&lt;=30,"1-30 Days",IF(J83&lt;=60,"31-60 Days",IF(J83&lt;=90,"61-90 Days","90+ Days"))))</f>
        <v/>
      </c>
      <c r="M83" s="8">
        <f>IF(Raw_Data!K83="Yes",Raw_Data!F83*Raw_Data!L83,0)</f>
        <v/>
      </c>
      <c r="N83" s="2">
        <f>IF(H83&lt;&gt;"Paid","Outstanding",IF(J83=0,"On Time","Late"))</f>
        <v/>
      </c>
    </row>
    <row r="84">
      <c r="A84" s="2">
        <f>Raw_Data!A84</f>
        <v/>
      </c>
      <c r="B84" s="7">
        <f>Raw_Data!B84</f>
        <v/>
      </c>
      <c r="C84" s="2">
        <f>Raw_Data!C84</f>
        <v/>
      </c>
      <c r="D84" s="2">
        <f>Raw_Data!D84</f>
        <v/>
      </c>
      <c r="E84" s="8">
        <f>Raw_Data!F84</f>
        <v/>
      </c>
      <c r="F84" s="7">
        <f>Raw_Data!H84</f>
        <v/>
      </c>
      <c r="G84" s="7">
        <f>Raw_Data!I84</f>
        <v/>
      </c>
      <c r="H84" s="2">
        <f>Raw_Data!J84</f>
        <v/>
      </c>
      <c r="I84" s="2">
        <f>IF(G84="",0,G84-B84)</f>
        <v/>
      </c>
      <c r="J84" s="2">
        <f>IF(H84="Paid",MAX(0,G84-F84),MAX(0,DATE(2026,12,31)-F84))</f>
        <v/>
      </c>
      <c r="K84" s="8">
        <f>IF(H84="Paid",0,E84)</f>
        <v/>
      </c>
      <c r="L84" s="2">
        <f>IF(J84=0,"Current",IF(J84&lt;=30,"1-30 Days",IF(J84&lt;=60,"31-60 Days",IF(J84&lt;=90,"61-90 Days","90+ Days"))))</f>
        <v/>
      </c>
      <c r="M84" s="8">
        <f>IF(Raw_Data!K84="Yes",Raw_Data!F84*Raw_Data!L84,0)</f>
        <v/>
      </c>
      <c r="N84" s="2">
        <f>IF(H84&lt;&gt;"Paid","Outstanding",IF(J84=0,"On Time","Late"))</f>
        <v/>
      </c>
    </row>
    <row r="85">
      <c r="A85" s="2">
        <f>Raw_Data!A85</f>
        <v/>
      </c>
      <c r="B85" s="7">
        <f>Raw_Data!B85</f>
        <v/>
      </c>
      <c r="C85" s="2">
        <f>Raw_Data!C85</f>
        <v/>
      </c>
      <c r="D85" s="2">
        <f>Raw_Data!D85</f>
        <v/>
      </c>
      <c r="E85" s="8">
        <f>Raw_Data!F85</f>
        <v/>
      </c>
      <c r="F85" s="7">
        <f>Raw_Data!H85</f>
        <v/>
      </c>
      <c r="G85" s="7">
        <f>Raw_Data!I85</f>
        <v/>
      </c>
      <c r="H85" s="2">
        <f>Raw_Data!J85</f>
        <v/>
      </c>
      <c r="I85" s="2">
        <f>IF(G85="",0,G85-B85)</f>
        <v/>
      </c>
      <c r="J85" s="2">
        <f>IF(H85="Paid",MAX(0,G85-F85),MAX(0,DATE(2026,12,31)-F85))</f>
        <v/>
      </c>
      <c r="K85" s="8">
        <f>IF(H85="Paid",0,E85)</f>
        <v/>
      </c>
      <c r="L85" s="2">
        <f>IF(J85=0,"Current",IF(J85&lt;=30,"1-30 Days",IF(J85&lt;=60,"31-60 Days",IF(J85&lt;=90,"61-90 Days","90+ Days"))))</f>
        <v/>
      </c>
      <c r="M85" s="8">
        <f>IF(Raw_Data!K85="Yes",Raw_Data!F85*Raw_Data!L85,0)</f>
        <v/>
      </c>
      <c r="N85" s="2">
        <f>IF(H85&lt;&gt;"Paid","Outstanding",IF(J85=0,"On Time","Late"))</f>
        <v/>
      </c>
    </row>
    <row r="86">
      <c r="A86" s="2">
        <f>Raw_Data!A86</f>
        <v/>
      </c>
      <c r="B86" s="7">
        <f>Raw_Data!B86</f>
        <v/>
      </c>
      <c r="C86" s="2">
        <f>Raw_Data!C86</f>
        <v/>
      </c>
      <c r="D86" s="2">
        <f>Raw_Data!D86</f>
        <v/>
      </c>
      <c r="E86" s="8">
        <f>Raw_Data!F86</f>
        <v/>
      </c>
      <c r="F86" s="7">
        <f>Raw_Data!H86</f>
        <v/>
      </c>
      <c r="G86" s="7">
        <f>Raw_Data!I86</f>
        <v/>
      </c>
      <c r="H86" s="2">
        <f>Raw_Data!J86</f>
        <v/>
      </c>
      <c r="I86" s="2">
        <f>IF(G86="",0,G86-B86)</f>
        <v/>
      </c>
      <c r="J86" s="2">
        <f>IF(H86="Paid",MAX(0,G86-F86),MAX(0,DATE(2026,12,31)-F86))</f>
        <v/>
      </c>
      <c r="K86" s="8">
        <f>IF(H86="Paid",0,E86)</f>
        <v/>
      </c>
      <c r="L86" s="2">
        <f>IF(J86=0,"Current",IF(J86&lt;=30,"1-30 Days",IF(J86&lt;=60,"31-60 Days",IF(J86&lt;=90,"61-90 Days","90+ Days"))))</f>
        <v/>
      </c>
      <c r="M86" s="8">
        <f>IF(Raw_Data!K86="Yes",Raw_Data!F86*Raw_Data!L86,0)</f>
        <v/>
      </c>
      <c r="N86" s="2">
        <f>IF(H86&lt;&gt;"Paid","Outstanding",IF(J86=0,"On Time","Late"))</f>
        <v/>
      </c>
    </row>
    <row r="87">
      <c r="A87" s="2">
        <f>Raw_Data!A87</f>
        <v/>
      </c>
      <c r="B87" s="7">
        <f>Raw_Data!B87</f>
        <v/>
      </c>
      <c r="C87" s="2">
        <f>Raw_Data!C87</f>
        <v/>
      </c>
      <c r="D87" s="2">
        <f>Raw_Data!D87</f>
        <v/>
      </c>
      <c r="E87" s="8">
        <f>Raw_Data!F87</f>
        <v/>
      </c>
      <c r="F87" s="7">
        <f>Raw_Data!H87</f>
        <v/>
      </c>
      <c r="G87" s="7">
        <f>Raw_Data!I87</f>
        <v/>
      </c>
      <c r="H87" s="2">
        <f>Raw_Data!J87</f>
        <v/>
      </c>
      <c r="I87" s="2">
        <f>IF(G87="",0,G87-B87)</f>
        <v/>
      </c>
      <c r="J87" s="2">
        <f>IF(H87="Paid",MAX(0,G87-F87),MAX(0,DATE(2026,12,31)-F87))</f>
        <v/>
      </c>
      <c r="K87" s="8">
        <f>IF(H87="Paid",0,E87)</f>
        <v/>
      </c>
      <c r="L87" s="2">
        <f>IF(J87=0,"Current",IF(J87&lt;=30,"1-30 Days",IF(J87&lt;=60,"31-60 Days",IF(J87&lt;=90,"61-90 Days","90+ Days"))))</f>
        <v/>
      </c>
      <c r="M87" s="8">
        <f>IF(Raw_Data!K87="Yes",Raw_Data!F87*Raw_Data!L87,0)</f>
        <v/>
      </c>
      <c r="N87" s="2">
        <f>IF(H87&lt;&gt;"Paid","Outstanding",IF(J87=0,"On Time","Late"))</f>
        <v/>
      </c>
    </row>
    <row r="88">
      <c r="A88" s="2">
        <f>Raw_Data!A88</f>
        <v/>
      </c>
      <c r="B88" s="7">
        <f>Raw_Data!B88</f>
        <v/>
      </c>
      <c r="C88" s="2">
        <f>Raw_Data!C88</f>
        <v/>
      </c>
      <c r="D88" s="2">
        <f>Raw_Data!D88</f>
        <v/>
      </c>
      <c r="E88" s="8">
        <f>Raw_Data!F88</f>
        <v/>
      </c>
      <c r="F88" s="7">
        <f>Raw_Data!H88</f>
        <v/>
      </c>
      <c r="G88" s="7">
        <f>Raw_Data!I88</f>
        <v/>
      </c>
      <c r="H88" s="2">
        <f>Raw_Data!J88</f>
        <v/>
      </c>
      <c r="I88" s="2">
        <f>IF(G88="",0,G88-B88)</f>
        <v/>
      </c>
      <c r="J88" s="2">
        <f>IF(H88="Paid",MAX(0,G88-F88),MAX(0,DATE(2026,12,31)-F88))</f>
        <v/>
      </c>
      <c r="K88" s="8">
        <f>IF(H88="Paid",0,E88)</f>
        <v/>
      </c>
      <c r="L88" s="2">
        <f>IF(J88=0,"Current",IF(J88&lt;=30,"1-30 Days",IF(J88&lt;=60,"31-60 Days",IF(J88&lt;=90,"61-90 Days","90+ Days"))))</f>
        <v/>
      </c>
      <c r="M88" s="8">
        <f>IF(Raw_Data!K88="Yes",Raw_Data!F88*Raw_Data!L88,0)</f>
        <v/>
      </c>
      <c r="N88" s="2">
        <f>IF(H88&lt;&gt;"Paid","Outstanding",IF(J88=0,"On Time","Late"))</f>
        <v/>
      </c>
    </row>
    <row r="89">
      <c r="A89" s="2">
        <f>Raw_Data!A89</f>
        <v/>
      </c>
      <c r="B89" s="7">
        <f>Raw_Data!B89</f>
        <v/>
      </c>
      <c r="C89" s="2">
        <f>Raw_Data!C89</f>
        <v/>
      </c>
      <c r="D89" s="2">
        <f>Raw_Data!D89</f>
        <v/>
      </c>
      <c r="E89" s="8">
        <f>Raw_Data!F89</f>
        <v/>
      </c>
      <c r="F89" s="7">
        <f>Raw_Data!H89</f>
        <v/>
      </c>
      <c r="G89" s="7">
        <f>Raw_Data!I89</f>
        <v/>
      </c>
      <c r="H89" s="2">
        <f>Raw_Data!J89</f>
        <v/>
      </c>
      <c r="I89" s="2">
        <f>IF(G89="",0,G89-B89)</f>
        <v/>
      </c>
      <c r="J89" s="2">
        <f>IF(H89="Paid",MAX(0,G89-F89),MAX(0,DATE(2026,12,31)-F89))</f>
        <v/>
      </c>
      <c r="K89" s="8">
        <f>IF(H89="Paid",0,E89)</f>
        <v/>
      </c>
      <c r="L89" s="2">
        <f>IF(J89=0,"Current",IF(J89&lt;=30,"1-30 Days",IF(J89&lt;=60,"31-60 Days",IF(J89&lt;=90,"61-90 Days","90+ Days"))))</f>
        <v/>
      </c>
      <c r="M89" s="8">
        <f>IF(Raw_Data!K89="Yes",Raw_Data!F89*Raw_Data!L89,0)</f>
        <v/>
      </c>
      <c r="N89" s="2">
        <f>IF(H89&lt;&gt;"Paid","Outstanding",IF(J89=0,"On Time","Late"))</f>
        <v/>
      </c>
    </row>
    <row r="90">
      <c r="A90" s="2">
        <f>Raw_Data!A90</f>
        <v/>
      </c>
      <c r="B90" s="7">
        <f>Raw_Data!B90</f>
        <v/>
      </c>
      <c r="C90" s="2">
        <f>Raw_Data!C90</f>
        <v/>
      </c>
      <c r="D90" s="2">
        <f>Raw_Data!D90</f>
        <v/>
      </c>
      <c r="E90" s="8">
        <f>Raw_Data!F90</f>
        <v/>
      </c>
      <c r="F90" s="7">
        <f>Raw_Data!H90</f>
        <v/>
      </c>
      <c r="G90" s="7">
        <f>Raw_Data!I90</f>
        <v/>
      </c>
      <c r="H90" s="2">
        <f>Raw_Data!J90</f>
        <v/>
      </c>
      <c r="I90" s="2">
        <f>IF(G90="",0,G90-B90)</f>
        <v/>
      </c>
      <c r="J90" s="2">
        <f>IF(H90="Paid",MAX(0,G90-F90),MAX(0,DATE(2026,12,31)-F90))</f>
        <v/>
      </c>
      <c r="K90" s="8">
        <f>IF(H90="Paid",0,E90)</f>
        <v/>
      </c>
      <c r="L90" s="2">
        <f>IF(J90=0,"Current",IF(J90&lt;=30,"1-30 Days",IF(J90&lt;=60,"31-60 Days",IF(J90&lt;=90,"61-90 Days","90+ Days"))))</f>
        <v/>
      </c>
      <c r="M90" s="8">
        <f>IF(Raw_Data!K90="Yes",Raw_Data!F90*Raw_Data!L90,0)</f>
        <v/>
      </c>
      <c r="N90" s="2">
        <f>IF(H90&lt;&gt;"Paid","Outstanding",IF(J90=0,"On Time","Late"))</f>
        <v/>
      </c>
    </row>
    <row r="91">
      <c r="A91" s="2">
        <f>Raw_Data!A91</f>
        <v/>
      </c>
      <c r="B91" s="7">
        <f>Raw_Data!B91</f>
        <v/>
      </c>
      <c r="C91" s="2">
        <f>Raw_Data!C91</f>
        <v/>
      </c>
      <c r="D91" s="2">
        <f>Raw_Data!D91</f>
        <v/>
      </c>
      <c r="E91" s="8">
        <f>Raw_Data!F91</f>
        <v/>
      </c>
      <c r="F91" s="7">
        <f>Raw_Data!H91</f>
        <v/>
      </c>
      <c r="G91" s="7">
        <f>Raw_Data!I91</f>
        <v/>
      </c>
      <c r="H91" s="2">
        <f>Raw_Data!J91</f>
        <v/>
      </c>
      <c r="I91" s="2">
        <f>IF(G91="",0,G91-B91)</f>
        <v/>
      </c>
      <c r="J91" s="2">
        <f>IF(H91="Paid",MAX(0,G91-F91),MAX(0,DATE(2026,12,31)-F91))</f>
        <v/>
      </c>
      <c r="K91" s="8">
        <f>IF(H91="Paid",0,E91)</f>
        <v/>
      </c>
      <c r="L91" s="2">
        <f>IF(J91=0,"Current",IF(J91&lt;=30,"1-30 Days",IF(J91&lt;=60,"31-60 Days",IF(J91&lt;=90,"61-90 Days","90+ Days"))))</f>
        <v/>
      </c>
      <c r="M91" s="8">
        <f>IF(Raw_Data!K91="Yes",Raw_Data!F91*Raw_Data!L91,0)</f>
        <v/>
      </c>
      <c r="N91" s="2">
        <f>IF(H91&lt;&gt;"Paid","Outstanding",IF(J91=0,"On Time","Late"))</f>
        <v/>
      </c>
    </row>
    <row r="92">
      <c r="A92" s="2">
        <f>Raw_Data!A92</f>
        <v/>
      </c>
      <c r="B92" s="7">
        <f>Raw_Data!B92</f>
        <v/>
      </c>
      <c r="C92" s="2">
        <f>Raw_Data!C92</f>
        <v/>
      </c>
      <c r="D92" s="2">
        <f>Raw_Data!D92</f>
        <v/>
      </c>
      <c r="E92" s="8">
        <f>Raw_Data!F92</f>
        <v/>
      </c>
      <c r="F92" s="7">
        <f>Raw_Data!H92</f>
        <v/>
      </c>
      <c r="G92" s="7">
        <f>Raw_Data!I92</f>
        <v/>
      </c>
      <c r="H92" s="2">
        <f>Raw_Data!J92</f>
        <v/>
      </c>
      <c r="I92" s="2">
        <f>IF(G92="",0,G92-B92)</f>
        <v/>
      </c>
      <c r="J92" s="2">
        <f>IF(H92="Paid",MAX(0,G92-F92),MAX(0,DATE(2026,12,31)-F92))</f>
        <v/>
      </c>
      <c r="K92" s="8">
        <f>IF(H92="Paid",0,E92)</f>
        <v/>
      </c>
      <c r="L92" s="2">
        <f>IF(J92=0,"Current",IF(J92&lt;=30,"1-30 Days",IF(J92&lt;=60,"31-60 Days",IF(J92&lt;=90,"61-90 Days","90+ Days"))))</f>
        <v/>
      </c>
      <c r="M92" s="8">
        <f>IF(Raw_Data!K92="Yes",Raw_Data!F92*Raw_Data!L92,0)</f>
        <v/>
      </c>
      <c r="N92" s="2">
        <f>IF(H92&lt;&gt;"Paid","Outstanding",IF(J92=0,"On Time","Late"))</f>
        <v/>
      </c>
    </row>
    <row r="93">
      <c r="A93" s="2">
        <f>Raw_Data!A93</f>
        <v/>
      </c>
      <c r="B93" s="7">
        <f>Raw_Data!B93</f>
        <v/>
      </c>
      <c r="C93" s="2">
        <f>Raw_Data!C93</f>
        <v/>
      </c>
      <c r="D93" s="2">
        <f>Raw_Data!D93</f>
        <v/>
      </c>
      <c r="E93" s="8">
        <f>Raw_Data!F93</f>
        <v/>
      </c>
      <c r="F93" s="7">
        <f>Raw_Data!H93</f>
        <v/>
      </c>
      <c r="G93" s="7">
        <f>Raw_Data!I93</f>
        <v/>
      </c>
      <c r="H93" s="2">
        <f>Raw_Data!J93</f>
        <v/>
      </c>
      <c r="I93" s="2">
        <f>IF(G93="",0,G93-B93)</f>
        <v/>
      </c>
      <c r="J93" s="2">
        <f>IF(H93="Paid",MAX(0,G93-F93),MAX(0,DATE(2026,12,31)-F93))</f>
        <v/>
      </c>
      <c r="K93" s="8">
        <f>IF(H93="Paid",0,E93)</f>
        <v/>
      </c>
      <c r="L93" s="2">
        <f>IF(J93=0,"Current",IF(J93&lt;=30,"1-30 Days",IF(J93&lt;=60,"31-60 Days",IF(J93&lt;=90,"61-90 Days","90+ Days"))))</f>
        <v/>
      </c>
      <c r="M93" s="8">
        <f>IF(Raw_Data!K93="Yes",Raw_Data!F93*Raw_Data!L93,0)</f>
        <v/>
      </c>
      <c r="N93" s="2">
        <f>IF(H93&lt;&gt;"Paid","Outstanding",IF(J93=0,"On Time","Late"))</f>
        <v/>
      </c>
    </row>
    <row r="94">
      <c r="A94" s="2">
        <f>Raw_Data!A94</f>
        <v/>
      </c>
      <c r="B94" s="7">
        <f>Raw_Data!B94</f>
        <v/>
      </c>
      <c r="C94" s="2">
        <f>Raw_Data!C94</f>
        <v/>
      </c>
      <c r="D94" s="2">
        <f>Raw_Data!D94</f>
        <v/>
      </c>
      <c r="E94" s="8">
        <f>Raw_Data!F94</f>
        <v/>
      </c>
      <c r="F94" s="7">
        <f>Raw_Data!H94</f>
        <v/>
      </c>
      <c r="G94" s="7">
        <f>Raw_Data!I94</f>
        <v/>
      </c>
      <c r="H94" s="2">
        <f>Raw_Data!J94</f>
        <v/>
      </c>
      <c r="I94" s="2">
        <f>IF(G94="",0,G94-B94)</f>
        <v/>
      </c>
      <c r="J94" s="2">
        <f>IF(H94="Paid",MAX(0,G94-F94),MAX(0,DATE(2026,12,31)-F94))</f>
        <v/>
      </c>
      <c r="K94" s="8">
        <f>IF(H94="Paid",0,E94)</f>
        <v/>
      </c>
      <c r="L94" s="2">
        <f>IF(J94=0,"Current",IF(J94&lt;=30,"1-30 Days",IF(J94&lt;=60,"31-60 Days",IF(J94&lt;=90,"61-90 Days","90+ Days"))))</f>
        <v/>
      </c>
      <c r="M94" s="8">
        <f>IF(Raw_Data!K94="Yes",Raw_Data!F94*Raw_Data!L94,0)</f>
        <v/>
      </c>
      <c r="N94" s="2">
        <f>IF(H94&lt;&gt;"Paid","Outstanding",IF(J94=0,"On Time","Late"))</f>
        <v/>
      </c>
    </row>
    <row r="95">
      <c r="A95" s="2">
        <f>Raw_Data!A95</f>
        <v/>
      </c>
      <c r="B95" s="7">
        <f>Raw_Data!B95</f>
        <v/>
      </c>
      <c r="C95" s="2">
        <f>Raw_Data!C95</f>
        <v/>
      </c>
      <c r="D95" s="2">
        <f>Raw_Data!D95</f>
        <v/>
      </c>
      <c r="E95" s="8">
        <f>Raw_Data!F95</f>
        <v/>
      </c>
      <c r="F95" s="7">
        <f>Raw_Data!H95</f>
        <v/>
      </c>
      <c r="G95" s="7">
        <f>Raw_Data!I95</f>
        <v/>
      </c>
      <c r="H95" s="2">
        <f>Raw_Data!J95</f>
        <v/>
      </c>
      <c r="I95" s="2">
        <f>IF(G95="",0,G95-B95)</f>
        <v/>
      </c>
      <c r="J95" s="2">
        <f>IF(H95="Paid",MAX(0,G95-F95),MAX(0,DATE(2026,12,31)-F95))</f>
        <v/>
      </c>
      <c r="K95" s="8">
        <f>IF(H95="Paid",0,E95)</f>
        <v/>
      </c>
      <c r="L95" s="2">
        <f>IF(J95=0,"Current",IF(J95&lt;=30,"1-30 Days",IF(J95&lt;=60,"31-60 Days",IF(J95&lt;=90,"61-90 Days","90+ Days"))))</f>
        <v/>
      </c>
      <c r="M95" s="8">
        <f>IF(Raw_Data!K95="Yes",Raw_Data!F95*Raw_Data!L95,0)</f>
        <v/>
      </c>
      <c r="N95" s="2">
        <f>IF(H95&lt;&gt;"Paid","Outstanding",IF(J95=0,"On Time","Late"))</f>
        <v/>
      </c>
    </row>
    <row r="96">
      <c r="A96" s="2">
        <f>Raw_Data!A96</f>
        <v/>
      </c>
      <c r="B96" s="7">
        <f>Raw_Data!B96</f>
        <v/>
      </c>
      <c r="C96" s="2">
        <f>Raw_Data!C96</f>
        <v/>
      </c>
      <c r="D96" s="2">
        <f>Raw_Data!D96</f>
        <v/>
      </c>
      <c r="E96" s="8">
        <f>Raw_Data!F96</f>
        <v/>
      </c>
      <c r="F96" s="7">
        <f>Raw_Data!H96</f>
        <v/>
      </c>
      <c r="G96" s="7">
        <f>Raw_Data!I96</f>
        <v/>
      </c>
      <c r="H96" s="2">
        <f>Raw_Data!J96</f>
        <v/>
      </c>
      <c r="I96" s="2">
        <f>IF(G96="",0,G96-B96)</f>
        <v/>
      </c>
      <c r="J96" s="2">
        <f>IF(H96="Paid",MAX(0,G96-F96),MAX(0,DATE(2026,12,31)-F96))</f>
        <v/>
      </c>
      <c r="K96" s="8">
        <f>IF(H96="Paid",0,E96)</f>
        <v/>
      </c>
      <c r="L96" s="2">
        <f>IF(J96=0,"Current",IF(J96&lt;=30,"1-30 Days",IF(J96&lt;=60,"31-60 Days",IF(J96&lt;=90,"61-90 Days","90+ Days"))))</f>
        <v/>
      </c>
      <c r="M96" s="8">
        <f>IF(Raw_Data!K96="Yes",Raw_Data!F96*Raw_Data!L96,0)</f>
        <v/>
      </c>
      <c r="N96" s="2">
        <f>IF(H96&lt;&gt;"Paid","Outstanding",IF(J96=0,"On Time","Late"))</f>
        <v/>
      </c>
    </row>
    <row r="97">
      <c r="A97" s="2">
        <f>Raw_Data!A97</f>
        <v/>
      </c>
      <c r="B97" s="7">
        <f>Raw_Data!B97</f>
        <v/>
      </c>
      <c r="C97" s="2">
        <f>Raw_Data!C97</f>
        <v/>
      </c>
      <c r="D97" s="2">
        <f>Raw_Data!D97</f>
        <v/>
      </c>
      <c r="E97" s="8">
        <f>Raw_Data!F97</f>
        <v/>
      </c>
      <c r="F97" s="7">
        <f>Raw_Data!H97</f>
        <v/>
      </c>
      <c r="G97" s="7">
        <f>Raw_Data!I97</f>
        <v/>
      </c>
      <c r="H97" s="2">
        <f>Raw_Data!J97</f>
        <v/>
      </c>
      <c r="I97" s="2">
        <f>IF(G97="",0,G97-B97)</f>
        <v/>
      </c>
      <c r="J97" s="2">
        <f>IF(H97="Paid",MAX(0,G97-F97),MAX(0,DATE(2026,12,31)-F97))</f>
        <v/>
      </c>
      <c r="K97" s="8">
        <f>IF(H97="Paid",0,E97)</f>
        <v/>
      </c>
      <c r="L97" s="2">
        <f>IF(J97=0,"Current",IF(J97&lt;=30,"1-30 Days",IF(J97&lt;=60,"31-60 Days",IF(J97&lt;=90,"61-90 Days","90+ Days"))))</f>
        <v/>
      </c>
      <c r="M97" s="8">
        <f>IF(Raw_Data!K97="Yes",Raw_Data!F97*Raw_Data!L97,0)</f>
        <v/>
      </c>
      <c r="N97" s="2">
        <f>IF(H97&lt;&gt;"Paid","Outstanding",IF(J97=0,"On Time","Late"))</f>
        <v/>
      </c>
    </row>
    <row r="98">
      <c r="A98" s="2">
        <f>Raw_Data!A98</f>
        <v/>
      </c>
      <c r="B98" s="7">
        <f>Raw_Data!B98</f>
        <v/>
      </c>
      <c r="C98" s="2">
        <f>Raw_Data!C98</f>
        <v/>
      </c>
      <c r="D98" s="2">
        <f>Raw_Data!D98</f>
        <v/>
      </c>
      <c r="E98" s="8">
        <f>Raw_Data!F98</f>
        <v/>
      </c>
      <c r="F98" s="7">
        <f>Raw_Data!H98</f>
        <v/>
      </c>
      <c r="G98" s="7">
        <f>Raw_Data!I98</f>
        <v/>
      </c>
      <c r="H98" s="2">
        <f>Raw_Data!J98</f>
        <v/>
      </c>
      <c r="I98" s="2">
        <f>IF(G98="",0,G98-B98)</f>
        <v/>
      </c>
      <c r="J98" s="2">
        <f>IF(H98="Paid",MAX(0,G98-F98),MAX(0,DATE(2026,12,31)-F98))</f>
        <v/>
      </c>
      <c r="K98" s="8">
        <f>IF(H98="Paid",0,E98)</f>
        <v/>
      </c>
      <c r="L98" s="2">
        <f>IF(J98=0,"Current",IF(J98&lt;=30,"1-30 Days",IF(J98&lt;=60,"31-60 Days",IF(J98&lt;=90,"61-90 Days","90+ Days"))))</f>
        <v/>
      </c>
      <c r="M98" s="8">
        <f>IF(Raw_Data!K98="Yes",Raw_Data!F98*Raw_Data!L98,0)</f>
        <v/>
      </c>
      <c r="N98" s="2">
        <f>IF(H98&lt;&gt;"Paid","Outstanding",IF(J98=0,"On Time","Late"))</f>
        <v/>
      </c>
    </row>
    <row r="99">
      <c r="A99" s="2">
        <f>Raw_Data!A99</f>
        <v/>
      </c>
      <c r="B99" s="7">
        <f>Raw_Data!B99</f>
        <v/>
      </c>
      <c r="C99" s="2">
        <f>Raw_Data!C99</f>
        <v/>
      </c>
      <c r="D99" s="2">
        <f>Raw_Data!D99</f>
        <v/>
      </c>
      <c r="E99" s="8">
        <f>Raw_Data!F99</f>
        <v/>
      </c>
      <c r="F99" s="7">
        <f>Raw_Data!H99</f>
        <v/>
      </c>
      <c r="G99" s="7">
        <f>Raw_Data!I99</f>
        <v/>
      </c>
      <c r="H99" s="2">
        <f>Raw_Data!J99</f>
        <v/>
      </c>
      <c r="I99" s="2">
        <f>IF(G99="",0,G99-B99)</f>
        <v/>
      </c>
      <c r="J99" s="2">
        <f>IF(H99="Paid",MAX(0,G99-F99),MAX(0,DATE(2026,12,31)-F99))</f>
        <v/>
      </c>
      <c r="K99" s="8">
        <f>IF(H99="Paid",0,E99)</f>
        <v/>
      </c>
      <c r="L99" s="2">
        <f>IF(J99=0,"Current",IF(J99&lt;=30,"1-30 Days",IF(J99&lt;=60,"31-60 Days",IF(J99&lt;=90,"61-90 Days","90+ Days"))))</f>
        <v/>
      </c>
      <c r="M99" s="8">
        <f>IF(Raw_Data!K99="Yes",Raw_Data!F99*Raw_Data!L99,0)</f>
        <v/>
      </c>
      <c r="N99" s="2">
        <f>IF(H99&lt;&gt;"Paid","Outstanding",IF(J99=0,"On Time","Late"))</f>
        <v/>
      </c>
    </row>
    <row r="100">
      <c r="A100" s="2">
        <f>Raw_Data!A100</f>
        <v/>
      </c>
      <c r="B100" s="7">
        <f>Raw_Data!B100</f>
        <v/>
      </c>
      <c r="C100" s="2">
        <f>Raw_Data!C100</f>
        <v/>
      </c>
      <c r="D100" s="2">
        <f>Raw_Data!D100</f>
        <v/>
      </c>
      <c r="E100" s="8">
        <f>Raw_Data!F100</f>
        <v/>
      </c>
      <c r="F100" s="7">
        <f>Raw_Data!H100</f>
        <v/>
      </c>
      <c r="G100" s="7">
        <f>Raw_Data!I100</f>
        <v/>
      </c>
      <c r="H100" s="2">
        <f>Raw_Data!J100</f>
        <v/>
      </c>
      <c r="I100" s="2">
        <f>IF(G100="",0,G100-B100)</f>
        <v/>
      </c>
      <c r="J100" s="2">
        <f>IF(H100="Paid",MAX(0,G100-F100),MAX(0,DATE(2026,12,31)-F100))</f>
        <v/>
      </c>
      <c r="K100" s="8">
        <f>IF(H100="Paid",0,E100)</f>
        <v/>
      </c>
      <c r="L100" s="2">
        <f>IF(J100=0,"Current",IF(J100&lt;=30,"1-30 Days",IF(J100&lt;=60,"31-60 Days",IF(J100&lt;=90,"61-90 Days","90+ Days"))))</f>
        <v/>
      </c>
      <c r="M100" s="8">
        <f>IF(Raw_Data!K100="Yes",Raw_Data!F100*Raw_Data!L100,0)</f>
        <v/>
      </c>
      <c r="N100" s="2">
        <f>IF(H100&lt;&gt;"Paid","Outstanding",IF(J100=0,"On Time","Late"))</f>
        <v/>
      </c>
    </row>
    <row r="101">
      <c r="A101" s="2">
        <f>Raw_Data!A101</f>
        <v/>
      </c>
      <c r="B101" s="7">
        <f>Raw_Data!B101</f>
        <v/>
      </c>
      <c r="C101" s="2">
        <f>Raw_Data!C101</f>
        <v/>
      </c>
      <c r="D101" s="2">
        <f>Raw_Data!D101</f>
        <v/>
      </c>
      <c r="E101" s="8">
        <f>Raw_Data!F101</f>
        <v/>
      </c>
      <c r="F101" s="7">
        <f>Raw_Data!H101</f>
        <v/>
      </c>
      <c r="G101" s="7">
        <f>Raw_Data!I101</f>
        <v/>
      </c>
      <c r="H101" s="2">
        <f>Raw_Data!J101</f>
        <v/>
      </c>
      <c r="I101" s="2">
        <f>IF(G101="",0,G101-B101)</f>
        <v/>
      </c>
      <c r="J101" s="2">
        <f>IF(H101="Paid",MAX(0,G101-F101),MAX(0,DATE(2026,12,31)-F101))</f>
        <v/>
      </c>
      <c r="K101" s="8">
        <f>IF(H101="Paid",0,E101)</f>
        <v/>
      </c>
      <c r="L101" s="2">
        <f>IF(J101=0,"Current",IF(J101&lt;=30,"1-30 Days",IF(J101&lt;=60,"31-60 Days",IF(J101&lt;=90,"61-90 Days","90+ Days"))))</f>
        <v/>
      </c>
      <c r="M101" s="8">
        <f>IF(Raw_Data!K101="Yes",Raw_Data!F101*Raw_Data!L101,0)</f>
        <v/>
      </c>
      <c r="N101" s="2">
        <f>IF(H101&lt;&gt;"Paid","Outstanding",IF(J101=0,"On Time","Late"))</f>
        <v/>
      </c>
    </row>
    <row r="102">
      <c r="A102" s="2">
        <f>Raw_Data!A102</f>
        <v/>
      </c>
      <c r="B102" s="7">
        <f>Raw_Data!B102</f>
        <v/>
      </c>
      <c r="C102" s="2">
        <f>Raw_Data!C102</f>
        <v/>
      </c>
      <c r="D102" s="2">
        <f>Raw_Data!D102</f>
        <v/>
      </c>
      <c r="E102" s="8">
        <f>Raw_Data!F102</f>
        <v/>
      </c>
      <c r="F102" s="7">
        <f>Raw_Data!H102</f>
        <v/>
      </c>
      <c r="G102" s="7">
        <f>Raw_Data!I102</f>
        <v/>
      </c>
      <c r="H102" s="2">
        <f>Raw_Data!J102</f>
        <v/>
      </c>
      <c r="I102" s="2">
        <f>IF(G102="",0,G102-B102)</f>
        <v/>
      </c>
      <c r="J102" s="2">
        <f>IF(H102="Paid",MAX(0,G102-F102),MAX(0,DATE(2026,12,31)-F102))</f>
        <v/>
      </c>
      <c r="K102" s="8">
        <f>IF(H102="Paid",0,E102)</f>
        <v/>
      </c>
      <c r="L102" s="2">
        <f>IF(J102=0,"Current",IF(J102&lt;=30,"1-30 Days",IF(J102&lt;=60,"31-60 Days",IF(J102&lt;=90,"61-90 Days","90+ Days"))))</f>
        <v/>
      </c>
      <c r="M102" s="8">
        <f>IF(Raw_Data!K102="Yes",Raw_Data!F102*Raw_Data!L102,0)</f>
        <v/>
      </c>
      <c r="N102" s="2">
        <f>IF(H102&lt;&gt;"Paid","Outstanding",IF(J102=0,"On Time","Late"))</f>
        <v/>
      </c>
    </row>
    <row r="103">
      <c r="A103" s="2">
        <f>Raw_Data!A103</f>
        <v/>
      </c>
      <c r="B103" s="7">
        <f>Raw_Data!B103</f>
        <v/>
      </c>
      <c r="C103" s="2">
        <f>Raw_Data!C103</f>
        <v/>
      </c>
      <c r="D103" s="2">
        <f>Raw_Data!D103</f>
        <v/>
      </c>
      <c r="E103" s="8">
        <f>Raw_Data!F103</f>
        <v/>
      </c>
      <c r="F103" s="7">
        <f>Raw_Data!H103</f>
        <v/>
      </c>
      <c r="G103" s="7">
        <f>Raw_Data!I103</f>
        <v/>
      </c>
      <c r="H103" s="2">
        <f>Raw_Data!J103</f>
        <v/>
      </c>
      <c r="I103" s="2">
        <f>IF(G103="",0,G103-B103)</f>
        <v/>
      </c>
      <c r="J103" s="2">
        <f>IF(H103="Paid",MAX(0,G103-F103),MAX(0,DATE(2026,12,31)-F103))</f>
        <v/>
      </c>
      <c r="K103" s="8">
        <f>IF(H103="Paid",0,E103)</f>
        <v/>
      </c>
      <c r="L103" s="2">
        <f>IF(J103=0,"Current",IF(J103&lt;=30,"1-30 Days",IF(J103&lt;=60,"31-60 Days",IF(J103&lt;=90,"61-90 Days","90+ Days"))))</f>
        <v/>
      </c>
      <c r="M103" s="8">
        <f>IF(Raw_Data!K103="Yes",Raw_Data!F103*Raw_Data!L103,0)</f>
        <v/>
      </c>
      <c r="N103" s="2">
        <f>IF(H103&lt;&gt;"Paid","Outstanding",IF(J103=0,"On Time","Late"))</f>
        <v/>
      </c>
    </row>
    <row r="104">
      <c r="A104" s="2">
        <f>Raw_Data!A104</f>
        <v/>
      </c>
      <c r="B104" s="7">
        <f>Raw_Data!B104</f>
        <v/>
      </c>
      <c r="C104" s="2">
        <f>Raw_Data!C104</f>
        <v/>
      </c>
      <c r="D104" s="2">
        <f>Raw_Data!D104</f>
        <v/>
      </c>
      <c r="E104" s="8">
        <f>Raw_Data!F104</f>
        <v/>
      </c>
      <c r="F104" s="7">
        <f>Raw_Data!H104</f>
        <v/>
      </c>
      <c r="G104" s="7">
        <f>Raw_Data!I104</f>
        <v/>
      </c>
      <c r="H104" s="2">
        <f>Raw_Data!J104</f>
        <v/>
      </c>
      <c r="I104" s="2">
        <f>IF(G104="",0,G104-B104)</f>
        <v/>
      </c>
      <c r="J104" s="2">
        <f>IF(H104="Paid",MAX(0,G104-F104),MAX(0,DATE(2026,12,31)-F104))</f>
        <v/>
      </c>
      <c r="K104" s="8">
        <f>IF(H104="Paid",0,E104)</f>
        <v/>
      </c>
      <c r="L104" s="2">
        <f>IF(J104=0,"Current",IF(J104&lt;=30,"1-30 Days",IF(J104&lt;=60,"31-60 Days",IF(J104&lt;=90,"61-90 Days","90+ Days"))))</f>
        <v/>
      </c>
      <c r="M104" s="8">
        <f>IF(Raw_Data!K104="Yes",Raw_Data!F104*Raw_Data!L104,0)</f>
        <v/>
      </c>
      <c r="N104" s="2">
        <f>IF(H104&lt;&gt;"Paid","Outstanding",IF(J104=0,"On Time","Late"))</f>
        <v/>
      </c>
    </row>
    <row r="105">
      <c r="A105" s="2">
        <f>Raw_Data!A105</f>
        <v/>
      </c>
      <c r="B105" s="7">
        <f>Raw_Data!B105</f>
        <v/>
      </c>
      <c r="C105" s="2">
        <f>Raw_Data!C105</f>
        <v/>
      </c>
      <c r="D105" s="2">
        <f>Raw_Data!D105</f>
        <v/>
      </c>
      <c r="E105" s="8">
        <f>Raw_Data!F105</f>
        <v/>
      </c>
      <c r="F105" s="7">
        <f>Raw_Data!H105</f>
        <v/>
      </c>
      <c r="G105" s="7">
        <f>Raw_Data!I105</f>
        <v/>
      </c>
      <c r="H105" s="2">
        <f>Raw_Data!J105</f>
        <v/>
      </c>
      <c r="I105" s="2">
        <f>IF(G105="",0,G105-B105)</f>
        <v/>
      </c>
      <c r="J105" s="2">
        <f>IF(H105="Paid",MAX(0,G105-F105),MAX(0,DATE(2026,12,31)-F105))</f>
        <v/>
      </c>
      <c r="K105" s="8">
        <f>IF(H105="Paid",0,E105)</f>
        <v/>
      </c>
      <c r="L105" s="2">
        <f>IF(J105=0,"Current",IF(J105&lt;=30,"1-30 Days",IF(J105&lt;=60,"31-60 Days",IF(J105&lt;=90,"61-90 Days","90+ Days"))))</f>
        <v/>
      </c>
      <c r="M105" s="8">
        <f>IF(Raw_Data!K105="Yes",Raw_Data!F105*Raw_Data!L105,0)</f>
        <v/>
      </c>
      <c r="N105" s="2">
        <f>IF(H105&lt;&gt;"Paid","Outstanding",IF(J105=0,"On Time","Late"))</f>
        <v/>
      </c>
    </row>
    <row r="106">
      <c r="A106" s="2">
        <f>Raw_Data!A106</f>
        <v/>
      </c>
      <c r="B106" s="7">
        <f>Raw_Data!B106</f>
        <v/>
      </c>
      <c r="C106" s="2">
        <f>Raw_Data!C106</f>
        <v/>
      </c>
      <c r="D106" s="2">
        <f>Raw_Data!D106</f>
        <v/>
      </c>
      <c r="E106" s="8">
        <f>Raw_Data!F106</f>
        <v/>
      </c>
      <c r="F106" s="7">
        <f>Raw_Data!H106</f>
        <v/>
      </c>
      <c r="G106" s="7">
        <f>Raw_Data!I106</f>
        <v/>
      </c>
      <c r="H106" s="2">
        <f>Raw_Data!J106</f>
        <v/>
      </c>
      <c r="I106" s="2">
        <f>IF(G106="",0,G106-B106)</f>
        <v/>
      </c>
      <c r="J106" s="2">
        <f>IF(H106="Paid",MAX(0,G106-F106),MAX(0,DATE(2026,12,31)-F106))</f>
        <v/>
      </c>
      <c r="K106" s="8">
        <f>IF(H106="Paid",0,E106)</f>
        <v/>
      </c>
      <c r="L106" s="2">
        <f>IF(J106=0,"Current",IF(J106&lt;=30,"1-30 Days",IF(J106&lt;=60,"31-60 Days",IF(J106&lt;=90,"61-90 Days","90+ Days"))))</f>
        <v/>
      </c>
      <c r="M106" s="8">
        <f>IF(Raw_Data!K106="Yes",Raw_Data!F106*Raw_Data!L106,0)</f>
        <v/>
      </c>
      <c r="N106" s="2">
        <f>IF(H106&lt;&gt;"Paid","Outstanding",IF(J106=0,"On Time","Late"))</f>
        <v/>
      </c>
    </row>
    <row r="107">
      <c r="A107" s="2">
        <f>Raw_Data!A107</f>
        <v/>
      </c>
      <c r="B107" s="7">
        <f>Raw_Data!B107</f>
        <v/>
      </c>
      <c r="C107" s="2">
        <f>Raw_Data!C107</f>
        <v/>
      </c>
      <c r="D107" s="2">
        <f>Raw_Data!D107</f>
        <v/>
      </c>
      <c r="E107" s="8">
        <f>Raw_Data!F107</f>
        <v/>
      </c>
      <c r="F107" s="7">
        <f>Raw_Data!H107</f>
        <v/>
      </c>
      <c r="G107" s="7">
        <f>Raw_Data!I107</f>
        <v/>
      </c>
      <c r="H107" s="2">
        <f>Raw_Data!J107</f>
        <v/>
      </c>
      <c r="I107" s="2">
        <f>IF(G107="",0,G107-B107)</f>
        <v/>
      </c>
      <c r="J107" s="2">
        <f>IF(H107="Paid",MAX(0,G107-F107),MAX(0,DATE(2026,12,31)-F107))</f>
        <v/>
      </c>
      <c r="K107" s="8">
        <f>IF(H107="Paid",0,E107)</f>
        <v/>
      </c>
      <c r="L107" s="2">
        <f>IF(J107=0,"Current",IF(J107&lt;=30,"1-30 Days",IF(J107&lt;=60,"31-60 Days",IF(J107&lt;=90,"61-90 Days","90+ Days"))))</f>
        <v/>
      </c>
      <c r="M107" s="8">
        <f>IF(Raw_Data!K107="Yes",Raw_Data!F107*Raw_Data!L107,0)</f>
        <v/>
      </c>
      <c r="N107" s="2">
        <f>IF(H107&lt;&gt;"Paid","Outstanding",IF(J107=0,"On Time","Late"))</f>
        <v/>
      </c>
    </row>
    <row r="108">
      <c r="A108" s="2">
        <f>Raw_Data!A108</f>
        <v/>
      </c>
      <c r="B108" s="7">
        <f>Raw_Data!B108</f>
        <v/>
      </c>
      <c r="C108" s="2">
        <f>Raw_Data!C108</f>
        <v/>
      </c>
      <c r="D108" s="2">
        <f>Raw_Data!D108</f>
        <v/>
      </c>
      <c r="E108" s="8">
        <f>Raw_Data!F108</f>
        <v/>
      </c>
      <c r="F108" s="7">
        <f>Raw_Data!H108</f>
        <v/>
      </c>
      <c r="G108" s="7">
        <f>Raw_Data!I108</f>
        <v/>
      </c>
      <c r="H108" s="2">
        <f>Raw_Data!J108</f>
        <v/>
      </c>
      <c r="I108" s="2">
        <f>IF(G108="",0,G108-B108)</f>
        <v/>
      </c>
      <c r="J108" s="2">
        <f>IF(H108="Paid",MAX(0,G108-F108),MAX(0,DATE(2026,12,31)-F108))</f>
        <v/>
      </c>
      <c r="K108" s="8">
        <f>IF(H108="Paid",0,E108)</f>
        <v/>
      </c>
      <c r="L108" s="2">
        <f>IF(J108=0,"Current",IF(J108&lt;=30,"1-30 Days",IF(J108&lt;=60,"31-60 Days",IF(J108&lt;=90,"61-90 Days","90+ Days"))))</f>
        <v/>
      </c>
      <c r="M108" s="8">
        <f>IF(Raw_Data!K108="Yes",Raw_Data!F108*Raw_Data!L108,0)</f>
        <v/>
      </c>
      <c r="N108" s="2">
        <f>IF(H108&lt;&gt;"Paid","Outstanding",IF(J108=0,"On Time","Late"))</f>
        <v/>
      </c>
    </row>
    <row r="109">
      <c r="A109" s="2">
        <f>Raw_Data!A109</f>
        <v/>
      </c>
      <c r="B109" s="7">
        <f>Raw_Data!B109</f>
        <v/>
      </c>
      <c r="C109" s="2">
        <f>Raw_Data!C109</f>
        <v/>
      </c>
      <c r="D109" s="2">
        <f>Raw_Data!D109</f>
        <v/>
      </c>
      <c r="E109" s="8">
        <f>Raw_Data!F109</f>
        <v/>
      </c>
      <c r="F109" s="7">
        <f>Raw_Data!H109</f>
        <v/>
      </c>
      <c r="G109" s="7">
        <f>Raw_Data!I109</f>
        <v/>
      </c>
      <c r="H109" s="2">
        <f>Raw_Data!J109</f>
        <v/>
      </c>
      <c r="I109" s="2">
        <f>IF(G109="",0,G109-B109)</f>
        <v/>
      </c>
      <c r="J109" s="2">
        <f>IF(H109="Paid",MAX(0,G109-F109),MAX(0,DATE(2026,12,31)-F109))</f>
        <v/>
      </c>
      <c r="K109" s="8">
        <f>IF(H109="Paid",0,E109)</f>
        <v/>
      </c>
      <c r="L109" s="2">
        <f>IF(J109=0,"Current",IF(J109&lt;=30,"1-30 Days",IF(J109&lt;=60,"31-60 Days",IF(J109&lt;=90,"61-90 Days","90+ Days"))))</f>
        <v/>
      </c>
      <c r="M109" s="8">
        <f>IF(Raw_Data!K109="Yes",Raw_Data!F109*Raw_Data!L109,0)</f>
        <v/>
      </c>
      <c r="N109" s="2">
        <f>IF(H109&lt;&gt;"Paid","Outstanding",IF(J109=0,"On Time","Late"))</f>
        <v/>
      </c>
    </row>
    <row r="110">
      <c r="A110" s="2">
        <f>Raw_Data!A110</f>
        <v/>
      </c>
      <c r="B110" s="7">
        <f>Raw_Data!B110</f>
        <v/>
      </c>
      <c r="C110" s="2">
        <f>Raw_Data!C110</f>
        <v/>
      </c>
      <c r="D110" s="2">
        <f>Raw_Data!D110</f>
        <v/>
      </c>
      <c r="E110" s="8">
        <f>Raw_Data!F110</f>
        <v/>
      </c>
      <c r="F110" s="7">
        <f>Raw_Data!H110</f>
        <v/>
      </c>
      <c r="G110" s="7">
        <f>Raw_Data!I110</f>
        <v/>
      </c>
      <c r="H110" s="2">
        <f>Raw_Data!J110</f>
        <v/>
      </c>
      <c r="I110" s="2">
        <f>IF(G110="",0,G110-B110)</f>
        <v/>
      </c>
      <c r="J110" s="2">
        <f>IF(H110="Paid",MAX(0,G110-F110),MAX(0,DATE(2026,12,31)-F110))</f>
        <v/>
      </c>
      <c r="K110" s="8">
        <f>IF(H110="Paid",0,E110)</f>
        <v/>
      </c>
      <c r="L110" s="2">
        <f>IF(J110=0,"Current",IF(J110&lt;=30,"1-30 Days",IF(J110&lt;=60,"31-60 Days",IF(J110&lt;=90,"61-90 Days","90+ Days"))))</f>
        <v/>
      </c>
      <c r="M110" s="8">
        <f>IF(Raw_Data!K110="Yes",Raw_Data!F110*Raw_Data!L110,0)</f>
        <v/>
      </c>
      <c r="N110" s="2">
        <f>IF(H110&lt;&gt;"Paid","Outstanding",IF(J110=0,"On Time","Late"))</f>
        <v/>
      </c>
    </row>
    <row r="111">
      <c r="A111" s="2">
        <f>Raw_Data!A111</f>
        <v/>
      </c>
      <c r="B111" s="7">
        <f>Raw_Data!B111</f>
        <v/>
      </c>
      <c r="C111" s="2">
        <f>Raw_Data!C111</f>
        <v/>
      </c>
      <c r="D111" s="2">
        <f>Raw_Data!D111</f>
        <v/>
      </c>
      <c r="E111" s="8">
        <f>Raw_Data!F111</f>
        <v/>
      </c>
      <c r="F111" s="7">
        <f>Raw_Data!H111</f>
        <v/>
      </c>
      <c r="G111" s="7">
        <f>Raw_Data!I111</f>
        <v/>
      </c>
      <c r="H111" s="2">
        <f>Raw_Data!J111</f>
        <v/>
      </c>
      <c r="I111" s="2">
        <f>IF(G111="",0,G111-B111)</f>
        <v/>
      </c>
      <c r="J111" s="2">
        <f>IF(H111="Paid",MAX(0,G111-F111),MAX(0,DATE(2026,12,31)-F111))</f>
        <v/>
      </c>
      <c r="K111" s="8">
        <f>IF(H111="Paid",0,E111)</f>
        <v/>
      </c>
      <c r="L111" s="2">
        <f>IF(J111=0,"Current",IF(J111&lt;=30,"1-30 Days",IF(J111&lt;=60,"31-60 Days",IF(J111&lt;=90,"61-90 Days","90+ Days"))))</f>
        <v/>
      </c>
      <c r="M111" s="8">
        <f>IF(Raw_Data!K111="Yes",Raw_Data!F111*Raw_Data!L111,0)</f>
        <v/>
      </c>
      <c r="N111" s="2">
        <f>IF(H111&lt;&gt;"Paid","Outstanding",IF(J111=0,"On Time","Late"))</f>
        <v/>
      </c>
    </row>
    <row r="112">
      <c r="A112" s="2">
        <f>Raw_Data!A112</f>
        <v/>
      </c>
      <c r="B112" s="7">
        <f>Raw_Data!B112</f>
        <v/>
      </c>
      <c r="C112" s="2">
        <f>Raw_Data!C112</f>
        <v/>
      </c>
      <c r="D112" s="2">
        <f>Raw_Data!D112</f>
        <v/>
      </c>
      <c r="E112" s="8">
        <f>Raw_Data!F112</f>
        <v/>
      </c>
      <c r="F112" s="7">
        <f>Raw_Data!H112</f>
        <v/>
      </c>
      <c r="G112" s="7">
        <f>Raw_Data!I112</f>
        <v/>
      </c>
      <c r="H112" s="2">
        <f>Raw_Data!J112</f>
        <v/>
      </c>
      <c r="I112" s="2">
        <f>IF(G112="",0,G112-B112)</f>
        <v/>
      </c>
      <c r="J112" s="2">
        <f>IF(H112="Paid",MAX(0,G112-F112),MAX(0,DATE(2026,12,31)-F112))</f>
        <v/>
      </c>
      <c r="K112" s="8">
        <f>IF(H112="Paid",0,E112)</f>
        <v/>
      </c>
      <c r="L112" s="2">
        <f>IF(J112=0,"Current",IF(J112&lt;=30,"1-30 Days",IF(J112&lt;=60,"31-60 Days",IF(J112&lt;=90,"61-90 Days","90+ Days"))))</f>
        <v/>
      </c>
      <c r="M112" s="8">
        <f>IF(Raw_Data!K112="Yes",Raw_Data!F112*Raw_Data!L112,0)</f>
        <v/>
      </c>
      <c r="N112" s="2">
        <f>IF(H112&lt;&gt;"Paid","Outstanding",IF(J112=0,"On Time","Late"))</f>
        <v/>
      </c>
    </row>
    <row r="113">
      <c r="A113" s="2">
        <f>Raw_Data!A113</f>
        <v/>
      </c>
      <c r="B113" s="7">
        <f>Raw_Data!B113</f>
        <v/>
      </c>
      <c r="C113" s="2">
        <f>Raw_Data!C113</f>
        <v/>
      </c>
      <c r="D113" s="2">
        <f>Raw_Data!D113</f>
        <v/>
      </c>
      <c r="E113" s="8">
        <f>Raw_Data!F113</f>
        <v/>
      </c>
      <c r="F113" s="7">
        <f>Raw_Data!H113</f>
        <v/>
      </c>
      <c r="G113" s="7">
        <f>Raw_Data!I113</f>
        <v/>
      </c>
      <c r="H113" s="2">
        <f>Raw_Data!J113</f>
        <v/>
      </c>
      <c r="I113" s="2">
        <f>IF(G113="",0,G113-B113)</f>
        <v/>
      </c>
      <c r="J113" s="2">
        <f>IF(H113="Paid",MAX(0,G113-F113),MAX(0,DATE(2026,12,31)-F113))</f>
        <v/>
      </c>
      <c r="K113" s="8">
        <f>IF(H113="Paid",0,E113)</f>
        <v/>
      </c>
      <c r="L113" s="2">
        <f>IF(J113=0,"Current",IF(J113&lt;=30,"1-30 Days",IF(J113&lt;=60,"31-60 Days",IF(J113&lt;=90,"61-90 Days","90+ Days"))))</f>
        <v/>
      </c>
      <c r="M113" s="8">
        <f>IF(Raw_Data!K113="Yes",Raw_Data!F113*Raw_Data!L113,0)</f>
        <v/>
      </c>
      <c r="N113" s="2">
        <f>IF(H113&lt;&gt;"Paid","Outstanding",IF(J113=0,"On Time","Late"))</f>
        <v/>
      </c>
    </row>
    <row r="114">
      <c r="A114" s="2">
        <f>Raw_Data!A114</f>
        <v/>
      </c>
      <c r="B114" s="7">
        <f>Raw_Data!B114</f>
        <v/>
      </c>
      <c r="C114" s="2">
        <f>Raw_Data!C114</f>
        <v/>
      </c>
      <c r="D114" s="2">
        <f>Raw_Data!D114</f>
        <v/>
      </c>
      <c r="E114" s="8">
        <f>Raw_Data!F114</f>
        <v/>
      </c>
      <c r="F114" s="7">
        <f>Raw_Data!H114</f>
        <v/>
      </c>
      <c r="G114" s="7">
        <f>Raw_Data!I114</f>
        <v/>
      </c>
      <c r="H114" s="2">
        <f>Raw_Data!J114</f>
        <v/>
      </c>
      <c r="I114" s="2">
        <f>IF(G114="",0,G114-B114)</f>
        <v/>
      </c>
      <c r="J114" s="2">
        <f>IF(H114="Paid",MAX(0,G114-F114),MAX(0,DATE(2026,12,31)-F114))</f>
        <v/>
      </c>
      <c r="K114" s="8">
        <f>IF(H114="Paid",0,E114)</f>
        <v/>
      </c>
      <c r="L114" s="2">
        <f>IF(J114=0,"Current",IF(J114&lt;=30,"1-30 Days",IF(J114&lt;=60,"31-60 Days",IF(J114&lt;=90,"61-90 Days","90+ Days"))))</f>
        <v/>
      </c>
      <c r="M114" s="8">
        <f>IF(Raw_Data!K114="Yes",Raw_Data!F114*Raw_Data!L114,0)</f>
        <v/>
      </c>
      <c r="N114" s="2">
        <f>IF(H114&lt;&gt;"Paid","Outstanding",IF(J114=0,"On Time","Late"))</f>
        <v/>
      </c>
    </row>
    <row r="115">
      <c r="A115" s="2">
        <f>Raw_Data!A115</f>
        <v/>
      </c>
      <c r="B115" s="7">
        <f>Raw_Data!B115</f>
        <v/>
      </c>
      <c r="C115" s="2">
        <f>Raw_Data!C115</f>
        <v/>
      </c>
      <c r="D115" s="2">
        <f>Raw_Data!D115</f>
        <v/>
      </c>
      <c r="E115" s="8">
        <f>Raw_Data!F115</f>
        <v/>
      </c>
      <c r="F115" s="7">
        <f>Raw_Data!H115</f>
        <v/>
      </c>
      <c r="G115" s="7">
        <f>Raw_Data!I115</f>
        <v/>
      </c>
      <c r="H115" s="2">
        <f>Raw_Data!J115</f>
        <v/>
      </c>
      <c r="I115" s="2">
        <f>IF(G115="",0,G115-B115)</f>
        <v/>
      </c>
      <c r="J115" s="2">
        <f>IF(H115="Paid",MAX(0,G115-F115),MAX(0,DATE(2026,12,31)-F115))</f>
        <v/>
      </c>
      <c r="K115" s="8">
        <f>IF(H115="Paid",0,E115)</f>
        <v/>
      </c>
      <c r="L115" s="2">
        <f>IF(J115=0,"Current",IF(J115&lt;=30,"1-30 Days",IF(J115&lt;=60,"31-60 Days",IF(J115&lt;=90,"61-90 Days","90+ Days"))))</f>
        <v/>
      </c>
      <c r="M115" s="8">
        <f>IF(Raw_Data!K115="Yes",Raw_Data!F115*Raw_Data!L115,0)</f>
        <v/>
      </c>
      <c r="N115" s="2">
        <f>IF(H115&lt;&gt;"Paid","Outstanding",IF(J115=0,"On Time","Late"))</f>
        <v/>
      </c>
    </row>
    <row r="116">
      <c r="A116" s="2">
        <f>Raw_Data!A116</f>
        <v/>
      </c>
      <c r="B116" s="7">
        <f>Raw_Data!B116</f>
        <v/>
      </c>
      <c r="C116" s="2">
        <f>Raw_Data!C116</f>
        <v/>
      </c>
      <c r="D116" s="2">
        <f>Raw_Data!D116</f>
        <v/>
      </c>
      <c r="E116" s="8">
        <f>Raw_Data!F116</f>
        <v/>
      </c>
      <c r="F116" s="7">
        <f>Raw_Data!H116</f>
        <v/>
      </c>
      <c r="G116" s="7">
        <f>Raw_Data!I116</f>
        <v/>
      </c>
      <c r="H116" s="2">
        <f>Raw_Data!J116</f>
        <v/>
      </c>
      <c r="I116" s="2">
        <f>IF(G116="",0,G116-B116)</f>
        <v/>
      </c>
      <c r="J116" s="2">
        <f>IF(H116="Paid",MAX(0,G116-F116),MAX(0,DATE(2026,12,31)-F116))</f>
        <v/>
      </c>
      <c r="K116" s="8">
        <f>IF(H116="Paid",0,E116)</f>
        <v/>
      </c>
      <c r="L116" s="2">
        <f>IF(J116=0,"Current",IF(J116&lt;=30,"1-30 Days",IF(J116&lt;=60,"31-60 Days",IF(J116&lt;=90,"61-90 Days","90+ Days"))))</f>
        <v/>
      </c>
      <c r="M116" s="8">
        <f>IF(Raw_Data!K116="Yes",Raw_Data!F116*Raw_Data!L116,0)</f>
        <v/>
      </c>
      <c r="N116" s="2">
        <f>IF(H116&lt;&gt;"Paid","Outstanding",IF(J116=0,"On Time","Late"))</f>
        <v/>
      </c>
    </row>
    <row r="117">
      <c r="A117" s="2">
        <f>Raw_Data!A117</f>
        <v/>
      </c>
      <c r="B117" s="7">
        <f>Raw_Data!B117</f>
        <v/>
      </c>
      <c r="C117" s="2">
        <f>Raw_Data!C117</f>
        <v/>
      </c>
      <c r="D117" s="2">
        <f>Raw_Data!D117</f>
        <v/>
      </c>
      <c r="E117" s="8">
        <f>Raw_Data!F117</f>
        <v/>
      </c>
      <c r="F117" s="7">
        <f>Raw_Data!H117</f>
        <v/>
      </c>
      <c r="G117" s="7">
        <f>Raw_Data!I117</f>
        <v/>
      </c>
      <c r="H117" s="2">
        <f>Raw_Data!J117</f>
        <v/>
      </c>
      <c r="I117" s="2">
        <f>IF(G117="",0,G117-B117)</f>
        <v/>
      </c>
      <c r="J117" s="2">
        <f>IF(H117="Paid",MAX(0,G117-F117),MAX(0,DATE(2026,12,31)-F117))</f>
        <v/>
      </c>
      <c r="K117" s="8">
        <f>IF(H117="Paid",0,E117)</f>
        <v/>
      </c>
      <c r="L117" s="2">
        <f>IF(J117=0,"Current",IF(J117&lt;=30,"1-30 Days",IF(J117&lt;=60,"31-60 Days",IF(J117&lt;=90,"61-90 Days","90+ Days"))))</f>
        <v/>
      </c>
      <c r="M117" s="8">
        <f>IF(Raw_Data!K117="Yes",Raw_Data!F117*Raw_Data!L117,0)</f>
        <v/>
      </c>
      <c r="N117" s="2">
        <f>IF(H117&lt;&gt;"Paid","Outstanding",IF(J117=0,"On Time","Late"))</f>
        <v/>
      </c>
    </row>
    <row r="118">
      <c r="A118" s="2">
        <f>Raw_Data!A118</f>
        <v/>
      </c>
      <c r="B118" s="7">
        <f>Raw_Data!B118</f>
        <v/>
      </c>
      <c r="C118" s="2">
        <f>Raw_Data!C118</f>
        <v/>
      </c>
      <c r="D118" s="2">
        <f>Raw_Data!D118</f>
        <v/>
      </c>
      <c r="E118" s="8">
        <f>Raw_Data!F118</f>
        <v/>
      </c>
      <c r="F118" s="7">
        <f>Raw_Data!H118</f>
        <v/>
      </c>
      <c r="G118" s="7">
        <f>Raw_Data!I118</f>
        <v/>
      </c>
      <c r="H118" s="2">
        <f>Raw_Data!J118</f>
        <v/>
      </c>
      <c r="I118" s="2">
        <f>IF(G118="",0,G118-B118)</f>
        <v/>
      </c>
      <c r="J118" s="2">
        <f>IF(H118="Paid",MAX(0,G118-F118),MAX(0,DATE(2026,12,31)-F118))</f>
        <v/>
      </c>
      <c r="K118" s="8">
        <f>IF(H118="Paid",0,E118)</f>
        <v/>
      </c>
      <c r="L118" s="2">
        <f>IF(J118=0,"Current",IF(J118&lt;=30,"1-30 Days",IF(J118&lt;=60,"31-60 Days",IF(J118&lt;=90,"61-90 Days","90+ Days"))))</f>
        <v/>
      </c>
      <c r="M118" s="8">
        <f>IF(Raw_Data!K118="Yes",Raw_Data!F118*Raw_Data!L118,0)</f>
        <v/>
      </c>
      <c r="N118" s="2">
        <f>IF(H118&lt;&gt;"Paid","Outstanding",IF(J118=0,"On Time","Late"))</f>
        <v/>
      </c>
    </row>
    <row r="119">
      <c r="A119" s="2">
        <f>Raw_Data!A119</f>
        <v/>
      </c>
      <c r="B119" s="7">
        <f>Raw_Data!B119</f>
        <v/>
      </c>
      <c r="C119" s="2">
        <f>Raw_Data!C119</f>
        <v/>
      </c>
      <c r="D119" s="2">
        <f>Raw_Data!D119</f>
        <v/>
      </c>
      <c r="E119" s="8">
        <f>Raw_Data!F119</f>
        <v/>
      </c>
      <c r="F119" s="7">
        <f>Raw_Data!H119</f>
        <v/>
      </c>
      <c r="G119" s="7">
        <f>Raw_Data!I119</f>
        <v/>
      </c>
      <c r="H119" s="2">
        <f>Raw_Data!J119</f>
        <v/>
      </c>
      <c r="I119" s="2">
        <f>IF(G119="",0,G119-B119)</f>
        <v/>
      </c>
      <c r="J119" s="2">
        <f>IF(H119="Paid",MAX(0,G119-F119),MAX(0,DATE(2026,12,31)-F119))</f>
        <v/>
      </c>
      <c r="K119" s="8">
        <f>IF(H119="Paid",0,E119)</f>
        <v/>
      </c>
      <c r="L119" s="2">
        <f>IF(J119=0,"Current",IF(J119&lt;=30,"1-30 Days",IF(J119&lt;=60,"31-60 Days",IF(J119&lt;=90,"61-90 Days","90+ Days"))))</f>
        <v/>
      </c>
      <c r="M119" s="8">
        <f>IF(Raw_Data!K119="Yes",Raw_Data!F119*Raw_Data!L119,0)</f>
        <v/>
      </c>
      <c r="N119" s="2">
        <f>IF(H119&lt;&gt;"Paid","Outstanding",IF(J119=0,"On Time","Late"))</f>
        <v/>
      </c>
    </row>
    <row r="120">
      <c r="A120" s="2">
        <f>Raw_Data!A120</f>
        <v/>
      </c>
      <c r="B120" s="7">
        <f>Raw_Data!B120</f>
        <v/>
      </c>
      <c r="C120" s="2">
        <f>Raw_Data!C120</f>
        <v/>
      </c>
      <c r="D120" s="2">
        <f>Raw_Data!D120</f>
        <v/>
      </c>
      <c r="E120" s="8">
        <f>Raw_Data!F120</f>
        <v/>
      </c>
      <c r="F120" s="7">
        <f>Raw_Data!H120</f>
        <v/>
      </c>
      <c r="G120" s="7">
        <f>Raw_Data!I120</f>
        <v/>
      </c>
      <c r="H120" s="2">
        <f>Raw_Data!J120</f>
        <v/>
      </c>
      <c r="I120" s="2">
        <f>IF(G120="",0,G120-B120)</f>
        <v/>
      </c>
      <c r="J120" s="2">
        <f>IF(H120="Paid",MAX(0,G120-F120),MAX(0,DATE(2026,12,31)-F120))</f>
        <v/>
      </c>
      <c r="K120" s="8">
        <f>IF(H120="Paid",0,E120)</f>
        <v/>
      </c>
      <c r="L120" s="2">
        <f>IF(J120=0,"Current",IF(J120&lt;=30,"1-30 Days",IF(J120&lt;=60,"31-60 Days",IF(J120&lt;=90,"61-90 Days","90+ Days"))))</f>
        <v/>
      </c>
      <c r="M120" s="8">
        <f>IF(Raw_Data!K120="Yes",Raw_Data!F120*Raw_Data!L120,0)</f>
        <v/>
      </c>
      <c r="N120" s="2">
        <f>IF(H120&lt;&gt;"Paid","Outstanding",IF(J120=0,"On Time","Late"))</f>
        <v/>
      </c>
    </row>
    <row r="121">
      <c r="A121" s="2">
        <f>Raw_Data!A121</f>
        <v/>
      </c>
      <c r="B121" s="7">
        <f>Raw_Data!B121</f>
        <v/>
      </c>
      <c r="C121" s="2">
        <f>Raw_Data!C121</f>
        <v/>
      </c>
      <c r="D121" s="2">
        <f>Raw_Data!D121</f>
        <v/>
      </c>
      <c r="E121" s="8">
        <f>Raw_Data!F121</f>
        <v/>
      </c>
      <c r="F121" s="7">
        <f>Raw_Data!H121</f>
        <v/>
      </c>
      <c r="G121" s="7">
        <f>Raw_Data!I121</f>
        <v/>
      </c>
      <c r="H121" s="2">
        <f>Raw_Data!J121</f>
        <v/>
      </c>
      <c r="I121" s="2">
        <f>IF(G121="",0,G121-B121)</f>
        <v/>
      </c>
      <c r="J121" s="2">
        <f>IF(H121="Paid",MAX(0,G121-F121),MAX(0,DATE(2026,12,31)-F121))</f>
        <v/>
      </c>
      <c r="K121" s="8">
        <f>IF(H121="Paid",0,E121)</f>
        <v/>
      </c>
      <c r="L121" s="2">
        <f>IF(J121=0,"Current",IF(J121&lt;=30,"1-30 Days",IF(J121&lt;=60,"31-60 Days",IF(J121&lt;=90,"61-90 Days","90+ Days"))))</f>
        <v/>
      </c>
      <c r="M121" s="8">
        <f>IF(Raw_Data!K121="Yes",Raw_Data!F121*Raw_Data!L121,0)</f>
        <v/>
      </c>
      <c r="N121" s="2">
        <f>IF(H121&lt;&gt;"Paid","Outstanding",IF(J121=0,"On Time","Late"))</f>
        <v/>
      </c>
    </row>
    <row r="122">
      <c r="A122" s="2">
        <f>Raw_Data!A122</f>
        <v/>
      </c>
      <c r="B122" s="7">
        <f>Raw_Data!B122</f>
        <v/>
      </c>
      <c r="C122" s="2">
        <f>Raw_Data!C122</f>
        <v/>
      </c>
      <c r="D122" s="2">
        <f>Raw_Data!D122</f>
        <v/>
      </c>
      <c r="E122" s="8">
        <f>Raw_Data!F122</f>
        <v/>
      </c>
      <c r="F122" s="7">
        <f>Raw_Data!H122</f>
        <v/>
      </c>
      <c r="G122" s="7">
        <f>Raw_Data!I122</f>
        <v/>
      </c>
      <c r="H122" s="2">
        <f>Raw_Data!J122</f>
        <v/>
      </c>
      <c r="I122" s="2">
        <f>IF(G122="",0,G122-B122)</f>
        <v/>
      </c>
      <c r="J122" s="2">
        <f>IF(H122="Paid",MAX(0,G122-F122),MAX(0,DATE(2026,12,31)-F122))</f>
        <v/>
      </c>
      <c r="K122" s="8">
        <f>IF(H122="Paid",0,E122)</f>
        <v/>
      </c>
      <c r="L122" s="2">
        <f>IF(J122=0,"Current",IF(J122&lt;=30,"1-30 Days",IF(J122&lt;=60,"31-60 Days",IF(J122&lt;=90,"61-90 Days","90+ Days"))))</f>
        <v/>
      </c>
      <c r="M122" s="8">
        <f>IF(Raw_Data!K122="Yes",Raw_Data!F122*Raw_Data!L122,0)</f>
        <v/>
      </c>
      <c r="N122" s="2">
        <f>IF(H122&lt;&gt;"Paid","Outstanding",IF(J122=0,"On Time","Late"))</f>
        <v/>
      </c>
    </row>
    <row r="123">
      <c r="A123" s="2">
        <f>Raw_Data!A123</f>
        <v/>
      </c>
      <c r="B123" s="7">
        <f>Raw_Data!B123</f>
        <v/>
      </c>
      <c r="C123" s="2">
        <f>Raw_Data!C123</f>
        <v/>
      </c>
      <c r="D123" s="2">
        <f>Raw_Data!D123</f>
        <v/>
      </c>
      <c r="E123" s="8">
        <f>Raw_Data!F123</f>
        <v/>
      </c>
      <c r="F123" s="7">
        <f>Raw_Data!H123</f>
        <v/>
      </c>
      <c r="G123" s="7">
        <f>Raw_Data!I123</f>
        <v/>
      </c>
      <c r="H123" s="2">
        <f>Raw_Data!J123</f>
        <v/>
      </c>
      <c r="I123" s="2">
        <f>IF(G123="",0,G123-B123)</f>
        <v/>
      </c>
      <c r="J123" s="2">
        <f>IF(H123="Paid",MAX(0,G123-F123),MAX(0,DATE(2026,12,31)-F123))</f>
        <v/>
      </c>
      <c r="K123" s="8">
        <f>IF(H123="Paid",0,E123)</f>
        <v/>
      </c>
      <c r="L123" s="2">
        <f>IF(J123=0,"Current",IF(J123&lt;=30,"1-30 Days",IF(J123&lt;=60,"31-60 Days",IF(J123&lt;=90,"61-90 Days","90+ Days"))))</f>
        <v/>
      </c>
      <c r="M123" s="8">
        <f>IF(Raw_Data!K123="Yes",Raw_Data!F123*Raw_Data!L123,0)</f>
        <v/>
      </c>
      <c r="N123" s="2">
        <f>IF(H123&lt;&gt;"Paid","Outstanding",IF(J123=0,"On Time","Late"))</f>
        <v/>
      </c>
    </row>
    <row r="124">
      <c r="A124" s="2">
        <f>Raw_Data!A124</f>
        <v/>
      </c>
      <c r="B124" s="7">
        <f>Raw_Data!B124</f>
        <v/>
      </c>
      <c r="C124" s="2">
        <f>Raw_Data!C124</f>
        <v/>
      </c>
      <c r="D124" s="2">
        <f>Raw_Data!D124</f>
        <v/>
      </c>
      <c r="E124" s="8">
        <f>Raw_Data!F124</f>
        <v/>
      </c>
      <c r="F124" s="7">
        <f>Raw_Data!H124</f>
        <v/>
      </c>
      <c r="G124" s="7">
        <f>Raw_Data!I124</f>
        <v/>
      </c>
      <c r="H124" s="2">
        <f>Raw_Data!J124</f>
        <v/>
      </c>
      <c r="I124" s="2">
        <f>IF(G124="",0,G124-B124)</f>
        <v/>
      </c>
      <c r="J124" s="2">
        <f>IF(H124="Paid",MAX(0,G124-F124),MAX(0,DATE(2026,12,31)-F124))</f>
        <v/>
      </c>
      <c r="K124" s="8">
        <f>IF(H124="Paid",0,E124)</f>
        <v/>
      </c>
      <c r="L124" s="2">
        <f>IF(J124=0,"Current",IF(J124&lt;=30,"1-30 Days",IF(J124&lt;=60,"31-60 Days",IF(J124&lt;=90,"61-90 Days","90+ Days"))))</f>
        <v/>
      </c>
      <c r="M124" s="8">
        <f>IF(Raw_Data!K124="Yes",Raw_Data!F124*Raw_Data!L124,0)</f>
        <v/>
      </c>
      <c r="N124" s="2">
        <f>IF(H124&lt;&gt;"Paid","Outstanding",IF(J124=0,"On Time","Late"))</f>
        <v/>
      </c>
    </row>
    <row r="125">
      <c r="A125" s="2">
        <f>Raw_Data!A125</f>
        <v/>
      </c>
      <c r="B125" s="7">
        <f>Raw_Data!B125</f>
        <v/>
      </c>
      <c r="C125" s="2">
        <f>Raw_Data!C125</f>
        <v/>
      </c>
      <c r="D125" s="2">
        <f>Raw_Data!D125</f>
        <v/>
      </c>
      <c r="E125" s="8">
        <f>Raw_Data!F125</f>
        <v/>
      </c>
      <c r="F125" s="7">
        <f>Raw_Data!H125</f>
        <v/>
      </c>
      <c r="G125" s="7">
        <f>Raw_Data!I125</f>
        <v/>
      </c>
      <c r="H125" s="2">
        <f>Raw_Data!J125</f>
        <v/>
      </c>
      <c r="I125" s="2">
        <f>IF(G125="",0,G125-B125)</f>
        <v/>
      </c>
      <c r="J125" s="2">
        <f>IF(H125="Paid",MAX(0,G125-F125),MAX(0,DATE(2026,12,31)-F125))</f>
        <v/>
      </c>
      <c r="K125" s="8">
        <f>IF(H125="Paid",0,E125)</f>
        <v/>
      </c>
      <c r="L125" s="2">
        <f>IF(J125=0,"Current",IF(J125&lt;=30,"1-30 Days",IF(J125&lt;=60,"31-60 Days",IF(J125&lt;=90,"61-90 Days","90+ Days"))))</f>
        <v/>
      </c>
      <c r="M125" s="8">
        <f>IF(Raw_Data!K125="Yes",Raw_Data!F125*Raw_Data!L125,0)</f>
        <v/>
      </c>
      <c r="N125" s="2">
        <f>IF(H125&lt;&gt;"Paid","Outstanding",IF(J125=0,"On Time","Late"))</f>
        <v/>
      </c>
    </row>
    <row r="126">
      <c r="A126" s="2">
        <f>Raw_Data!A126</f>
        <v/>
      </c>
      <c r="B126" s="7">
        <f>Raw_Data!B126</f>
        <v/>
      </c>
      <c r="C126" s="2">
        <f>Raw_Data!C126</f>
        <v/>
      </c>
      <c r="D126" s="2">
        <f>Raw_Data!D126</f>
        <v/>
      </c>
      <c r="E126" s="8">
        <f>Raw_Data!F126</f>
        <v/>
      </c>
      <c r="F126" s="7">
        <f>Raw_Data!H126</f>
        <v/>
      </c>
      <c r="G126" s="7">
        <f>Raw_Data!I126</f>
        <v/>
      </c>
      <c r="H126" s="2">
        <f>Raw_Data!J126</f>
        <v/>
      </c>
      <c r="I126" s="2">
        <f>IF(G126="",0,G126-B126)</f>
        <v/>
      </c>
      <c r="J126" s="2">
        <f>IF(H126="Paid",MAX(0,G126-F126),MAX(0,DATE(2026,12,31)-F126))</f>
        <v/>
      </c>
      <c r="K126" s="8">
        <f>IF(H126="Paid",0,E126)</f>
        <v/>
      </c>
      <c r="L126" s="2">
        <f>IF(J126=0,"Current",IF(J126&lt;=30,"1-30 Days",IF(J126&lt;=60,"31-60 Days",IF(J126&lt;=90,"61-90 Days","90+ Days"))))</f>
        <v/>
      </c>
      <c r="M126" s="8">
        <f>IF(Raw_Data!K126="Yes",Raw_Data!F126*Raw_Data!L126,0)</f>
        <v/>
      </c>
      <c r="N126" s="2">
        <f>IF(H126&lt;&gt;"Paid","Outstanding",IF(J126=0,"On Time","Late"))</f>
        <v/>
      </c>
    </row>
    <row r="127">
      <c r="A127" s="2">
        <f>Raw_Data!A127</f>
        <v/>
      </c>
      <c r="B127" s="7">
        <f>Raw_Data!B127</f>
        <v/>
      </c>
      <c r="C127" s="2">
        <f>Raw_Data!C127</f>
        <v/>
      </c>
      <c r="D127" s="2">
        <f>Raw_Data!D127</f>
        <v/>
      </c>
      <c r="E127" s="8">
        <f>Raw_Data!F127</f>
        <v/>
      </c>
      <c r="F127" s="7">
        <f>Raw_Data!H127</f>
        <v/>
      </c>
      <c r="G127" s="7">
        <f>Raw_Data!I127</f>
        <v/>
      </c>
      <c r="H127" s="2">
        <f>Raw_Data!J127</f>
        <v/>
      </c>
      <c r="I127" s="2">
        <f>IF(G127="",0,G127-B127)</f>
        <v/>
      </c>
      <c r="J127" s="2">
        <f>IF(H127="Paid",MAX(0,G127-F127),MAX(0,DATE(2026,12,31)-F127))</f>
        <v/>
      </c>
      <c r="K127" s="8">
        <f>IF(H127="Paid",0,E127)</f>
        <v/>
      </c>
      <c r="L127" s="2">
        <f>IF(J127=0,"Current",IF(J127&lt;=30,"1-30 Days",IF(J127&lt;=60,"31-60 Days",IF(J127&lt;=90,"61-90 Days","90+ Days"))))</f>
        <v/>
      </c>
      <c r="M127" s="8">
        <f>IF(Raw_Data!K127="Yes",Raw_Data!F127*Raw_Data!L127,0)</f>
        <v/>
      </c>
      <c r="N127" s="2">
        <f>IF(H127&lt;&gt;"Paid","Outstanding",IF(J127=0,"On Time","Late"))</f>
        <v/>
      </c>
    </row>
    <row r="128">
      <c r="A128" s="2">
        <f>Raw_Data!A128</f>
        <v/>
      </c>
      <c r="B128" s="7">
        <f>Raw_Data!B128</f>
        <v/>
      </c>
      <c r="C128" s="2">
        <f>Raw_Data!C128</f>
        <v/>
      </c>
      <c r="D128" s="2">
        <f>Raw_Data!D128</f>
        <v/>
      </c>
      <c r="E128" s="8">
        <f>Raw_Data!F128</f>
        <v/>
      </c>
      <c r="F128" s="7">
        <f>Raw_Data!H128</f>
        <v/>
      </c>
      <c r="G128" s="7">
        <f>Raw_Data!I128</f>
        <v/>
      </c>
      <c r="H128" s="2">
        <f>Raw_Data!J128</f>
        <v/>
      </c>
      <c r="I128" s="2">
        <f>IF(G128="",0,G128-B128)</f>
        <v/>
      </c>
      <c r="J128" s="2">
        <f>IF(H128="Paid",MAX(0,G128-F128),MAX(0,DATE(2026,12,31)-F128))</f>
        <v/>
      </c>
      <c r="K128" s="8">
        <f>IF(H128="Paid",0,E128)</f>
        <v/>
      </c>
      <c r="L128" s="2">
        <f>IF(J128=0,"Current",IF(J128&lt;=30,"1-30 Days",IF(J128&lt;=60,"31-60 Days",IF(J128&lt;=90,"61-90 Days","90+ Days"))))</f>
        <v/>
      </c>
      <c r="M128" s="8">
        <f>IF(Raw_Data!K128="Yes",Raw_Data!F128*Raw_Data!L128,0)</f>
        <v/>
      </c>
      <c r="N128" s="2">
        <f>IF(H128&lt;&gt;"Paid","Outstanding",IF(J128=0,"On Time","Late"))</f>
        <v/>
      </c>
    </row>
    <row r="129">
      <c r="A129" s="2">
        <f>Raw_Data!A129</f>
        <v/>
      </c>
      <c r="B129" s="7">
        <f>Raw_Data!B129</f>
        <v/>
      </c>
      <c r="C129" s="2">
        <f>Raw_Data!C129</f>
        <v/>
      </c>
      <c r="D129" s="2">
        <f>Raw_Data!D129</f>
        <v/>
      </c>
      <c r="E129" s="8">
        <f>Raw_Data!F129</f>
        <v/>
      </c>
      <c r="F129" s="7">
        <f>Raw_Data!H129</f>
        <v/>
      </c>
      <c r="G129" s="7">
        <f>Raw_Data!I129</f>
        <v/>
      </c>
      <c r="H129" s="2">
        <f>Raw_Data!J129</f>
        <v/>
      </c>
      <c r="I129" s="2">
        <f>IF(G129="",0,G129-B129)</f>
        <v/>
      </c>
      <c r="J129" s="2">
        <f>IF(H129="Paid",MAX(0,G129-F129),MAX(0,DATE(2026,12,31)-F129))</f>
        <v/>
      </c>
      <c r="K129" s="8">
        <f>IF(H129="Paid",0,E129)</f>
        <v/>
      </c>
      <c r="L129" s="2">
        <f>IF(J129=0,"Current",IF(J129&lt;=30,"1-30 Days",IF(J129&lt;=60,"31-60 Days",IF(J129&lt;=90,"61-90 Days","90+ Days"))))</f>
        <v/>
      </c>
      <c r="M129" s="8">
        <f>IF(Raw_Data!K129="Yes",Raw_Data!F129*Raw_Data!L129,0)</f>
        <v/>
      </c>
      <c r="N129" s="2">
        <f>IF(H129&lt;&gt;"Paid","Outstanding",IF(J129=0,"On Time","Late"))</f>
        <v/>
      </c>
    </row>
    <row r="130">
      <c r="A130" s="2">
        <f>Raw_Data!A130</f>
        <v/>
      </c>
      <c r="B130" s="7">
        <f>Raw_Data!B130</f>
        <v/>
      </c>
      <c r="C130" s="2">
        <f>Raw_Data!C130</f>
        <v/>
      </c>
      <c r="D130" s="2">
        <f>Raw_Data!D130</f>
        <v/>
      </c>
      <c r="E130" s="8">
        <f>Raw_Data!F130</f>
        <v/>
      </c>
      <c r="F130" s="7">
        <f>Raw_Data!H130</f>
        <v/>
      </c>
      <c r="G130" s="7">
        <f>Raw_Data!I130</f>
        <v/>
      </c>
      <c r="H130" s="2">
        <f>Raw_Data!J130</f>
        <v/>
      </c>
      <c r="I130" s="2">
        <f>IF(G130="",0,G130-B130)</f>
        <v/>
      </c>
      <c r="J130" s="2">
        <f>IF(H130="Paid",MAX(0,G130-F130),MAX(0,DATE(2026,12,31)-F130))</f>
        <v/>
      </c>
      <c r="K130" s="8">
        <f>IF(H130="Paid",0,E130)</f>
        <v/>
      </c>
      <c r="L130" s="2">
        <f>IF(J130=0,"Current",IF(J130&lt;=30,"1-30 Days",IF(J130&lt;=60,"31-60 Days",IF(J130&lt;=90,"61-90 Days","90+ Days"))))</f>
        <v/>
      </c>
      <c r="M130" s="8">
        <f>IF(Raw_Data!K130="Yes",Raw_Data!F130*Raw_Data!L130,0)</f>
        <v/>
      </c>
      <c r="N130" s="2">
        <f>IF(H130&lt;&gt;"Paid","Outstanding",IF(J130=0,"On Time","Late"))</f>
        <v/>
      </c>
    </row>
    <row r="131">
      <c r="A131" s="2">
        <f>Raw_Data!A131</f>
        <v/>
      </c>
      <c r="B131" s="7">
        <f>Raw_Data!B131</f>
        <v/>
      </c>
      <c r="C131" s="2">
        <f>Raw_Data!C131</f>
        <v/>
      </c>
      <c r="D131" s="2">
        <f>Raw_Data!D131</f>
        <v/>
      </c>
      <c r="E131" s="8">
        <f>Raw_Data!F131</f>
        <v/>
      </c>
      <c r="F131" s="7">
        <f>Raw_Data!H131</f>
        <v/>
      </c>
      <c r="G131" s="7">
        <f>Raw_Data!I131</f>
        <v/>
      </c>
      <c r="H131" s="2">
        <f>Raw_Data!J131</f>
        <v/>
      </c>
      <c r="I131" s="2">
        <f>IF(G131="",0,G131-B131)</f>
        <v/>
      </c>
      <c r="J131" s="2">
        <f>IF(H131="Paid",MAX(0,G131-F131),MAX(0,DATE(2026,12,31)-F131))</f>
        <v/>
      </c>
      <c r="K131" s="8">
        <f>IF(H131="Paid",0,E131)</f>
        <v/>
      </c>
      <c r="L131" s="2">
        <f>IF(J131=0,"Current",IF(J131&lt;=30,"1-30 Days",IF(J131&lt;=60,"31-60 Days",IF(J131&lt;=90,"61-90 Days","90+ Days"))))</f>
        <v/>
      </c>
      <c r="M131" s="8">
        <f>IF(Raw_Data!K131="Yes",Raw_Data!F131*Raw_Data!L131,0)</f>
        <v/>
      </c>
      <c r="N131" s="2">
        <f>IF(H131&lt;&gt;"Paid","Outstanding",IF(J131=0,"On Time","Late"))</f>
        <v/>
      </c>
    </row>
    <row r="132">
      <c r="A132" s="2">
        <f>Raw_Data!A132</f>
        <v/>
      </c>
      <c r="B132" s="7">
        <f>Raw_Data!B132</f>
        <v/>
      </c>
      <c r="C132" s="2">
        <f>Raw_Data!C132</f>
        <v/>
      </c>
      <c r="D132" s="2">
        <f>Raw_Data!D132</f>
        <v/>
      </c>
      <c r="E132" s="8">
        <f>Raw_Data!F132</f>
        <v/>
      </c>
      <c r="F132" s="7">
        <f>Raw_Data!H132</f>
        <v/>
      </c>
      <c r="G132" s="7">
        <f>Raw_Data!I132</f>
        <v/>
      </c>
      <c r="H132" s="2">
        <f>Raw_Data!J132</f>
        <v/>
      </c>
      <c r="I132" s="2">
        <f>IF(G132="",0,G132-B132)</f>
        <v/>
      </c>
      <c r="J132" s="2">
        <f>IF(H132="Paid",MAX(0,G132-F132),MAX(0,DATE(2026,12,31)-F132))</f>
        <v/>
      </c>
      <c r="K132" s="8">
        <f>IF(H132="Paid",0,E132)</f>
        <v/>
      </c>
      <c r="L132" s="2">
        <f>IF(J132=0,"Current",IF(J132&lt;=30,"1-30 Days",IF(J132&lt;=60,"31-60 Days",IF(J132&lt;=90,"61-90 Days","90+ Days"))))</f>
        <v/>
      </c>
      <c r="M132" s="8">
        <f>IF(Raw_Data!K132="Yes",Raw_Data!F132*Raw_Data!L132,0)</f>
        <v/>
      </c>
      <c r="N132" s="2">
        <f>IF(H132&lt;&gt;"Paid","Outstanding",IF(J132=0,"On Time","Late"))</f>
        <v/>
      </c>
    </row>
    <row r="133">
      <c r="A133" s="2">
        <f>Raw_Data!A133</f>
        <v/>
      </c>
      <c r="B133" s="7">
        <f>Raw_Data!B133</f>
        <v/>
      </c>
      <c r="C133" s="2">
        <f>Raw_Data!C133</f>
        <v/>
      </c>
      <c r="D133" s="2">
        <f>Raw_Data!D133</f>
        <v/>
      </c>
      <c r="E133" s="8">
        <f>Raw_Data!F133</f>
        <v/>
      </c>
      <c r="F133" s="7">
        <f>Raw_Data!H133</f>
        <v/>
      </c>
      <c r="G133" s="7">
        <f>Raw_Data!I133</f>
        <v/>
      </c>
      <c r="H133" s="2">
        <f>Raw_Data!J133</f>
        <v/>
      </c>
      <c r="I133" s="2">
        <f>IF(G133="",0,G133-B133)</f>
        <v/>
      </c>
      <c r="J133" s="2">
        <f>IF(H133="Paid",MAX(0,G133-F133),MAX(0,DATE(2026,12,31)-F133))</f>
        <v/>
      </c>
      <c r="K133" s="8">
        <f>IF(H133="Paid",0,E133)</f>
        <v/>
      </c>
      <c r="L133" s="2">
        <f>IF(J133=0,"Current",IF(J133&lt;=30,"1-30 Days",IF(J133&lt;=60,"31-60 Days",IF(J133&lt;=90,"61-90 Days","90+ Days"))))</f>
        <v/>
      </c>
      <c r="M133" s="8">
        <f>IF(Raw_Data!K133="Yes",Raw_Data!F133*Raw_Data!L133,0)</f>
        <v/>
      </c>
      <c r="N133" s="2">
        <f>IF(H133&lt;&gt;"Paid","Outstanding",IF(J133=0,"On Time","Late"))</f>
        <v/>
      </c>
    </row>
    <row r="134">
      <c r="A134" s="2">
        <f>Raw_Data!A134</f>
        <v/>
      </c>
      <c r="B134" s="7">
        <f>Raw_Data!B134</f>
        <v/>
      </c>
      <c r="C134" s="2">
        <f>Raw_Data!C134</f>
        <v/>
      </c>
      <c r="D134" s="2">
        <f>Raw_Data!D134</f>
        <v/>
      </c>
      <c r="E134" s="8">
        <f>Raw_Data!F134</f>
        <v/>
      </c>
      <c r="F134" s="7">
        <f>Raw_Data!H134</f>
        <v/>
      </c>
      <c r="G134" s="7">
        <f>Raw_Data!I134</f>
        <v/>
      </c>
      <c r="H134" s="2">
        <f>Raw_Data!J134</f>
        <v/>
      </c>
      <c r="I134" s="2">
        <f>IF(G134="",0,G134-B134)</f>
        <v/>
      </c>
      <c r="J134" s="2">
        <f>IF(H134="Paid",MAX(0,G134-F134),MAX(0,DATE(2026,12,31)-F134))</f>
        <v/>
      </c>
      <c r="K134" s="8">
        <f>IF(H134="Paid",0,E134)</f>
        <v/>
      </c>
      <c r="L134" s="2">
        <f>IF(J134=0,"Current",IF(J134&lt;=30,"1-30 Days",IF(J134&lt;=60,"31-60 Days",IF(J134&lt;=90,"61-90 Days","90+ Days"))))</f>
        <v/>
      </c>
      <c r="M134" s="8">
        <f>IF(Raw_Data!K134="Yes",Raw_Data!F134*Raw_Data!L134,0)</f>
        <v/>
      </c>
      <c r="N134" s="2">
        <f>IF(H134&lt;&gt;"Paid","Outstanding",IF(J134=0,"On Time","Late"))</f>
        <v/>
      </c>
    </row>
    <row r="135">
      <c r="A135" s="2">
        <f>Raw_Data!A135</f>
        <v/>
      </c>
      <c r="B135" s="7">
        <f>Raw_Data!B135</f>
        <v/>
      </c>
      <c r="C135" s="2">
        <f>Raw_Data!C135</f>
        <v/>
      </c>
      <c r="D135" s="2">
        <f>Raw_Data!D135</f>
        <v/>
      </c>
      <c r="E135" s="8">
        <f>Raw_Data!F135</f>
        <v/>
      </c>
      <c r="F135" s="7">
        <f>Raw_Data!H135</f>
        <v/>
      </c>
      <c r="G135" s="7">
        <f>Raw_Data!I135</f>
        <v/>
      </c>
      <c r="H135" s="2">
        <f>Raw_Data!J135</f>
        <v/>
      </c>
      <c r="I135" s="2">
        <f>IF(G135="",0,G135-B135)</f>
        <v/>
      </c>
      <c r="J135" s="2">
        <f>IF(H135="Paid",MAX(0,G135-F135),MAX(0,DATE(2026,12,31)-F135))</f>
        <v/>
      </c>
      <c r="K135" s="8">
        <f>IF(H135="Paid",0,E135)</f>
        <v/>
      </c>
      <c r="L135" s="2">
        <f>IF(J135=0,"Current",IF(J135&lt;=30,"1-30 Days",IF(J135&lt;=60,"31-60 Days",IF(J135&lt;=90,"61-90 Days","90+ Days"))))</f>
        <v/>
      </c>
      <c r="M135" s="8">
        <f>IF(Raw_Data!K135="Yes",Raw_Data!F135*Raw_Data!L135,0)</f>
        <v/>
      </c>
      <c r="N135" s="2">
        <f>IF(H135&lt;&gt;"Paid","Outstanding",IF(J135=0,"On Time","Late"))</f>
        <v/>
      </c>
    </row>
    <row r="136">
      <c r="A136" s="2">
        <f>Raw_Data!A136</f>
        <v/>
      </c>
      <c r="B136" s="7">
        <f>Raw_Data!B136</f>
        <v/>
      </c>
      <c r="C136" s="2">
        <f>Raw_Data!C136</f>
        <v/>
      </c>
      <c r="D136" s="2">
        <f>Raw_Data!D136</f>
        <v/>
      </c>
      <c r="E136" s="8">
        <f>Raw_Data!F136</f>
        <v/>
      </c>
      <c r="F136" s="7">
        <f>Raw_Data!H136</f>
        <v/>
      </c>
      <c r="G136" s="7">
        <f>Raw_Data!I136</f>
        <v/>
      </c>
      <c r="H136" s="2">
        <f>Raw_Data!J136</f>
        <v/>
      </c>
      <c r="I136" s="2">
        <f>IF(G136="",0,G136-B136)</f>
        <v/>
      </c>
      <c r="J136" s="2">
        <f>IF(H136="Paid",MAX(0,G136-F136),MAX(0,DATE(2026,12,31)-F136))</f>
        <v/>
      </c>
      <c r="K136" s="8">
        <f>IF(H136="Paid",0,E136)</f>
        <v/>
      </c>
      <c r="L136" s="2">
        <f>IF(J136=0,"Current",IF(J136&lt;=30,"1-30 Days",IF(J136&lt;=60,"31-60 Days",IF(J136&lt;=90,"61-90 Days","90+ Days"))))</f>
        <v/>
      </c>
      <c r="M136" s="8">
        <f>IF(Raw_Data!K136="Yes",Raw_Data!F136*Raw_Data!L136,0)</f>
        <v/>
      </c>
      <c r="N136" s="2">
        <f>IF(H136&lt;&gt;"Paid","Outstanding",IF(J136=0,"On Time","Late"))</f>
        <v/>
      </c>
    </row>
    <row r="137">
      <c r="A137" s="2">
        <f>Raw_Data!A137</f>
        <v/>
      </c>
      <c r="B137" s="7">
        <f>Raw_Data!B137</f>
        <v/>
      </c>
      <c r="C137" s="2">
        <f>Raw_Data!C137</f>
        <v/>
      </c>
      <c r="D137" s="2">
        <f>Raw_Data!D137</f>
        <v/>
      </c>
      <c r="E137" s="8">
        <f>Raw_Data!F137</f>
        <v/>
      </c>
      <c r="F137" s="7">
        <f>Raw_Data!H137</f>
        <v/>
      </c>
      <c r="G137" s="7">
        <f>Raw_Data!I137</f>
        <v/>
      </c>
      <c r="H137" s="2">
        <f>Raw_Data!J137</f>
        <v/>
      </c>
      <c r="I137" s="2">
        <f>IF(G137="",0,G137-B137)</f>
        <v/>
      </c>
      <c r="J137" s="2">
        <f>IF(H137="Paid",MAX(0,G137-F137),MAX(0,DATE(2026,12,31)-F137))</f>
        <v/>
      </c>
      <c r="K137" s="8">
        <f>IF(H137="Paid",0,E137)</f>
        <v/>
      </c>
      <c r="L137" s="2">
        <f>IF(J137=0,"Current",IF(J137&lt;=30,"1-30 Days",IF(J137&lt;=60,"31-60 Days",IF(J137&lt;=90,"61-90 Days","90+ Days"))))</f>
        <v/>
      </c>
      <c r="M137" s="8">
        <f>IF(Raw_Data!K137="Yes",Raw_Data!F137*Raw_Data!L137,0)</f>
        <v/>
      </c>
      <c r="N137" s="2">
        <f>IF(H137&lt;&gt;"Paid","Outstanding",IF(J137=0,"On Time","Late"))</f>
        <v/>
      </c>
    </row>
    <row r="138">
      <c r="A138" s="2">
        <f>Raw_Data!A138</f>
        <v/>
      </c>
      <c r="B138" s="7">
        <f>Raw_Data!B138</f>
        <v/>
      </c>
      <c r="C138" s="2">
        <f>Raw_Data!C138</f>
        <v/>
      </c>
      <c r="D138" s="2">
        <f>Raw_Data!D138</f>
        <v/>
      </c>
      <c r="E138" s="8">
        <f>Raw_Data!F138</f>
        <v/>
      </c>
      <c r="F138" s="7">
        <f>Raw_Data!H138</f>
        <v/>
      </c>
      <c r="G138" s="7">
        <f>Raw_Data!I138</f>
        <v/>
      </c>
      <c r="H138" s="2">
        <f>Raw_Data!J138</f>
        <v/>
      </c>
      <c r="I138" s="2">
        <f>IF(G138="",0,G138-B138)</f>
        <v/>
      </c>
      <c r="J138" s="2">
        <f>IF(H138="Paid",MAX(0,G138-F138),MAX(0,DATE(2026,12,31)-F138))</f>
        <v/>
      </c>
      <c r="K138" s="8">
        <f>IF(H138="Paid",0,E138)</f>
        <v/>
      </c>
      <c r="L138" s="2">
        <f>IF(J138=0,"Current",IF(J138&lt;=30,"1-30 Days",IF(J138&lt;=60,"31-60 Days",IF(J138&lt;=90,"61-90 Days","90+ Days"))))</f>
        <v/>
      </c>
      <c r="M138" s="8">
        <f>IF(Raw_Data!K138="Yes",Raw_Data!F138*Raw_Data!L138,0)</f>
        <v/>
      </c>
      <c r="N138" s="2">
        <f>IF(H138&lt;&gt;"Paid","Outstanding",IF(J138=0,"On Time","Late"))</f>
        <v/>
      </c>
    </row>
    <row r="139">
      <c r="A139" s="2">
        <f>Raw_Data!A139</f>
        <v/>
      </c>
      <c r="B139" s="7">
        <f>Raw_Data!B139</f>
        <v/>
      </c>
      <c r="C139" s="2">
        <f>Raw_Data!C139</f>
        <v/>
      </c>
      <c r="D139" s="2">
        <f>Raw_Data!D139</f>
        <v/>
      </c>
      <c r="E139" s="8">
        <f>Raw_Data!F139</f>
        <v/>
      </c>
      <c r="F139" s="7">
        <f>Raw_Data!H139</f>
        <v/>
      </c>
      <c r="G139" s="7">
        <f>Raw_Data!I139</f>
        <v/>
      </c>
      <c r="H139" s="2">
        <f>Raw_Data!J139</f>
        <v/>
      </c>
      <c r="I139" s="2">
        <f>IF(G139="",0,G139-B139)</f>
        <v/>
      </c>
      <c r="J139" s="2">
        <f>IF(H139="Paid",MAX(0,G139-F139),MAX(0,DATE(2026,12,31)-F139))</f>
        <v/>
      </c>
      <c r="K139" s="8">
        <f>IF(H139="Paid",0,E139)</f>
        <v/>
      </c>
      <c r="L139" s="2">
        <f>IF(J139=0,"Current",IF(J139&lt;=30,"1-30 Days",IF(J139&lt;=60,"31-60 Days",IF(J139&lt;=90,"61-90 Days","90+ Days"))))</f>
        <v/>
      </c>
      <c r="M139" s="8">
        <f>IF(Raw_Data!K139="Yes",Raw_Data!F139*Raw_Data!L139,0)</f>
        <v/>
      </c>
      <c r="N139" s="2">
        <f>IF(H139&lt;&gt;"Paid","Outstanding",IF(J139=0,"On Time","Late"))</f>
        <v/>
      </c>
    </row>
    <row r="140">
      <c r="A140" s="2">
        <f>Raw_Data!A140</f>
        <v/>
      </c>
      <c r="B140" s="7">
        <f>Raw_Data!B140</f>
        <v/>
      </c>
      <c r="C140" s="2">
        <f>Raw_Data!C140</f>
        <v/>
      </c>
      <c r="D140" s="2">
        <f>Raw_Data!D140</f>
        <v/>
      </c>
      <c r="E140" s="8">
        <f>Raw_Data!F140</f>
        <v/>
      </c>
      <c r="F140" s="7">
        <f>Raw_Data!H140</f>
        <v/>
      </c>
      <c r="G140" s="7">
        <f>Raw_Data!I140</f>
        <v/>
      </c>
      <c r="H140" s="2">
        <f>Raw_Data!J140</f>
        <v/>
      </c>
      <c r="I140" s="2">
        <f>IF(G140="",0,G140-B140)</f>
        <v/>
      </c>
      <c r="J140" s="2">
        <f>IF(H140="Paid",MAX(0,G140-F140),MAX(0,DATE(2026,12,31)-F140))</f>
        <v/>
      </c>
      <c r="K140" s="8">
        <f>IF(H140="Paid",0,E140)</f>
        <v/>
      </c>
      <c r="L140" s="2">
        <f>IF(J140=0,"Current",IF(J140&lt;=30,"1-30 Days",IF(J140&lt;=60,"31-60 Days",IF(J140&lt;=90,"61-90 Days","90+ Days"))))</f>
        <v/>
      </c>
      <c r="M140" s="8">
        <f>IF(Raw_Data!K140="Yes",Raw_Data!F140*Raw_Data!L140,0)</f>
        <v/>
      </c>
      <c r="N140" s="2">
        <f>IF(H140&lt;&gt;"Paid","Outstanding",IF(J140=0,"On Time","Late"))</f>
        <v/>
      </c>
    </row>
    <row r="141">
      <c r="A141" s="2">
        <f>Raw_Data!A141</f>
        <v/>
      </c>
      <c r="B141" s="7">
        <f>Raw_Data!B141</f>
        <v/>
      </c>
      <c r="C141" s="2">
        <f>Raw_Data!C141</f>
        <v/>
      </c>
      <c r="D141" s="2">
        <f>Raw_Data!D141</f>
        <v/>
      </c>
      <c r="E141" s="8">
        <f>Raw_Data!F141</f>
        <v/>
      </c>
      <c r="F141" s="7">
        <f>Raw_Data!H141</f>
        <v/>
      </c>
      <c r="G141" s="7">
        <f>Raw_Data!I141</f>
        <v/>
      </c>
      <c r="H141" s="2">
        <f>Raw_Data!J141</f>
        <v/>
      </c>
      <c r="I141" s="2">
        <f>IF(G141="",0,G141-B141)</f>
        <v/>
      </c>
      <c r="J141" s="2">
        <f>IF(H141="Paid",MAX(0,G141-F141),MAX(0,DATE(2026,12,31)-F141))</f>
        <v/>
      </c>
      <c r="K141" s="8">
        <f>IF(H141="Paid",0,E141)</f>
        <v/>
      </c>
      <c r="L141" s="2">
        <f>IF(J141=0,"Current",IF(J141&lt;=30,"1-30 Days",IF(J141&lt;=60,"31-60 Days",IF(J141&lt;=90,"61-90 Days","90+ Days"))))</f>
        <v/>
      </c>
      <c r="M141" s="8">
        <f>IF(Raw_Data!K141="Yes",Raw_Data!F141*Raw_Data!L141,0)</f>
        <v/>
      </c>
      <c r="N141" s="2">
        <f>IF(H141&lt;&gt;"Paid","Outstanding",IF(J141=0,"On Time","Late"))</f>
        <v/>
      </c>
    </row>
    <row r="142">
      <c r="A142" s="2">
        <f>Raw_Data!A142</f>
        <v/>
      </c>
      <c r="B142" s="7">
        <f>Raw_Data!B142</f>
        <v/>
      </c>
      <c r="C142" s="2">
        <f>Raw_Data!C142</f>
        <v/>
      </c>
      <c r="D142" s="2">
        <f>Raw_Data!D142</f>
        <v/>
      </c>
      <c r="E142" s="8">
        <f>Raw_Data!F142</f>
        <v/>
      </c>
      <c r="F142" s="7">
        <f>Raw_Data!H142</f>
        <v/>
      </c>
      <c r="G142" s="7">
        <f>Raw_Data!I142</f>
        <v/>
      </c>
      <c r="H142" s="2">
        <f>Raw_Data!J142</f>
        <v/>
      </c>
      <c r="I142" s="2">
        <f>IF(G142="",0,G142-B142)</f>
        <v/>
      </c>
      <c r="J142" s="2">
        <f>IF(H142="Paid",MAX(0,G142-F142),MAX(0,DATE(2026,12,31)-F142))</f>
        <v/>
      </c>
      <c r="K142" s="8">
        <f>IF(H142="Paid",0,E142)</f>
        <v/>
      </c>
      <c r="L142" s="2">
        <f>IF(J142=0,"Current",IF(J142&lt;=30,"1-30 Days",IF(J142&lt;=60,"31-60 Days",IF(J142&lt;=90,"61-90 Days","90+ Days"))))</f>
        <v/>
      </c>
      <c r="M142" s="8">
        <f>IF(Raw_Data!K142="Yes",Raw_Data!F142*Raw_Data!L142,0)</f>
        <v/>
      </c>
      <c r="N142" s="2">
        <f>IF(H142&lt;&gt;"Paid","Outstanding",IF(J142=0,"On Time","Late"))</f>
        <v/>
      </c>
    </row>
    <row r="143">
      <c r="A143" s="2">
        <f>Raw_Data!A143</f>
        <v/>
      </c>
      <c r="B143" s="7">
        <f>Raw_Data!B143</f>
        <v/>
      </c>
      <c r="C143" s="2">
        <f>Raw_Data!C143</f>
        <v/>
      </c>
      <c r="D143" s="2">
        <f>Raw_Data!D143</f>
        <v/>
      </c>
      <c r="E143" s="8">
        <f>Raw_Data!F143</f>
        <v/>
      </c>
      <c r="F143" s="7">
        <f>Raw_Data!H143</f>
        <v/>
      </c>
      <c r="G143" s="7">
        <f>Raw_Data!I143</f>
        <v/>
      </c>
      <c r="H143" s="2">
        <f>Raw_Data!J143</f>
        <v/>
      </c>
      <c r="I143" s="2">
        <f>IF(G143="",0,G143-B143)</f>
        <v/>
      </c>
      <c r="J143" s="2">
        <f>IF(H143="Paid",MAX(0,G143-F143),MAX(0,DATE(2026,12,31)-F143))</f>
        <v/>
      </c>
      <c r="K143" s="8">
        <f>IF(H143="Paid",0,E143)</f>
        <v/>
      </c>
      <c r="L143" s="2">
        <f>IF(J143=0,"Current",IF(J143&lt;=30,"1-30 Days",IF(J143&lt;=60,"31-60 Days",IF(J143&lt;=90,"61-90 Days","90+ Days"))))</f>
        <v/>
      </c>
      <c r="M143" s="8">
        <f>IF(Raw_Data!K143="Yes",Raw_Data!F143*Raw_Data!L143,0)</f>
        <v/>
      </c>
      <c r="N143" s="2">
        <f>IF(H143&lt;&gt;"Paid","Outstanding",IF(J143=0,"On Time","Late"))</f>
        <v/>
      </c>
    </row>
    <row r="144">
      <c r="A144" s="2">
        <f>Raw_Data!A144</f>
        <v/>
      </c>
      <c r="B144" s="7">
        <f>Raw_Data!B144</f>
        <v/>
      </c>
      <c r="C144" s="2">
        <f>Raw_Data!C144</f>
        <v/>
      </c>
      <c r="D144" s="2">
        <f>Raw_Data!D144</f>
        <v/>
      </c>
      <c r="E144" s="8">
        <f>Raw_Data!F144</f>
        <v/>
      </c>
      <c r="F144" s="7">
        <f>Raw_Data!H144</f>
        <v/>
      </c>
      <c r="G144" s="7">
        <f>Raw_Data!I144</f>
        <v/>
      </c>
      <c r="H144" s="2">
        <f>Raw_Data!J144</f>
        <v/>
      </c>
      <c r="I144" s="2">
        <f>IF(G144="",0,G144-B144)</f>
        <v/>
      </c>
      <c r="J144" s="2">
        <f>IF(H144="Paid",MAX(0,G144-F144),MAX(0,DATE(2026,12,31)-F144))</f>
        <v/>
      </c>
      <c r="K144" s="8">
        <f>IF(H144="Paid",0,E144)</f>
        <v/>
      </c>
      <c r="L144" s="2">
        <f>IF(J144=0,"Current",IF(J144&lt;=30,"1-30 Days",IF(J144&lt;=60,"31-60 Days",IF(J144&lt;=90,"61-90 Days","90+ Days"))))</f>
        <v/>
      </c>
      <c r="M144" s="8">
        <f>IF(Raw_Data!K144="Yes",Raw_Data!F144*Raw_Data!L144,0)</f>
        <v/>
      </c>
      <c r="N144" s="2">
        <f>IF(H144&lt;&gt;"Paid","Outstanding",IF(J144=0,"On Time","Late"))</f>
        <v/>
      </c>
    </row>
    <row r="145">
      <c r="A145" s="2">
        <f>Raw_Data!A145</f>
        <v/>
      </c>
      <c r="B145" s="7">
        <f>Raw_Data!B145</f>
        <v/>
      </c>
      <c r="C145" s="2">
        <f>Raw_Data!C145</f>
        <v/>
      </c>
      <c r="D145" s="2">
        <f>Raw_Data!D145</f>
        <v/>
      </c>
      <c r="E145" s="8">
        <f>Raw_Data!F145</f>
        <v/>
      </c>
      <c r="F145" s="7">
        <f>Raw_Data!H145</f>
        <v/>
      </c>
      <c r="G145" s="7">
        <f>Raw_Data!I145</f>
        <v/>
      </c>
      <c r="H145" s="2">
        <f>Raw_Data!J145</f>
        <v/>
      </c>
      <c r="I145" s="2">
        <f>IF(G145="",0,G145-B145)</f>
        <v/>
      </c>
      <c r="J145" s="2">
        <f>IF(H145="Paid",MAX(0,G145-F145),MAX(0,DATE(2026,12,31)-F145))</f>
        <v/>
      </c>
      <c r="K145" s="8">
        <f>IF(H145="Paid",0,E145)</f>
        <v/>
      </c>
      <c r="L145" s="2">
        <f>IF(J145=0,"Current",IF(J145&lt;=30,"1-30 Days",IF(J145&lt;=60,"31-60 Days",IF(J145&lt;=90,"61-90 Days","90+ Days"))))</f>
        <v/>
      </c>
      <c r="M145" s="8">
        <f>IF(Raw_Data!K145="Yes",Raw_Data!F145*Raw_Data!L145,0)</f>
        <v/>
      </c>
      <c r="N145" s="2">
        <f>IF(H145&lt;&gt;"Paid","Outstanding",IF(J145=0,"On Time","Late"))</f>
        <v/>
      </c>
    </row>
    <row r="146">
      <c r="A146" s="2">
        <f>Raw_Data!A146</f>
        <v/>
      </c>
      <c r="B146" s="7">
        <f>Raw_Data!B146</f>
        <v/>
      </c>
      <c r="C146" s="2">
        <f>Raw_Data!C146</f>
        <v/>
      </c>
      <c r="D146" s="2">
        <f>Raw_Data!D146</f>
        <v/>
      </c>
      <c r="E146" s="8">
        <f>Raw_Data!F146</f>
        <v/>
      </c>
      <c r="F146" s="7">
        <f>Raw_Data!H146</f>
        <v/>
      </c>
      <c r="G146" s="7">
        <f>Raw_Data!I146</f>
        <v/>
      </c>
      <c r="H146" s="2">
        <f>Raw_Data!J146</f>
        <v/>
      </c>
      <c r="I146" s="2">
        <f>IF(G146="",0,G146-B146)</f>
        <v/>
      </c>
      <c r="J146" s="2">
        <f>IF(H146="Paid",MAX(0,G146-F146),MAX(0,DATE(2026,12,31)-F146))</f>
        <v/>
      </c>
      <c r="K146" s="8">
        <f>IF(H146="Paid",0,E146)</f>
        <v/>
      </c>
      <c r="L146" s="2">
        <f>IF(J146=0,"Current",IF(J146&lt;=30,"1-30 Days",IF(J146&lt;=60,"31-60 Days",IF(J146&lt;=90,"61-90 Days","90+ Days"))))</f>
        <v/>
      </c>
      <c r="M146" s="8">
        <f>IF(Raw_Data!K146="Yes",Raw_Data!F146*Raw_Data!L146,0)</f>
        <v/>
      </c>
      <c r="N146" s="2">
        <f>IF(H146&lt;&gt;"Paid","Outstanding",IF(J146=0,"On Time","Late"))</f>
        <v/>
      </c>
    </row>
    <row r="147">
      <c r="A147" s="2">
        <f>Raw_Data!A147</f>
        <v/>
      </c>
      <c r="B147" s="7">
        <f>Raw_Data!B147</f>
        <v/>
      </c>
      <c r="C147" s="2">
        <f>Raw_Data!C147</f>
        <v/>
      </c>
      <c r="D147" s="2">
        <f>Raw_Data!D147</f>
        <v/>
      </c>
      <c r="E147" s="8">
        <f>Raw_Data!F147</f>
        <v/>
      </c>
      <c r="F147" s="7">
        <f>Raw_Data!H147</f>
        <v/>
      </c>
      <c r="G147" s="7">
        <f>Raw_Data!I147</f>
        <v/>
      </c>
      <c r="H147" s="2">
        <f>Raw_Data!J147</f>
        <v/>
      </c>
      <c r="I147" s="2">
        <f>IF(G147="",0,G147-B147)</f>
        <v/>
      </c>
      <c r="J147" s="2">
        <f>IF(H147="Paid",MAX(0,G147-F147),MAX(0,DATE(2026,12,31)-F147))</f>
        <v/>
      </c>
      <c r="K147" s="8">
        <f>IF(H147="Paid",0,E147)</f>
        <v/>
      </c>
      <c r="L147" s="2">
        <f>IF(J147=0,"Current",IF(J147&lt;=30,"1-30 Days",IF(J147&lt;=60,"31-60 Days",IF(J147&lt;=90,"61-90 Days","90+ Days"))))</f>
        <v/>
      </c>
      <c r="M147" s="8">
        <f>IF(Raw_Data!K147="Yes",Raw_Data!F147*Raw_Data!L147,0)</f>
        <v/>
      </c>
      <c r="N147" s="2">
        <f>IF(H147&lt;&gt;"Paid","Outstanding",IF(J147=0,"On Time","Late"))</f>
        <v/>
      </c>
    </row>
    <row r="148">
      <c r="A148" s="2">
        <f>Raw_Data!A148</f>
        <v/>
      </c>
      <c r="B148" s="7">
        <f>Raw_Data!B148</f>
        <v/>
      </c>
      <c r="C148" s="2">
        <f>Raw_Data!C148</f>
        <v/>
      </c>
      <c r="D148" s="2">
        <f>Raw_Data!D148</f>
        <v/>
      </c>
      <c r="E148" s="8">
        <f>Raw_Data!F148</f>
        <v/>
      </c>
      <c r="F148" s="7">
        <f>Raw_Data!H148</f>
        <v/>
      </c>
      <c r="G148" s="7">
        <f>Raw_Data!I148</f>
        <v/>
      </c>
      <c r="H148" s="2">
        <f>Raw_Data!J148</f>
        <v/>
      </c>
      <c r="I148" s="2">
        <f>IF(G148="",0,G148-B148)</f>
        <v/>
      </c>
      <c r="J148" s="2">
        <f>IF(H148="Paid",MAX(0,G148-F148),MAX(0,DATE(2026,12,31)-F148))</f>
        <v/>
      </c>
      <c r="K148" s="8">
        <f>IF(H148="Paid",0,E148)</f>
        <v/>
      </c>
      <c r="L148" s="2">
        <f>IF(J148=0,"Current",IF(J148&lt;=30,"1-30 Days",IF(J148&lt;=60,"31-60 Days",IF(J148&lt;=90,"61-90 Days","90+ Days"))))</f>
        <v/>
      </c>
      <c r="M148" s="8">
        <f>IF(Raw_Data!K148="Yes",Raw_Data!F148*Raw_Data!L148,0)</f>
        <v/>
      </c>
      <c r="N148" s="2">
        <f>IF(H148&lt;&gt;"Paid","Outstanding",IF(J148=0,"On Time","Late"))</f>
        <v/>
      </c>
    </row>
    <row r="149">
      <c r="A149" s="2">
        <f>Raw_Data!A149</f>
        <v/>
      </c>
      <c r="B149" s="7">
        <f>Raw_Data!B149</f>
        <v/>
      </c>
      <c r="C149" s="2">
        <f>Raw_Data!C149</f>
        <v/>
      </c>
      <c r="D149" s="2">
        <f>Raw_Data!D149</f>
        <v/>
      </c>
      <c r="E149" s="8">
        <f>Raw_Data!F149</f>
        <v/>
      </c>
      <c r="F149" s="7">
        <f>Raw_Data!H149</f>
        <v/>
      </c>
      <c r="G149" s="7">
        <f>Raw_Data!I149</f>
        <v/>
      </c>
      <c r="H149" s="2">
        <f>Raw_Data!J149</f>
        <v/>
      </c>
      <c r="I149" s="2">
        <f>IF(G149="",0,G149-B149)</f>
        <v/>
      </c>
      <c r="J149" s="2">
        <f>IF(H149="Paid",MAX(0,G149-F149),MAX(0,DATE(2026,12,31)-F149))</f>
        <v/>
      </c>
      <c r="K149" s="8">
        <f>IF(H149="Paid",0,E149)</f>
        <v/>
      </c>
      <c r="L149" s="2">
        <f>IF(J149=0,"Current",IF(J149&lt;=30,"1-30 Days",IF(J149&lt;=60,"31-60 Days",IF(J149&lt;=90,"61-90 Days","90+ Days"))))</f>
        <v/>
      </c>
      <c r="M149" s="8">
        <f>IF(Raw_Data!K149="Yes",Raw_Data!F149*Raw_Data!L149,0)</f>
        <v/>
      </c>
      <c r="N149" s="2">
        <f>IF(H149&lt;&gt;"Paid","Outstanding",IF(J149=0,"On Time","Late"))</f>
        <v/>
      </c>
    </row>
    <row r="150">
      <c r="A150" s="2">
        <f>Raw_Data!A150</f>
        <v/>
      </c>
      <c r="B150" s="7">
        <f>Raw_Data!B150</f>
        <v/>
      </c>
      <c r="C150" s="2">
        <f>Raw_Data!C150</f>
        <v/>
      </c>
      <c r="D150" s="2">
        <f>Raw_Data!D150</f>
        <v/>
      </c>
      <c r="E150" s="8">
        <f>Raw_Data!F150</f>
        <v/>
      </c>
      <c r="F150" s="7">
        <f>Raw_Data!H150</f>
        <v/>
      </c>
      <c r="G150" s="7">
        <f>Raw_Data!I150</f>
        <v/>
      </c>
      <c r="H150" s="2">
        <f>Raw_Data!J150</f>
        <v/>
      </c>
      <c r="I150" s="2">
        <f>IF(G150="",0,G150-B150)</f>
        <v/>
      </c>
      <c r="J150" s="2">
        <f>IF(H150="Paid",MAX(0,G150-F150),MAX(0,DATE(2026,12,31)-F150))</f>
        <v/>
      </c>
      <c r="K150" s="8">
        <f>IF(H150="Paid",0,E150)</f>
        <v/>
      </c>
      <c r="L150" s="2">
        <f>IF(J150=0,"Current",IF(J150&lt;=30,"1-30 Days",IF(J150&lt;=60,"31-60 Days",IF(J150&lt;=90,"61-90 Days","90+ Days"))))</f>
        <v/>
      </c>
      <c r="M150" s="8">
        <f>IF(Raw_Data!K150="Yes",Raw_Data!F150*Raw_Data!L150,0)</f>
        <v/>
      </c>
      <c r="N150" s="2">
        <f>IF(H150&lt;&gt;"Paid","Outstanding",IF(J150=0,"On Time","Late"))</f>
        <v/>
      </c>
    </row>
    <row r="151">
      <c r="A151" s="2">
        <f>Raw_Data!A151</f>
        <v/>
      </c>
      <c r="B151" s="7">
        <f>Raw_Data!B151</f>
        <v/>
      </c>
      <c r="C151" s="2">
        <f>Raw_Data!C151</f>
        <v/>
      </c>
      <c r="D151" s="2">
        <f>Raw_Data!D151</f>
        <v/>
      </c>
      <c r="E151" s="8">
        <f>Raw_Data!F151</f>
        <v/>
      </c>
      <c r="F151" s="7">
        <f>Raw_Data!H151</f>
        <v/>
      </c>
      <c r="G151" s="7">
        <f>Raw_Data!I151</f>
        <v/>
      </c>
      <c r="H151" s="2">
        <f>Raw_Data!J151</f>
        <v/>
      </c>
      <c r="I151" s="2">
        <f>IF(G151="",0,G151-B151)</f>
        <v/>
      </c>
      <c r="J151" s="2">
        <f>IF(H151="Paid",MAX(0,G151-F151),MAX(0,DATE(2026,12,31)-F151))</f>
        <v/>
      </c>
      <c r="K151" s="8">
        <f>IF(H151="Paid",0,E151)</f>
        <v/>
      </c>
      <c r="L151" s="2">
        <f>IF(J151=0,"Current",IF(J151&lt;=30,"1-30 Days",IF(J151&lt;=60,"31-60 Days",IF(J151&lt;=90,"61-90 Days","90+ Days"))))</f>
        <v/>
      </c>
      <c r="M151" s="8">
        <f>IF(Raw_Data!K151="Yes",Raw_Data!F151*Raw_Data!L151,0)</f>
        <v/>
      </c>
      <c r="N151" s="2">
        <f>IF(H151&lt;&gt;"Paid","Outstanding",IF(J151=0,"On Time","Late"))</f>
        <v/>
      </c>
    </row>
    <row r="152">
      <c r="A152" s="2">
        <f>Raw_Data!A152</f>
        <v/>
      </c>
      <c r="B152" s="7">
        <f>Raw_Data!B152</f>
        <v/>
      </c>
      <c r="C152" s="2">
        <f>Raw_Data!C152</f>
        <v/>
      </c>
      <c r="D152" s="2">
        <f>Raw_Data!D152</f>
        <v/>
      </c>
      <c r="E152" s="8">
        <f>Raw_Data!F152</f>
        <v/>
      </c>
      <c r="F152" s="7">
        <f>Raw_Data!H152</f>
        <v/>
      </c>
      <c r="G152" s="7">
        <f>Raw_Data!I152</f>
        <v/>
      </c>
      <c r="H152" s="2">
        <f>Raw_Data!J152</f>
        <v/>
      </c>
      <c r="I152" s="2">
        <f>IF(G152="",0,G152-B152)</f>
        <v/>
      </c>
      <c r="J152" s="2">
        <f>IF(H152="Paid",MAX(0,G152-F152),MAX(0,DATE(2026,12,31)-F152))</f>
        <v/>
      </c>
      <c r="K152" s="8">
        <f>IF(H152="Paid",0,E152)</f>
        <v/>
      </c>
      <c r="L152" s="2">
        <f>IF(J152=0,"Current",IF(J152&lt;=30,"1-30 Days",IF(J152&lt;=60,"31-60 Days",IF(J152&lt;=90,"61-90 Days","90+ Days"))))</f>
        <v/>
      </c>
      <c r="M152" s="8">
        <f>IF(Raw_Data!K152="Yes",Raw_Data!F152*Raw_Data!L152,0)</f>
        <v/>
      </c>
      <c r="N152" s="2">
        <f>IF(H152&lt;&gt;"Paid","Outstanding",IF(J152=0,"On Time","Late"))</f>
        <v/>
      </c>
    </row>
    <row r="153">
      <c r="A153" s="2">
        <f>Raw_Data!A153</f>
        <v/>
      </c>
      <c r="B153" s="7">
        <f>Raw_Data!B153</f>
        <v/>
      </c>
      <c r="C153" s="2">
        <f>Raw_Data!C153</f>
        <v/>
      </c>
      <c r="D153" s="2">
        <f>Raw_Data!D153</f>
        <v/>
      </c>
      <c r="E153" s="8">
        <f>Raw_Data!F153</f>
        <v/>
      </c>
      <c r="F153" s="7">
        <f>Raw_Data!H153</f>
        <v/>
      </c>
      <c r="G153" s="7">
        <f>Raw_Data!I153</f>
        <v/>
      </c>
      <c r="H153" s="2">
        <f>Raw_Data!J153</f>
        <v/>
      </c>
      <c r="I153" s="2">
        <f>IF(G153="",0,G153-B153)</f>
        <v/>
      </c>
      <c r="J153" s="2">
        <f>IF(H153="Paid",MAX(0,G153-F153),MAX(0,DATE(2026,12,31)-F153))</f>
        <v/>
      </c>
      <c r="K153" s="8">
        <f>IF(H153="Paid",0,E153)</f>
        <v/>
      </c>
      <c r="L153" s="2">
        <f>IF(J153=0,"Current",IF(J153&lt;=30,"1-30 Days",IF(J153&lt;=60,"31-60 Days",IF(J153&lt;=90,"61-90 Days","90+ Days"))))</f>
        <v/>
      </c>
      <c r="M153" s="8">
        <f>IF(Raw_Data!K153="Yes",Raw_Data!F153*Raw_Data!L153,0)</f>
        <v/>
      </c>
      <c r="N153" s="2">
        <f>IF(H153&lt;&gt;"Paid","Outstanding",IF(J153=0,"On Time","Late"))</f>
        <v/>
      </c>
    </row>
    <row r="154">
      <c r="A154" s="2">
        <f>Raw_Data!A154</f>
        <v/>
      </c>
      <c r="B154" s="7">
        <f>Raw_Data!B154</f>
        <v/>
      </c>
      <c r="C154" s="2">
        <f>Raw_Data!C154</f>
        <v/>
      </c>
      <c r="D154" s="2">
        <f>Raw_Data!D154</f>
        <v/>
      </c>
      <c r="E154" s="8">
        <f>Raw_Data!F154</f>
        <v/>
      </c>
      <c r="F154" s="7">
        <f>Raw_Data!H154</f>
        <v/>
      </c>
      <c r="G154" s="7">
        <f>Raw_Data!I154</f>
        <v/>
      </c>
      <c r="H154" s="2">
        <f>Raw_Data!J154</f>
        <v/>
      </c>
      <c r="I154" s="2">
        <f>IF(G154="",0,G154-B154)</f>
        <v/>
      </c>
      <c r="J154" s="2">
        <f>IF(H154="Paid",MAX(0,G154-F154),MAX(0,DATE(2026,12,31)-F154))</f>
        <v/>
      </c>
      <c r="K154" s="8">
        <f>IF(H154="Paid",0,E154)</f>
        <v/>
      </c>
      <c r="L154" s="2">
        <f>IF(J154=0,"Current",IF(J154&lt;=30,"1-30 Days",IF(J154&lt;=60,"31-60 Days",IF(J154&lt;=90,"61-90 Days","90+ Days"))))</f>
        <v/>
      </c>
      <c r="M154" s="8">
        <f>IF(Raw_Data!K154="Yes",Raw_Data!F154*Raw_Data!L154,0)</f>
        <v/>
      </c>
      <c r="N154" s="2">
        <f>IF(H154&lt;&gt;"Paid","Outstanding",IF(J154=0,"On Time","Late"))</f>
        <v/>
      </c>
    </row>
    <row r="155">
      <c r="A155" s="2">
        <f>Raw_Data!A155</f>
        <v/>
      </c>
      <c r="B155" s="7">
        <f>Raw_Data!B155</f>
        <v/>
      </c>
      <c r="C155" s="2">
        <f>Raw_Data!C155</f>
        <v/>
      </c>
      <c r="D155" s="2">
        <f>Raw_Data!D155</f>
        <v/>
      </c>
      <c r="E155" s="8">
        <f>Raw_Data!F155</f>
        <v/>
      </c>
      <c r="F155" s="7">
        <f>Raw_Data!H155</f>
        <v/>
      </c>
      <c r="G155" s="7">
        <f>Raw_Data!I155</f>
        <v/>
      </c>
      <c r="H155" s="2">
        <f>Raw_Data!J155</f>
        <v/>
      </c>
      <c r="I155" s="2">
        <f>IF(G155="",0,G155-B155)</f>
        <v/>
      </c>
      <c r="J155" s="2">
        <f>IF(H155="Paid",MAX(0,G155-F155),MAX(0,DATE(2026,12,31)-F155))</f>
        <v/>
      </c>
      <c r="K155" s="8">
        <f>IF(H155="Paid",0,E155)</f>
        <v/>
      </c>
      <c r="L155" s="2">
        <f>IF(J155=0,"Current",IF(J155&lt;=30,"1-30 Days",IF(J155&lt;=60,"31-60 Days",IF(J155&lt;=90,"61-90 Days","90+ Days"))))</f>
        <v/>
      </c>
      <c r="M155" s="8">
        <f>IF(Raw_Data!K155="Yes",Raw_Data!F155*Raw_Data!L155,0)</f>
        <v/>
      </c>
      <c r="N155" s="2">
        <f>IF(H155&lt;&gt;"Paid","Outstanding",IF(J155=0,"On Time","Late"))</f>
        <v/>
      </c>
    </row>
    <row r="156">
      <c r="A156" s="2">
        <f>Raw_Data!A156</f>
        <v/>
      </c>
      <c r="B156" s="7">
        <f>Raw_Data!B156</f>
        <v/>
      </c>
      <c r="C156" s="2">
        <f>Raw_Data!C156</f>
        <v/>
      </c>
      <c r="D156" s="2">
        <f>Raw_Data!D156</f>
        <v/>
      </c>
      <c r="E156" s="8">
        <f>Raw_Data!F156</f>
        <v/>
      </c>
      <c r="F156" s="7">
        <f>Raw_Data!H156</f>
        <v/>
      </c>
      <c r="G156" s="7">
        <f>Raw_Data!I156</f>
        <v/>
      </c>
      <c r="H156" s="2">
        <f>Raw_Data!J156</f>
        <v/>
      </c>
      <c r="I156" s="2">
        <f>IF(G156="",0,G156-B156)</f>
        <v/>
      </c>
      <c r="J156" s="2">
        <f>IF(H156="Paid",MAX(0,G156-F156),MAX(0,DATE(2026,12,31)-F156))</f>
        <v/>
      </c>
      <c r="K156" s="8">
        <f>IF(H156="Paid",0,E156)</f>
        <v/>
      </c>
      <c r="L156" s="2">
        <f>IF(J156=0,"Current",IF(J156&lt;=30,"1-30 Days",IF(J156&lt;=60,"31-60 Days",IF(J156&lt;=90,"61-90 Days","90+ Days"))))</f>
        <v/>
      </c>
      <c r="M156" s="8">
        <f>IF(Raw_Data!K156="Yes",Raw_Data!F156*Raw_Data!L156,0)</f>
        <v/>
      </c>
      <c r="N156" s="2">
        <f>IF(H156&lt;&gt;"Paid","Outstanding",IF(J156=0,"On Time","Late"))</f>
        <v/>
      </c>
    </row>
    <row r="157">
      <c r="A157" s="2">
        <f>Raw_Data!A157</f>
        <v/>
      </c>
      <c r="B157" s="7">
        <f>Raw_Data!B157</f>
        <v/>
      </c>
      <c r="C157" s="2">
        <f>Raw_Data!C157</f>
        <v/>
      </c>
      <c r="D157" s="2">
        <f>Raw_Data!D157</f>
        <v/>
      </c>
      <c r="E157" s="8">
        <f>Raw_Data!F157</f>
        <v/>
      </c>
      <c r="F157" s="7">
        <f>Raw_Data!H157</f>
        <v/>
      </c>
      <c r="G157" s="7">
        <f>Raw_Data!I157</f>
        <v/>
      </c>
      <c r="H157" s="2">
        <f>Raw_Data!J157</f>
        <v/>
      </c>
      <c r="I157" s="2">
        <f>IF(G157="",0,G157-B157)</f>
        <v/>
      </c>
      <c r="J157" s="2">
        <f>IF(H157="Paid",MAX(0,G157-F157),MAX(0,DATE(2026,12,31)-F157))</f>
        <v/>
      </c>
      <c r="K157" s="8">
        <f>IF(H157="Paid",0,E157)</f>
        <v/>
      </c>
      <c r="L157" s="2">
        <f>IF(J157=0,"Current",IF(J157&lt;=30,"1-30 Days",IF(J157&lt;=60,"31-60 Days",IF(J157&lt;=90,"61-90 Days","90+ Days"))))</f>
        <v/>
      </c>
      <c r="M157" s="8">
        <f>IF(Raw_Data!K157="Yes",Raw_Data!F157*Raw_Data!L157,0)</f>
        <v/>
      </c>
      <c r="N157" s="2">
        <f>IF(H157&lt;&gt;"Paid","Outstanding",IF(J157=0,"On Time","Late"))</f>
        <v/>
      </c>
    </row>
    <row r="158">
      <c r="A158" s="2">
        <f>Raw_Data!A158</f>
        <v/>
      </c>
      <c r="B158" s="7">
        <f>Raw_Data!B158</f>
        <v/>
      </c>
      <c r="C158" s="2">
        <f>Raw_Data!C158</f>
        <v/>
      </c>
      <c r="D158" s="2">
        <f>Raw_Data!D158</f>
        <v/>
      </c>
      <c r="E158" s="8">
        <f>Raw_Data!F158</f>
        <v/>
      </c>
      <c r="F158" s="7">
        <f>Raw_Data!H158</f>
        <v/>
      </c>
      <c r="G158" s="7">
        <f>Raw_Data!I158</f>
        <v/>
      </c>
      <c r="H158" s="2">
        <f>Raw_Data!J158</f>
        <v/>
      </c>
      <c r="I158" s="2">
        <f>IF(G158="",0,G158-B158)</f>
        <v/>
      </c>
      <c r="J158" s="2">
        <f>IF(H158="Paid",MAX(0,G158-F158),MAX(0,DATE(2026,12,31)-F158))</f>
        <v/>
      </c>
      <c r="K158" s="8">
        <f>IF(H158="Paid",0,E158)</f>
        <v/>
      </c>
      <c r="L158" s="2">
        <f>IF(J158=0,"Current",IF(J158&lt;=30,"1-30 Days",IF(J158&lt;=60,"31-60 Days",IF(J158&lt;=90,"61-90 Days","90+ Days"))))</f>
        <v/>
      </c>
      <c r="M158" s="8">
        <f>IF(Raw_Data!K158="Yes",Raw_Data!F158*Raw_Data!L158,0)</f>
        <v/>
      </c>
      <c r="N158" s="2">
        <f>IF(H158&lt;&gt;"Paid","Outstanding",IF(J158=0,"On Time","Late"))</f>
        <v/>
      </c>
    </row>
    <row r="159">
      <c r="A159" s="2">
        <f>Raw_Data!A159</f>
        <v/>
      </c>
      <c r="B159" s="7">
        <f>Raw_Data!B159</f>
        <v/>
      </c>
      <c r="C159" s="2">
        <f>Raw_Data!C159</f>
        <v/>
      </c>
      <c r="D159" s="2">
        <f>Raw_Data!D159</f>
        <v/>
      </c>
      <c r="E159" s="8">
        <f>Raw_Data!F159</f>
        <v/>
      </c>
      <c r="F159" s="7">
        <f>Raw_Data!H159</f>
        <v/>
      </c>
      <c r="G159" s="7">
        <f>Raw_Data!I159</f>
        <v/>
      </c>
      <c r="H159" s="2">
        <f>Raw_Data!J159</f>
        <v/>
      </c>
      <c r="I159" s="2">
        <f>IF(G159="",0,G159-B159)</f>
        <v/>
      </c>
      <c r="J159" s="2">
        <f>IF(H159="Paid",MAX(0,G159-F159),MAX(0,DATE(2026,12,31)-F159))</f>
        <v/>
      </c>
      <c r="K159" s="8">
        <f>IF(H159="Paid",0,E159)</f>
        <v/>
      </c>
      <c r="L159" s="2">
        <f>IF(J159=0,"Current",IF(J159&lt;=30,"1-30 Days",IF(J159&lt;=60,"31-60 Days",IF(J159&lt;=90,"61-90 Days","90+ Days"))))</f>
        <v/>
      </c>
      <c r="M159" s="8">
        <f>IF(Raw_Data!K159="Yes",Raw_Data!F159*Raw_Data!L159,0)</f>
        <v/>
      </c>
      <c r="N159" s="2">
        <f>IF(H159&lt;&gt;"Paid","Outstanding",IF(J159=0,"On Time","Late"))</f>
        <v/>
      </c>
    </row>
    <row r="160">
      <c r="A160" s="2">
        <f>Raw_Data!A160</f>
        <v/>
      </c>
      <c r="B160" s="7">
        <f>Raw_Data!B160</f>
        <v/>
      </c>
      <c r="C160" s="2">
        <f>Raw_Data!C160</f>
        <v/>
      </c>
      <c r="D160" s="2">
        <f>Raw_Data!D160</f>
        <v/>
      </c>
      <c r="E160" s="8">
        <f>Raw_Data!F160</f>
        <v/>
      </c>
      <c r="F160" s="7">
        <f>Raw_Data!H160</f>
        <v/>
      </c>
      <c r="G160" s="7">
        <f>Raw_Data!I160</f>
        <v/>
      </c>
      <c r="H160" s="2">
        <f>Raw_Data!J160</f>
        <v/>
      </c>
      <c r="I160" s="2">
        <f>IF(G160="",0,G160-B160)</f>
        <v/>
      </c>
      <c r="J160" s="2">
        <f>IF(H160="Paid",MAX(0,G160-F160),MAX(0,DATE(2026,12,31)-F160))</f>
        <v/>
      </c>
      <c r="K160" s="8">
        <f>IF(H160="Paid",0,E160)</f>
        <v/>
      </c>
      <c r="L160" s="2">
        <f>IF(J160=0,"Current",IF(J160&lt;=30,"1-30 Days",IF(J160&lt;=60,"31-60 Days",IF(J160&lt;=90,"61-90 Days","90+ Days"))))</f>
        <v/>
      </c>
      <c r="M160" s="8">
        <f>IF(Raw_Data!K160="Yes",Raw_Data!F160*Raw_Data!L160,0)</f>
        <v/>
      </c>
      <c r="N160" s="2">
        <f>IF(H160&lt;&gt;"Paid","Outstanding",IF(J160=0,"On Time","Late"))</f>
        <v/>
      </c>
    </row>
    <row r="161">
      <c r="A161" s="2">
        <f>Raw_Data!A161</f>
        <v/>
      </c>
      <c r="B161" s="7">
        <f>Raw_Data!B161</f>
        <v/>
      </c>
      <c r="C161" s="2">
        <f>Raw_Data!C161</f>
        <v/>
      </c>
      <c r="D161" s="2">
        <f>Raw_Data!D161</f>
        <v/>
      </c>
      <c r="E161" s="8">
        <f>Raw_Data!F161</f>
        <v/>
      </c>
      <c r="F161" s="7">
        <f>Raw_Data!H161</f>
        <v/>
      </c>
      <c r="G161" s="7">
        <f>Raw_Data!I161</f>
        <v/>
      </c>
      <c r="H161" s="2">
        <f>Raw_Data!J161</f>
        <v/>
      </c>
      <c r="I161" s="2">
        <f>IF(G161="",0,G161-B161)</f>
        <v/>
      </c>
      <c r="J161" s="2">
        <f>IF(H161="Paid",MAX(0,G161-F161),MAX(0,DATE(2026,12,31)-F161))</f>
        <v/>
      </c>
      <c r="K161" s="8">
        <f>IF(H161="Paid",0,E161)</f>
        <v/>
      </c>
      <c r="L161" s="2">
        <f>IF(J161=0,"Current",IF(J161&lt;=30,"1-30 Days",IF(J161&lt;=60,"31-60 Days",IF(J161&lt;=90,"61-90 Days","90+ Days"))))</f>
        <v/>
      </c>
      <c r="M161" s="8">
        <f>IF(Raw_Data!K161="Yes",Raw_Data!F161*Raw_Data!L161,0)</f>
        <v/>
      </c>
      <c r="N161" s="2">
        <f>IF(H161&lt;&gt;"Paid","Outstanding",IF(J161=0,"On Time","Late"))</f>
        <v/>
      </c>
    </row>
    <row r="162">
      <c r="A162" s="2">
        <f>Raw_Data!A162</f>
        <v/>
      </c>
      <c r="B162" s="7">
        <f>Raw_Data!B162</f>
        <v/>
      </c>
      <c r="C162" s="2">
        <f>Raw_Data!C162</f>
        <v/>
      </c>
      <c r="D162" s="2">
        <f>Raw_Data!D162</f>
        <v/>
      </c>
      <c r="E162" s="8">
        <f>Raw_Data!F162</f>
        <v/>
      </c>
      <c r="F162" s="7">
        <f>Raw_Data!H162</f>
        <v/>
      </c>
      <c r="G162" s="7">
        <f>Raw_Data!I162</f>
        <v/>
      </c>
      <c r="H162" s="2">
        <f>Raw_Data!J162</f>
        <v/>
      </c>
      <c r="I162" s="2">
        <f>IF(G162="",0,G162-B162)</f>
        <v/>
      </c>
      <c r="J162" s="2">
        <f>IF(H162="Paid",MAX(0,G162-F162),MAX(0,DATE(2026,12,31)-F162))</f>
        <v/>
      </c>
      <c r="K162" s="8">
        <f>IF(H162="Paid",0,E162)</f>
        <v/>
      </c>
      <c r="L162" s="2">
        <f>IF(J162=0,"Current",IF(J162&lt;=30,"1-30 Days",IF(J162&lt;=60,"31-60 Days",IF(J162&lt;=90,"61-90 Days","90+ Days"))))</f>
        <v/>
      </c>
      <c r="M162" s="8">
        <f>IF(Raw_Data!K162="Yes",Raw_Data!F162*Raw_Data!L162,0)</f>
        <v/>
      </c>
      <c r="N162" s="2">
        <f>IF(H162&lt;&gt;"Paid","Outstanding",IF(J162=0,"On Time","Late"))</f>
        <v/>
      </c>
    </row>
    <row r="163">
      <c r="A163" s="2">
        <f>Raw_Data!A163</f>
        <v/>
      </c>
      <c r="B163" s="7">
        <f>Raw_Data!B163</f>
        <v/>
      </c>
      <c r="C163" s="2">
        <f>Raw_Data!C163</f>
        <v/>
      </c>
      <c r="D163" s="2">
        <f>Raw_Data!D163</f>
        <v/>
      </c>
      <c r="E163" s="8">
        <f>Raw_Data!F163</f>
        <v/>
      </c>
      <c r="F163" s="7">
        <f>Raw_Data!H163</f>
        <v/>
      </c>
      <c r="G163" s="7">
        <f>Raw_Data!I163</f>
        <v/>
      </c>
      <c r="H163" s="2">
        <f>Raw_Data!J163</f>
        <v/>
      </c>
      <c r="I163" s="2">
        <f>IF(G163="",0,G163-B163)</f>
        <v/>
      </c>
      <c r="J163" s="2">
        <f>IF(H163="Paid",MAX(0,G163-F163),MAX(0,DATE(2026,12,31)-F163))</f>
        <v/>
      </c>
      <c r="K163" s="8">
        <f>IF(H163="Paid",0,E163)</f>
        <v/>
      </c>
      <c r="L163" s="2">
        <f>IF(J163=0,"Current",IF(J163&lt;=30,"1-30 Days",IF(J163&lt;=60,"31-60 Days",IF(J163&lt;=90,"61-90 Days","90+ Days"))))</f>
        <v/>
      </c>
      <c r="M163" s="8">
        <f>IF(Raw_Data!K163="Yes",Raw_Data!F163*Raw_Data!L163,0)</f>
        <v/>
      </c>
      <c r="N163" s="2">
        <f>IF(H163&lt;&gt;"Paid","Outstanding",IF(J163=0,"On Time","Late"))</f>
        <v/>
      </c>
    </row>
    <row r="164">
      <c r="A164" s="2">
        <f>Raw_Data!A164</f>
        <v/>
      </c>
      <c r="B164" s="7">
        <f>Raw_Data!B164</f>
        <v/>
      </c>
      <c r="C164" s="2">
        <f>Raw_Data!C164</f>
        <v/>
      </c>
      <c r="D164" s="2">
        <f>Raw_Data!D164</f>
        <v/>
      </c>
      <c r="E164" s="8">
        <f>Raw_Data!F164</f>
        <v/>
      </c>
      <c r="F164" s="7">
        <f>Raw_Data!H164</f>
        <v/>
      </c>
      <c r="G164" s="7">
        <f>Raw_Data!I164</f>
        <v/>
      </c>
      <c r="H164" s="2">
        <f>Raw_Data!J164</f>
        <v/>
      </c>
      <c r="I164" s="2">
        <f>IF(G164="",0,G164-B164)</f>
        <v/>
      </c>
      <c r="J164" s="2">
        <f>IF(H164="Paid",MAX(0,G164-F164),MAX(0,DATE(2026,12,31)-F164))</f>
        <v/>
      </c>
      <c r="K164" s="8">
        <f>IF(H164="Paid",0,E164)</f>
        <v/>
      </c>
      <c r="L164" s="2">
        <f>IF(J164=0,"Current",IF(J164&lt;=30,"1-30 Days",IF(J164&lt;=60,"31-60 Days",IF(J164&lt;=90,"61-90 Days","90+ Days"))))</f>
        <v/>
      </c>
      <c r="M164" s="8">
        <f>IF(Raw_Data!K164="Yes",Raw_Data!F164*Raw_Data!L164,0)</f>
        <v/>
      </c>
      <c r="N164" s="2">
        <f>IF(H164&lt;&gt;"Paid","Outstanding",IF(J164=0,"On Time","Late"))</f>
        <v/>
      </c>
    </row>
    <row r="165">
      <c r="A165" s="2">
        <f>Raw_Data!A165</f>
        <v/>
      </c>
      <c r="B165" s="7">
        <f>Raw_Data!B165</f>
        <v/>
      </c>
      <c r="C165" s="2">
        <f>Raw_Data!C165</f>
        <v/>
      </c>
      <c r="D165" s="2">
        <f>Raw_Data!D165</f>
        <v/>
      </c>
      <c r="E165" s="8">
        <f>Raw_Data!F165</f>
        <v/>
      </c>
      <c r="F165" s="7">
        <f>Raw_Data!H165</f>
        <v/>
      </c>
      <c r="G165" s="7">
        <f>Raw_Data!I165</f>
        <v/>
      </c>
      <c r="H165" s="2">
        <f>Raw_Data!J165</f>
        <v/>
      </c>
      <c r="I165" s="2">
        <f>IF(G165="",0,G165-B165)</f>
        <v/>
      </c>
      <c r="J165" s="2">
        <f>IF(H165="Paid",MAX(0,G165-F165),MAX(0,DATE(2026,12,31)-F165))</f>
        <v/>
      </c>
      <c r="K165" s="8">
        <f>IF(H165="Paid",0,E165)</f>
        <v/>
      </c>
      <c r="L165" s="2">
        <f>IF(J165=0,"Current",IF(J165&lt;=30,"1-30 Days",IF(J165&lt;=60,"31-60 Days",IF(J165&lt;=90,"61-90 Days","90+ Days"))))</f>
        <v/>
      </c>
      <c r="M165" s="8">
        <f>IF(Raw_Data!K165="Yes",Raw_Data!F165*Raw_Data!L165,0)</f>
        <v/>
      </c>
      <c r="N165" s="2">
        <f>IF(H165&lt;&gt;"Paid","Outstanding",IF(J165=0,"On Time","Late"))</f>
        <v/>
      </c>
    </row>
    <row r="166">
      <c r="A166" s="2">
        <f>Raw_Data!A166</f>
        <v/>
      </c>
      <c r="B166" s="7">
        <f>Raw_Data!B166</f>
        <v/>
      </c>
      <c r="C166" s="2">
        <f>Raw_Data!C166</f>
        <v/>
      </c>
      <c r="D166" s="2">
        <f>Raw_Data!D166</f>
        <v/>
      </c>
      <c r="E166" s="8">
        <f>Raw_Data!F166</f>
        <v/>
      </c>
      <c r="F166" s="7">
        <f>Raw_Data!H166</f>
        <v/>
      </c>
      <c r="G166" s="7">
        <f>Raw_Data!I166</f>
        <v/>
      </c>
      <c r="H166" s="2">
        <f>Raw_Data!J166</f>
        <v/>
      </c>
      <c r="I166" s="2">
        <f>IF(G166="",0,G166-B166)</f>
        <v/>
      </c>
      <c r="J166" s="2">
        <f>IF(H166="Paid",MAX(0,G166-F166),MAX(0,DATE(2026,12,31)-F166))</f>
        <v/>
      </c>
      <c r="K166" s="8">
        <f>IF(H166="Paid",0,E166)</f>
        <v/>
      </c>
      <c r="L166" s="2">
        <f>IF(J166=0,"Current",IF(J166&lt;=30,"1-30 Days",IF(J166&lt;=60,"31-60 Days",IF(J166&lt;=90,"61-90 Days","90+ Days"))))</f>
        <v/>
      </c>
      <c r="M166" s="8">
        <f>IF(Raw_Data!K166="Yes",Raw_Data!F166*Raw_Data!L166,0)</f>
        <v/>
      </c>
      <c r="N166" s="2">
        <f>IF(H166&lt;&gt;"Paid","Outstanding",IF(J166=0,"On Time","Late"))</f>
        <v/>
      </c>
    </row>
    <row r="167">
      <c r="A167" s="2">
        <f>Raw_Data!A167</f>
        <v/>
      </c>
      <c r="B167" s="7">
        <f>Raw_Data!B167</f>
        <v/>
      </c>
      <c r="C167" s="2">
        <f>Raw_Data!C167</f>
        <v/>
      </c>
      <c r="D167" s="2">
        <f>Raw_Data!D167</f>
        <v/>
      </c>
      <c r="E167" s="8">
        <f>Raw_Data!F167</f>
        <v/>
      </c>
      <c r="F167" s="7">
        <f>Raw_Data!H167</f>
        <v/>
      </c>
      <c r="G167" s="7">
        <f>Raw_Data!I167</f>
        <v/>
      </c>
      <c r="H167" s="2">
        <f>Raw_Data!J167</f>
        <v/>
      </c>
      <c r="I167" s="2">
        <f>IF(G167="",0,G167-B167)</f>
        <v/>
      </c>
      <c r="J167" s="2">
        <f>IF(H167="Paid",MAX(0,G167-F167),MAX(0,DATE(2026,12,31)-F167))</f>
        <v/>
      </c>
      <c r="K167" s="8">
        <f>IF(H167="Paid",0,E167)</f>
        <v/>
      </c>
      <c r="L167" s="2">
        <f>IF(J167=0,"Current",IF(J167&lt;=30,"1-30 Days",IF(J167&lt;=60,"31-60 Days",IF(J167&lt;=90,"61-90 Days","90+ Days"))))</f>
        <v/>
      </c>
      <c r="M167" s="8">
        <f>IF(Raw_Data!K167="Yes",Raw_Data!F167*Raw_Data!L167,0)</f>
        <v/>
      </c>
      <c r="N167" s="2">
        <f>IF(H167&lt;&gt;"Paid","Outstanding",IF(J167=0,"On Time","Late"))</f>
        <v/>
      </c>
    </row>
    <row r="168">
      <c r="A168" s="2">
        <f>Raw_Data!A168</f>
        <v/>
      </c>
      <c r="B168" s="7">
        <f>Raw_Data!B168</f>
        <v/>
      </c>
      <c r="C168" s="2">
        <f>Raw_Data!C168</f>
        <v/>
      </c>
      <c r="D168" s="2">
        <f>Raw_Data!D168</f>
        <v/>
      </c>
      <c r="E168" s="8">
        <f>Raw_Data!F168</f>
        <v/>
      </c>
      <c r="F168" s="7">
        <f>Raw_Data!H168</f>
        <v/>
      </c>
      <c r="G168" s="7">
        <f>Raw_Data!I168</f>
        <v/>
      </c>
      <c r="H168" s="2">
        <f>Raw_Data!J168</f>
        <v/>
      </c>
      <c r="I168" s="2">
        <f>IF(G168="",0,G168-B168)</f>
        <v/>
      </c>
      <c r="J168" s="2">
        <f>IF(H168="Paid",MAX(0,G168-F168),MAX(0,DATE(2026,12,31)-F168))</f>
        <v/>
      </c>
      <c r="K168" s="8">
        <f>IF(H168="Paid",0,E168)</f>
        <v/>
      </c>
      <c r="L168" s="2">
        <f>IF(J168=0,"Current",IF(J168&lt;=30,"1-30 Days",IF(J168&lt;=60,"31-60 Days",IF(J168&lt;=90,"61-90 Days","90+ Days"))))</f>
        <v/>
      </c>
      <c r="M168" s="8">
        <f>IF(Raw_Data!K168="Yes",Raw_Data!F168*Raw_Data!L168,0)</f>
        <v/>
      </c>
      <c r="N168" s="2">
        <f>IF(H168&lt;&gt;"Paid","Outstanding",IF(J168=0,"On Time","Late"))</f>
        <v/>
      </c>
    </row>
    <row r="169">
      <c r="A169" s="2">
        <f>Raw_Data!A169</f>
        <v/>
      </c>
      <c r="B169" s="7">
        <f>Raw_Data!B169</f>
        <v/>
      </c>
      <c r="C169" s="2">
        <f>Raw_Data!C169</f>
        <v/>
      </c>
      <c r="D169" s="2">
        <f>Raw_Data!D169</f>
        <v/>
      </c>
      <c r="E169" s="8">
        <f>Raw_Data!F169</f>
        <v/>
      </c>
      <c r="F169" s="7">
        <f>Raw_Data!H169</f>
        <v/>
      </c>
      <c r="G169" s="7">
        <f>Raw_Data!I169</f>
        <v/>
      </c>
      <c r="H169" s="2">
        <f>Raw_Data!J169</f>
        <v/>
      </c>
      <c r="I169" s="2">
        <f>IF(G169="",0,G169-B169)</f>
        <v/>
      </c>
      <c r="J169" s="2">
        <f>IF(H169="Paid",MAX(0,G169-F169),MAX(0,DATE(2026,12,31)-F169))</f>
        <v/>
      </c>
      <c r="K169" s="8">
        <f>IF(H169="Paid",0,E169)</f>
        <v/>
      </c>
      <c r="L169" s="2">
        <f>IF(J169=0,"Current",IF(J169&lt;=30,"1-30 Days",IF(J169&lt;=60,"31-60 Days",IF(J169&lt;=90,"61-90 Days","90+ Days"))))</f>
        <v/>
      </c>
      <c r="M169" s="8">
        <f>IF(Raw_Data!K169="Yes",Raw_Data!F169*Raw_Data!L169,0)</f>
        <v/>
      </c>
      <c r="N169" s="2">
        <f>IF(H169&lt;&gt;"Paid","Outstanding",IF(J169=0,"On Time","Late"))</f>
        <v/>
      </c>
    </row>
    <row r="170">
      <c r="A170" s="2">
        <f>Raw_Data!A170</f>
        <v/>
      </c>
      <c r="B170" s="7">
        <f>Raw_Data!B170</f>
        <v/>
      </c>
      <c r="C170" s="2">
        <f>Raw_Data!C170</f>
        <v/>
      </c>
      <c r="D170" s="2">
        <f>Raw_Data!D170</f>
        <v/>
      </c>
      <c r="E170" s="8">
        <f>Raw_Data!F170</f>
        <v/>
      </c>
      <c r="F170" s="7">
        <f>Raw_Data!H170</f>
        <v/>
      </c>
      <c r="G170" s="7">
        <f>Raw_Data!I170</f>
        <v/>
      </c>
      <c r="H170" s="2">
        <f>Raw_Data!J170</f>
        <v/>
      </c>
      <c r="I170" s="2">
        <f>IF(G170="",0,G170-B170)</f>
        <v/>
      </c>
      <c r="J170" s="2">
        <f>IF(H170="Paid",MAX(0,G170-F170),MAX(0,DATE(2026,12,31)-F170))</f>
        <v/>
      </c>
      <c r="K170" s="8">
        <f>IF(H170="Paid",0,E170)</f>
        <v/>
      </c>
      <c r="L170" s="2">
        <f>IF(J170=0,"Current",IF(J170&lt;=30,"1-30 Days",IF(J170&lt;=60,"31-60 Days",IF(J170&lt;=90,"61-90 Days","90+ Days"))))</f>
        <v/>
      </c>
      <c r="M170" s="8">
        <f>IF(Raw_Data!K170="Yes",Raw_Data!F170*Raw_Data!L170,0)</f>
        <v/>
      </c>
      <c r="N170" s="2">
        <f>IF(H170&lt;&gt;"Paid","Outstanding",IF(J170=0,"On Time","Late"))</f>
        <v/>
      </c>
    </row>
    <row r="171">
      <c r="A171" s="2">
        <f>Raw_Data!A171</f>
        <v/>
      </c>
      <c r="B171" s="7">
        <f>Raw_Data!B171</f>
        <v/>
      </c>
      <c r="C171" s="2">
        <f>Raw_Data!C171</f>
        <v/>
      </c>
      <c r="D171" s="2">
        <f>Raw_Data!D171</f>
        <v/>
      </c>
      <c r="E171" s="8">
        <f>Raw_Data!F171</f>
        <v/>
      </c>
      <c r="F171" s="7">
        <f>Raw_Data!H171</f>
        <v/>
      </c>
      <c r="G171" s="7">
        <f>Raw_Data!I171</f>
        <v/>
      </c>
      <c r="H171" s="2">
        <f>Raw_Data!J171</f>
        <v/>
      </c>
      <c r="I171" s="2">
        <f>IF(G171="",0,G171-B171)</f>
        <v/>
      </c>
      <c r="J171" s="2">
        <f>IF(H171="Paid",MAX(0,G171-F171),MAX(0,DATE(2026,12,31)-F171))</f>
        <v/>
      </c>
      <c r="K171" s="8">
        <f>IF(H171="Paid",0,E171)</f>
        <v/>
      </c>
      <c r="L171" s="2">
        <f>IF(J171=0,"Current",IF(J171&lt;=30,"1-30 Days",IF(J171&lt;=60,"31-60 Days",IF(J171&lt;=90,"61-90 Days","90+ Days"))))</f>
        <v/>
      </c>
      <c r="M171" s="8">
        <f>IF(Raw_Data!K171="Yes",Raw_Data!F171*Raw_Data!L171,0)</f>
        <v/>
      </c>
      <c r="N171" s="2">
        <f>IF(H171&lt;&gt;"Paid","Outstanding",IF(J171=0,"On Time","Late"))</f>
        <v/>
      </c>
    </row>
    <row r="172">
      <c r="A172" s="2">
        <f>Raw_Data!A172</f>
        <v/>
      </c>
      <c r="B172" s="7">
        <f>Raw_Data!B172</f>
        <v/>
      </c>
      <c r="C172" s="2">
        <f>Raw_Data!C172</f>
        <v/>
      </c>
      <c r="D172" s="2">
        <f>Raw_Data!D172</f>
        <v/>
      </c>
      <c r="E172" s="8">
        <f>Raw_Data!F172</f>
        <v/>
      </c>
      <c r="F172" s="7">
        <f>Raw_Data!H172</f>
        <v/>
      </c>
      <c r="G172" s="7">
        <f>Raw_Data!I172</f>
        <v/>
      </c>
      <c r="H172" s="2">
        <f>Raw_Data!J172</f>
        <v/>
      </c>
      <c r="I172" s="2">
        <f>IF(G172="",0,G172-B172)</f>
        <v/>
      </c>
      <c r="J172" s="2">
        <f>IF(H172="Paid",MAX(0,G172-F172),MAX(0,DATE(2026,12,31)-F172))</f>
        <v/>
      </c>
      <c r="K172" s="8">
        <f>IF(H172="Paid",0,E172)</f>
        <v/>
      </c>
      <c r="L172" s="2">
        <f>IF(J172=0,"Current",IF(J172&lt;=30,"1-30 Days",IF(J172&lt;=60,"31-60 Days",IF(J172&lt;=90,"61-90 Days","90+ Days"))))</f>
        <v/>
      </c>
      <c r="M172" s="8">
        <f>IF(Raw_Data!K172="Yes",Raw_Data!F172*Raw_Data!L172,0)</f>
        <v/>
      </c>
      <c r="N172" s="2">
        <f>IF(H172&lt;&gt;"Paid","Outstanding",IF(J172=0,"On Time","Late"))</f>
        <v/>
      </c>
    </row>
    <row r="173">
      <c r="A173" s="2">
        <f>Raw_Data!A173</f>
        <v/>
      </c>
      <c r="B173" s="7">
        <f>Raw_Data!B173</f>
        <v/>
      </c>
      <c r="C173" s="2">
        <f>Raw_Data!C173</f>
        <v/>
      </c>
      <c r="D173" s="2">
        <f>Raw_Data!D173</f>
        <v/>
      </c>
      <c r="E173" s="8">
        <f>Raw_Data!F173</f>
        <v/>
      </c>
      <c r="F173" s="7">
        <f>Raw_Data!H173</f>
        <v/>
      </c>
      <c r="G173" s="7">
        <f>Raw_Data!I173</f>
        <v/>
      </c>
      <c r="H173" s="2">
        <f>Raw_Data!J173</f>
        <v/>
      </c>
      <c r="I173" s="2">
        <f>IF(G173="",0,G173-B173)</f>
        <v/>
      </c>
      <c r="J173" s="2">
        <f>IF(H173="Paid",MAX(0,G173-F173),MAX(0,DATE(2026,12,31)-F173))</f>
        <v/>
      </c>
      <c r="K173" s="8">
        <f>IF(H173="Paid",0,E173)</f>
        <v/>
      </c>
      <c r="L173" s="2">
        <f>IF(J173=0,"Current",IF(J173&lt;=30,"1-30 Days",IF(J173&lt;=60,"31-60 Days",IF(J173&lt;=90,"61-90 Days","90+ Days"))))</f>
        <v/>
      </c>
      <c r="M173" s="8">
        <f>IF(Raw_Data!K173="Yes",Raw_Data!F173*Raw_Data!L173,0)</f>
        <v/>
      </c>
      <c r="N173" s="2">
        <f>IF(H173&lt;&gt;"Paid","Outstanding",IF(J173=0,"On Time","Late"))</f>
        <v/>
      </c>
    </row>
    <row r="174">
      <c r="A174" s="2">
        <f>Raw_Data!A174</f>
        <v/>
      </c>
      <c r="B174" s="7">
        <f>Raw_Data!B174</f>
        <v/>
      </c>
      <c r="C174" s="2">
        <f>Raw_Data!C174</f>
        <v/>
      </c>
      <c r="D174" s="2">
        <f>Raw_Data!D174</f>
        <v/>
      </c>
      <c r="E174" s="8">
        <f>Raw_Data!F174</f>
        <v/>
      </c>
      <c r="F174" s="7">
        <f>Raw_Data!H174</f>
        <v/>
      </c>
      <c r="G174" s="7">
        <f>Raw_Data!I174</f>
        <v/>
      </c>
      <c r="H174" s="2">
        <f>Raw_Data!J174</f>
        <v/>
      </c>
      <c r="I174" s="2">
        <f>IF(G174="",0,G174-B174)</f>
        <v/>
      </c>
      <c r="J174" s="2">
        <f>IF(H174="Paid",MAX(0,G174-F174),MAX(0,DATE(2026,12,31)-F174))</f>
        <v/>
      </c>
      <c r="K174" s="8">
        <f>IF(H174="Paid",0,E174)</f>
        <v/>
      </c>
      <c r="L174" s="2">
        <f>IF(J174=0,"Current",IF(J174&lt;=30,"1-30 Days",IF(J174&lt;=60,"31-60 Days",IF(J174&lt;=90,"61-90 Days","90+ Days"))))</f>
        <v/>
      </c>
      <c r="M174" s="8">
        <f>IF(Raw_Data!K174="Yes",Raw_Data!F174*Raw_Data!L174,0)</f>
        <v/>
      </c>
      <c r="N174" s="2">
        <f>IF(H174&lt;&gt;"Paid","Outstanding",IF(J174=0,"On Time","Late"))</f>
        <v/>
      </c>
    </row>
    <row r="175">
      <c r="A175" s="2">
        <f>Raw_Data!A175</f>
        <v/>
      </c>
      <c r="B175" s="7">
        <f>Raw_Data!B175</f>
        <v/>
      </c>
      <c r="C175" s="2">
        <f>Raw_Data!C175</f>
        <v/>
      </c>
      <c r="D175" s="2">
        <f>Raw_Data!D175</f>
        <v/>
      </c>
      <c r="E175" s="8">
        <f>Raw_Data!F175</f>
        <v/>
      </c>
      <c r="F175" s="7">
        <f>Raw_Data!H175</f>
        <v/>
      </c>
      <c r="G175" s="7">
        <f>Raw_Data!I175</f>
        <v/>
      </c>
      <c r="H175" s="2">
        <f>Raw_Data!J175</f>
        <v/>
      </c>
      <c r="I175" s="2">
        <f>IF(G175="",0,G175-B175)</f>
        <v/>
      </c>
      <c r="J175" s="2">
        <f>IF(H175="Paid",MAX(0,G175-F175),MAX(0,DATE(2026,12,31)-F175))</f>
        <v/>
      </c>
      <c r="K175" s="8">
        <f>IF(H175="Paid",0,E175)</f>
        <v/>
      </c>
      <c r="L175" s="2">
        <f>IF(J175=0,"Current",IF(J175&lt;=30,"1-30 Days",IF(J175&lt;=60,"31-60 Days",IF(J175&lt;=90,"61-90 Days","90+ Days"))))</f>
        <v/>
      </c>
      <c r="M175" s="8">
        <f>IF(Raw_Data!K175="Yes",Raw_Data!F175*Raw_Data!L175,0)</f>
        <v/>
      </c>
      <c r="N175" s="2">
        <f>IF(H175&lt;&gt;"Paid","Outstanding",IF(J175=0,"On Time","Late"))</f>
        <v/>
      </c>
    </row>
    <row r="176">
      <c r="A176" s="2">
        <f>Raw_Data!A176</f>
        <v/>
      </c>
      <c r="B176" s="7">
        <f>Raw_Data!B176</f>
        <v/>
      </c>
      <c r="C176" s="2">
        <f>Raw_Data!C176</f>
        <v/>
      </c>
      <c r="D176" s="2">
        <f>Raw_Data!D176</f>
        <v/>
      </c>
      <c r="E176" s="8">
        <f>Raw_Data!F176</f>
        <v/>
      </c>
      <c r="F176" s="7">
        <f>Raw_Data!H176</f>
        <v/>
      </c>
      <c r="G176" s="7">
        <f>Raw_Data!I176</f>
        <v/>
      </c>
      <c r="H176" s="2">
        <f>Raw_Data!J176</f>
        <v/>
      </c>
      <c r="I176" s="2">
        <f>IF(G176="",0,G176-B176)</f>
        <v/>
      </c>
      <c r="J176" s="2">
        <f>IF(H176="Paid",MAX(0,G176-F176),MAX(0,DATE(2026,12,31)-F176))</f>
        <v/>
      </c>
      <c r="K176" s="8">
        <f>IF(H176="Paid",0,E176)</f>
        <v/>
      </c>
      <c r="L176" s="2">
        <f>IF(J176=0,"Current",IF(J176&lt;=30,"1-30 Days",IF(J176&lt;=60,"31-60 Days",IF(J176&lt;=90,"61-90 Days","90+ Days"))))</f>
        <v/>
      </c>
      <c r="M176" s="8">
        <f>IF(Raw_Data!K176="Yes",Raw_Data!F176*Raw_Data!L176,0)</f>
        <v/>
      </c>
      <c r="N176" s="2">
        <f>IF(H176&lt;&gt;"Paid","Outstanding",IF(J176=0,"On Time","Late"))</f>
        <v/>
      </c>
    </row>
    <row r="177">
      <c r="A177" s="2">
        <f>Raw_Data!A177</f>
        <v/>
      </c>
      <c r="B177" s="7">
        <f>Raw_Data!B177</f>
        <v/>
      </c>
      <c r="C177" s="2">
        <f>Raw_Data!C177</f>
        <v/>
      </c>
      <c r="D177" s="2">
        <f>Raw_Data!D177</f>
        <v/>
      </c>
      <c r="E177" s="8">
        <f>Raw_Data!F177</f>
        <v/>
      </c>
      <c r="F177" s="7">
        <f>Raw_Data!H177</f>
        <v/>
      </c>
      <c r="G177" s="7">
        <f>Raw_Data!I177</f>
        <v/>
      </c>
      <c r="H177" s="2">
        <f>Raw_Data!J177</f>
        <v/>
      </c>
      <c r="I177" s="2">
        <f>IF(G177="",0,G177-B177)</f>
        <v/>
      </c>
      <c r="J177" s="2">
        <f>IF(H177="Paid",MAX(0,G177-F177),MAX(0,DATE(2026,12,31)-F177))</f>
        <v/>
      </c>
      <c r="K177" s="8">
        <f>IF(H177="Paid",0,E177)</f>
        <v/>
      </c>
      <c r="L177" s="2">
        <f>IF(J177=0,"Current",IF(J177&lt;=30,"1-30 Days",IF(J177&lt;=60,"31-60 Days",IF(J177&lt;=90,"61-90 Days","90+ Days"))))</f>
        <v/>
      </c>
      <c r="M177" s="8">
        <f>IF(Raw_Data!K177="Yes",Raw_Data!F177*Raw_Data!L177,0)</f>
        <v/>
      </c>
      <c r="N177" s="2">
        <f>IF(H177&lt;&gt;"Paid","Outstanding",IF(J177=0,"On Time","Late"))</f>
        <v/>
      </c>
    </row>
    <row r="178">
      <c r="A178" s="2">
        <f>Raw_Data!A178</f>
        <v/>
      </c>
      <c r="B178" s="7">
        <f>Raw_Data!B178</f>
        <v/>
      </c>
      <c r="C178" s="2">
        <f>Raw_Data!C178</f>
        <v/>
      </c>
      <c r="D178" s="2">
        <f>Raw_Data!D178</f>
        <v/>
      </c>
      <c r="E178" s="8">
        <f>Raw_Data!F178</f>
        <v/>
      </c>
      <c r="F178" s="7">
        <f>Raw_Data!H178</f>
        <v/>
      </c>
      <c r="G178" s="7">
        <f>Raw_Data!I178</f>
        <v/>
      </c>
      <c r="H178" s="2">
        <f>Raw_Data!J178</f>
        <v/>
      </c>
      <c r="I178" s="2">
        <f>IF(G178="",0,G178-B178)</f>
        <v/>
      </c>
      <c r="J178" s="2">
        <f>IF(H178="Paid",MAX(0,G178-F178),MAX(0,DATE(2026,12,31)-F178))</f>
        <v/>
      </c>
      <c r="K178" s="8">
        <f>IF(H178="Paid",0,E178)</f>
        <v/>
      </c>
      <c r="L178" s="2">
        <f>IF(J178=0,"Current",IF(J178&lt;=30,"1-30 Days",IF(J178&lt;=60,"31-60 Days",IF(J178&lt;=90,"61-90 Days","90+ Days"))))</f>
        <v/>
      </c>
      <c r="M178" s="8">
        <f>IF(Raw_Data!K178="Yes",Raw_Data!F178*Raw_Data!L178,0)</f>
        <v/>
      </c>
      <c r="N178" s="2">
        <f>IF(H178&lt;&gt;"Paid","Outstanding",IF(J178=0,"On Time","Late"))</f>
        <v/>
      </c>
    </row>
    <row r="179">
      <c r="A179" s="2">
        <f>Raw_Data!A179</f>
        <v/>
      </c>
      <c r="B179" s="7">
        <f>Raw_Data!B179</f>
        <v/>
      </c>
      <c r="C179" s="2">
        <f>Raw_Data!C179</f>
        <v/>
      </c>
      <c r="D179" s="2">
        <f>Raw_Data!D179</f>
        <v/>
      </c>
      <c r="E179" s="8">
        <f>Raw_Data!F179</f>
        <v/>
      </c>
      <c r="F179" s="7">
        <f>Raw_Data!H179</f>
        <v/>
      </c>
      <c r="G179" s="7">
        <f>Raw_Data!I179</f>
        <v/>
      </c>
      <c r="H179" s="2">
        <f>Raw_Data!J179</f>
        <v/>
      </c>
      <c r="I179" s="2">
        <f>IF(G179="",0,G179-B179)</f>
        <v/>
      </c>
      <c r="J179" s="2">
        <f>IF(H179="Paid",MAX(0,G179-F179),MAX(0,DATE(2026,12,31)-F179))</f>
        <v/>
      </c>
      <c r="K179" s="8">
        <f>IF(H179="Paid",0,E179)</f>
        <v/>
      </c>
      <c r="L179" s="2">
        <f>IF(J179=0,"Current",IF(J179&lt;=30,"1-30 Days",IF(J179&lt;=60,"31-60 Days",IF(J179&lt;=90,"61-90 Days","90+ Days"))))</f>
        <v/>
      </c>
      <c r="M179" s="8">
        <f>IF(Raw_Data!K179="Yes",Raw_Data!F179*Raw_Data!L179,0)</f>
        <v/>
      </c>
      <c r="N179" s="2">
        <f>IF(H179&lt;&gt;"Paid","Outstanding",IF(J179=0,"On Time","Late"))</f>
        <v/>
      </c>
    </row>
    <row r="180">
      <c r="A180" s="2">
        <f>Raw_Data!A180</f>
        <v/>
      </c>
      <c r="B180" s="7">
        <f>Raw_Data!B180</f>
        <v/>
      </c>
      <c r="C180" s="2">
        <f>Raw_Data!C180</f>
        <v/>
      </c>
      <c r="D180" s="2">
        <f>Raw_Data!D180</f>
        <v/>
      </c>
      <c r="E180" s="8">
        <f>Raw_Data!F180</f>
        <v/>
      </c>
      <c r="F180" s="7">
        <f>Raw_Data!H180</f>
        <v/>
      </c>
      <c r="G180" s="7">
        <f>Raw_Data!I180</f>
        <v/>
      </c>
      <c r="H180" s="2">
        <f>Raw_Data!J180</f>
        <v/>
      </c>
      <c r="I180" s="2">
        <f>IF(G180="",0,G180-B180)</f>
        <v/>
      </c>
      <c r="J180" s="2">
        <f>IF(H180="Paid",MAX(0,G180-F180),MAX(0,DATE(2026,12,31)-F180))</f>
        <v/>
      </c>
      <c r="K180" s="8">
        <f>IF(H180="Paid",0,E180)</f>
        <v/>
      </c>
      <c r="L180" s="2">
        <f>IF(J180=0,"Current",IF(J180&lt;=30,"1-30 Days",IF(J180&lt;=60,"31-60 Days",IF(J180&lt;=90,"61-90 Days","90+ Days"))))</f>
        <v/>
      </c>
      <c r="M180" s="8">
        <f>IF(Raw_Data!K180="Yes",Raw_Data!F180*Raw_Data!L180,0)</f>
        <v/>
      </c>
      <c r="N180" s="2">
        <f>IF(H180&lt;&gt;"Paid","Outstanding",IF(J180=0,"On Time","Late"))</f>
        <v/>
      </c>
    </row>
    <row r="181">
      <c r="A181" s="2">
        <f>Raw_Data!A181</f>
        <v/>
      </c>
      <c r="B181" s="7">
        <f>Raw_Data!B181</f>
        <v/>
      </c>
      <c r="C181" s="2">
        <f>Raw_Data!C181</f>
        <v/>
      </c>
      <c r="D181" s="2">
        <f>Raw_Data!D181</f>
        <v/>
      </c>
      <c r="E181" s="8">
        <f>Raw_Data!F181</f>
        <v/>
      </c>
      <c r="F181" s="7">
        <f>Raw_Data!H181</f>
        <v/>
      </c>
      <c r="G181" s="7">
        <f>Raw_Data!I181</f>
        <v/>
      </c>
      <c r="H181" s="2">
        <f>Raw_Data!J181</f>
        <v/>
      </c>
      <c r="I181" s="2">
        <f>IF(G181="",0,G181-B181)</f>
        <v/>
      </c>
      <c r="J181" s="2">
        <f>IF(H181="Paid",MAX(0,G181-F181),MAX(0,DATE(2026,12,31)-F181))</f>
        <v/>
      </c>
      <c r="K181" s="8">
        <f>IF(H181="Paid",0,E181)</f>
        <v/>
      </c>
      <c r="L181" s="2">
        <f>IF(J181=0,"Current",IF(J181&lt;=30,"1-30 Days",IF(J181&lt;=60,"31-60 Days",IF(J181&lt;=90,"61-90 Days","90+ Days"))))</f>
        <v/>
      </c>
      <c r="M181" s="8">
        <f>IF(Raw_Data!K181="Yes",Raw_Data!F181*Raw_Data!L181,0)</f>
        <v/>
      </c>
      <c r="N181" s="2">
        <f>IF(H181&lt;&gt;"Paid","Outstanding",IF(J181=0,"On Time","Late"))</f>
        <v/>
      </c>
    </row>
    <row r="182">
      <c r="A182" s="2">
        <f>Raw_Data!A182</f>
        <v/>
      </c>
      <c r="B182" s="7">
        <f>Raw_Data!B182</f>
        <v/>
      </c>
      <c r="C182" s="2">
        <f>Raw_Data!C182</f>
        <v/>
      </c>
      <c r="D182" s="2">
        <f>Raw_Data!D182</f>
        <v/>
      </c>
      <c r="E182" s="8">
        <f>Raw_Data!F182</f>
        <v/>
      </c>
      <c r="F182" s="7">
        <f>Raw_Data!H182</f>
        <v/>
      </c>
      <c r="G182" s="7">
        <f>Raw_Data!I182</f>
        <v/>
      </c>
      <c r="H182" s="2">
        <f>Raw_Data!J182</f>
        <v/>
      </c>
      <c r="I182" s="2">
        <f>IF(G182="",0,G182-B182)</f>
        <v/>
      </c>
      <c r="J182" s="2">
        <f>IF(H182="Paid",MAX(0,G182-F182),MAX(0,DATE(2026,12,31)-F182))</f>
        <v/>
      </c>
      <c r="K182" s="8">
        <f>IF(H182="Paid",0,E182)</f>
        <v/>
      </c>
      <c r="L182" s="2">
        <f>IF(J182=0,"Current",IF(J182&lt;=30,"1-30 Days",IF(J182&lt;=60,"31-60 Days",IF(J182&lt;=90,"61-90 Days","90+ Days"))))</f>
        <v/>
      </c>
      <c r="M182" s="8">
        <f>IF(Raw_Data!K182="Yes",Raw_Data!F182*Raw_Data!L182,0)</f>
        <v/>
      </c>
      <c r="N182" s="2">
        <f>IF(H182&lt;&gt;"Paid","Outstanding",IF(J182=0,"On Time","Late"))</f>
        <v/>
      </c>
    </row>
    <row r="183">
      <c r="A183" s="2">
        <f>Raw_Data!A183</f>
        <v/>
      </c>
      <c r="B183" s="7">
        <f>Raw_Data!B183</f>
        <v/>
      </c>
      <c r="C183" s="2">
        <f>Raw_Data!C183</f>
        <v/>
      </c>
      <c r="D183" s="2">
        <f>Raw_Data!D183</f>
        <v/>
      </c>
      <c r="E183" s="8">
        <f>Raw_Data!F183</f>
        <v/>
      </c>
      <c r="F183" s="7">
        <f>Raw_Data!H183</f>
        <v/>
      </c>
      <c r="G183" s="7">
        <f>Raw_Data!I183</f>
        <v/>
      </c>
      <c r="H183" s="2">
        <f>Raw_Data!J183</f>
        <v/>
      </c>
      <c r="I183" s="2">
        <f>IF(G183="",0,G183-B183)</f>
        <v/>
      </c>
      <c r="J183" s="2">
        <f>IF(H183="Paid",MAX(0,G183-F183),MAX(0,DATE(2026,12,31)-F183))</f>
        <v/>
      </c>
      <c r="K183" s="8">
        <f>IF(H183="Paid",0,E183)</f>
        <v/>
      </c>
      <c r="L183" s="2">
        <f>IF(J183=0,"Current",IF(J183&lt;=30,"1-30 Days",IF(J183&lt;=60,"31-60 Days",IF(J183&lt;=90,"61-90 Days","90+ Days"))))</f>
        <v/>
      </c>
      <c r="M183" s="8">
        <f>IF(Raw_Data!K183="Yes",Raw_Data!F183*Raw_Data!L183,0)</f>
        <v/>
      </c>
      <c r="N183" s="2">
        <f>IF(H183&lt;&gt;"Paid","Outstanding",IF(J183=0,"On Time","Late"))</f>
        <v/>
      </c>
    </row>
    <row r="184">
      <c r="A184" s="2">
        <f>Raw_Data!A184</f>
        <v/>
      </c>
      <c r="B184" s="7">
        <f>Raw_Data!B184</f>
        <v/>
      </c>
      <c r="C184" s="2">
        <f>Raw_Data!C184</f>
        <v/>
      </c>
      <c r="D184" s="2">
        <f>Raw_Data!D184</f>
        <v/>
      </c>
      <c r="E184" s="8">
        <f>Raw_Data!F184</f>
        <v/>
      </c>
      <c r="F184" s="7">
        <f>Raw_Data!H184</f>
        <v/>
      </c>
      <c r="G184" s="7">
        <f>Raw_Data!I184</f>
        <v/>
      </c>
      <c r="H184" s="2">
        <f>Raw_Data!J184</f>
        <v/>
      </c>
      <c r="I184" s="2">
        <f>IF(G184="",0,G184-B184)</f>
        <v/>
      </c>
      <c r="J184" s="2">
        <f>IF(H184="Paid",MAX(0,G184-F184),MAX(0,DATE(2026,12,31)-F184))</f>
        <v/>
      </c>
      <c r="K184" s="8">
        <f>IF(H184="Paid",0,E184)</f>
        <v/>
      </c>
      <c r="L184" s="2">
        <f>IF(J184=0,"Current",IF(J184&lt;=30,"1-30 Days",IF(J184&lt;=60,"31-60 Days",IF(J184&lt;=90,"61-90 Days","90+ Days"))))</f>
        <v/>
      </c>
      <c r="M184" s="8">
        <f>IF(Raw_Data!K184="Yes",Raw_Data!F184*Raw_Data!L184,0)</f>
        <v/>
      </c>
      <c r="N184" s="2">
        <f>IF(H184&lt;&gt;"Paid","Outstanding",IF(J184=0,"On Time","Late"))</f>
        <v/>
      </c>
    </row>
    <row r="185">
      <c r="A185" s="2">
        <f>Raw_Data!A185</f>
        <v/>
      </c>
      <c r="B185" s="7">
        <f>Raw_Data!B185</f>
        <v/>
      </c>
      <c r="C185" s="2">
        <f>Raw_Data!C185</f>
        <v/>
      </c>
      <c r="D185" s="2">
        <f>Raw_Data!D185</f>
        <v/>
      </c>
      <c r="E185" s="8">
        <f>Raw_Data!F185</f>
        <v/>
      </c>
      <c r="F185" s="7">
        <f>Raw_Data!H185</f>
        <v/>
      </c>
      <c r="G185" s="7">
        <f>Raw_Data!I185</f>
        <v/>
      </c>
      <c r="H185" s="2">
        <f>Raw_Data!J185</f>
        <v/>
      </c>
      <c r="I185" s="2">
        <f>IF(G185="",0,G185-B185)</f>
        <v/>
      </c>
      <c r="J185" s="2">
        <f>IF(H185="Paid",MAX(0,G185-F185),MAX(0,DATE(2026,12,31)-F185))</f>
        <v/>
      </c>
      <c r="K185" s="8">
        <f>IF(H185="Paid",0,E185)</f>
        <v/>
      </c>
      <c r="L185" s="2">
        <f>IF(J185=0,"Current",IF(J185&lt;=30,"1-30 Days",IF(J185&lt;=60,"31-60 Days",IF(J185&lt;=90,"61-90 Days","90+ Days"))))</f>
        <v/>
      </c>
      <c r="M185" s="8">
        <f>IF(Raw_Data!K185="Yes",Raw_Data!F185*Raw_Data!L185,0)</f>
        <v/>
      </c>
      <c r="N185" s="2">
        <f>IF(H185&lt;&gt;"Paid","Outstanding",IF(J185=0,"On Time","Late"))</f>
        <v/>
      </c>
    </row>
    <row r="186">
      <c r="A186" s="2">
        <f>Raw_Data!A186</f>
        <v/>
      </c>
      <c r="B186" s="7">
        <f>Raw_Data!B186</f>
        <v/>
      </c>
      <c r="C186" s="2">
        <f>Raw_Data!C186</f>
        <v/>
      </c>
      <c r="D186" s="2">
        <f>Raw_Data!D186</f>
        <v/>
      </c>
      <c r="E186" s="8">
        <f>Raw_Data!F186</f>
        <v/>
      </c>
      <c r="F186" s="7">
        <f>Raw_Data!H186</f>
        <v/>
      </c>
      <c r="G186" s="7">
        <f>Raw_Data!I186</f>
        <v/>
      </c>
      <c r="H186" s="2">
        <f>Raw_Data!J186</f>
        <v/>
      </c>
      <c r="I186" s="2">
        <f>IF(G186="",0,G186-B186)</f>
        <v/>
      </c>
      <c r="J186" s="2">
        <f>IF(H186="Paid",MAX(0,G186-F186),MAX(0,DATE(2026,12,31)-F186))</f>
        <v/>
      </c>
      <c r="K186" s="8">
        <f>IF(H186="Paid",0,E186)</f>
        <v/>
      </c>
      <c r="L186" s="2">
        <f>IF(J186=0,"Current",IF(J186&lt;=30,"1-30 Days",IF(J186&lt;=60,"31-60 Days",IF(J186&lt;=90,"61-90 Days","90+ Days"))))</f>
        <v/>
      </c>
      <c r="M186" s="8">
        <f>IF(Raw_Data!K186="Yes",Raw_Data!F186*Raw_Data!L186,0)</f>
        <v/>
      </c>
      <c r="N186" s="2">
        <f>IF(H186&lt;&gt;"Paid","Outstanding",IF(J186=0,"On Time","Late"))</f>
        <v/>
      </c>
    </row>
    <row r="187">
      <c r="A187" s="2">
        <f>Raw_Data!A187</f>
        <v/>
      </c>
      <c r="B187" s="7">
        <f>Raw_Data!B187</f>
        <v/>
      </c>
      <c r="C187" s="2">
        <f>Raw_Data!C187</f>
        <v/>
      </c>
      <c r="D187" s="2">
        <f>Raw_Data!D187</f>
        <v/>
      </c>
      <c r="E187" s="8">
        <f>Raw_Data!F187</f>
        <v/>
      </c>
      <c r="F187" s="7">
        <f>Raw_Data!H187</f>
        <v/>
      </c>
      <c r="G187" s="7">
        <f>Raw_Data!I187</f>
        <v/>
      </c>
      <c r="H187" s="2">
        <f>Raw_Data!J187</f>
        <v/>
      </c>
      <c r="I187" s="2">
        <f>IF(G187="",0,G187-B187)</f>
        <v/>
      </c>
      <c r="J187" s="2">
        <f>IF(H187="Paid",MAX(0,G187-F187),MAX(0,DATE(2026,12,31)-F187))</f>
        <v/>
      </c>
      <c r="K187" s="8">
        <f>IF(H187="Paid",0,E187)</f>
        <v/>
      </c>
      <c r="L187" s="2">
        <f>IF(J187=0,"Current",IF(J187&lt;=30,"1-30 Days",IF(J187&lt;=60,"31-60 Days",IF(J187&lt;=90,"61-90 Days","90+ Days"))))</f>
        <v/>
      </c>
      <c r="M187" s="8">
        <f>IF(Raw_Data!K187="Yes",Raw_Data!F187*Raw_Data!L187,0)</f>
        <v/>
      </c>
      <c r="N187" s="2">
        <f>IF(H187&lt;&gt;"Paid","Outstanding",IF(J187=0,"On Time","Late"))</f>
        <v/>
      </c>
    </row>
    <row r="188">
      <c r="A188" s="2">
        <f>Raw_Data!A188</f>
        <v/>
      </c>
      <c r="B188" s="7">
        <f>Raw_Data!B188</f>
        <v/>
      </c>
      <c r="C188" s="2">
        <f>Raw_Data!C188</f>
        <v/>
      </c>
      <c r="D188" s="2">
        <f>Raw_Data!D188</f>
        <v/>
      </c>
      <c r="E188" s="8">
        <f>Raw_Data!F188</f>
        <v/>
      </c>
      <c r="F188" s="7">
        <f>Raw_Data!H188</f>
        <v/>
      </c>
      <c r="G188" s="7">
        <f>Raw_Data!I188</f>
        <v/>
      </c>
      <c r="H188" s="2">
        <f>Raw_Data!J188</f>
        <v/>
      </c>
      <c r="I188" s="2">
        <f>IF(G188="",0,G188-B188)</f>
        <v/>
      </c>
      <c r="J188" s="2">
        <f>IF(H188="Paid",MAX(0,G188-F188),MAX(0,DATE(2026,12,31)-F188))</f>
        <v/>
      </c>
      <c r="K188" s="8">
        <f>IF(H188="Paid",0,E188)</f>
        <v/>
      </c>
      <c r="L188" s="2">
        <f>IF(J188=0,"Current",IF(J188&lt;=30,"1-30 Days",IF(J188&lt;=60,"31-60 Days",IF(J188&lt;=90,"61-90 Days","90+ Days"))))</f>
        <v/>
      </c>
      <c r="M188" s="8">
        <f>IF(Raw_Data!K188="Yes",Raw_Data!F188*Raw_Data!L188,0)</f>
        <v/>
      </c>
      <c r="N188" s="2">
        <f>IF(H188&lt;&gt;"Paid","Outstanding",IF(J188=0,"On Time","Late"))</f>
        <v/>
      </c>
    </row>
    <row r="189">
      <c r="A189" s="2">
        <f>Raw_Data!A189</f>
        <v/>
      </c>
      <c r="B189" s="7">
        <f>Raw_Data!B189</f>
        <v/>
      </c>
      <c r="C189" s="2">
        <f>Raw_Data!C189</f>
        <v/>
      </c>
      <c r="D189" s="2">
        <f>Raw_Data!D189</f>
        <v/>
      </c>
      <c r="E189" s="8">
        <f>Raw_Data!F189</f>
        <v/>
      </c>
      <c r="F189" s="7">
        <f>Raw_Data!H189</f>
        <v/>
      </c>
      <c r="G189" s="7">
        <f>Raw_Data!I189</f>
        <v/>
      </c>
      <c r="H189" s="2">
        <f>Raw_Data!J189</f>
        <v/>
      </c>
      <c r="I189" s="2">
        <f>IF(G189="",0,G189-B189)</f>
        <v/>
      </c>
      <c r="J189" s="2">
        <f>IF(H189="Paid",MAX(0,G189-F189),MAX(0,DATE(2026,12,31)-F189))</f>
        <v/>
      </c>
      <c r="K189" s="8">
        <f>IF(H189="Paid",0,E189)</f>
        <v/>
      </c>
      <c r="L189" s="2">
        <f>IF(J189=0,"Current",IF(J189&lt;=30,"1-30 Days",IF(J189&lt;=60,"31-60 Days",IF(J189&lt;=90,"61-90 Days","90+ Days"))))</f>
        <v/>
      </c>
      <c r="M189" s="8">
        <f>IF(Raw_Data!K189="Yes",Raw_Data!F189*Raw_Data!L189,0)</f>
        <v/>
      </c>
      <c r="N189" s="2">
        <f>IF(H189&lt;&gt;"Paid","Outstanding",IF(J189=0,"On Time","Late"))</f>
        <v/>
      </c>
    </row>
    <row r="190">
      <c r="A190" s="2">
        <f>Raw_Data!A190</f>
        <v/>
      </c>
      <c r="B190" s="7">
        <f>Raw_Data!B190</f>
        <v/>
      </c>
      <c r="C190" s="2">
        <f>Raw_Data!C190</f>
        <v/>
      </c>
      <c r="D190" s="2">
        <f>Raw_Data!D190</f>
        <v/>
      </c>
      <c r="E190" s="8">
        <f>Raw_Data!F190</f>
        <v/>
      </c>
      <c r="F190" s="7">
        <f>Raw_Data!H190</f>
        <v/>
      </c>
      <c r="G190" s="7">
        <f>Raw_Data!I190</f>
        <v/>
      </c>
      <c r="H190" s="2">
        <f>Raw_Data!J190</f>
        <v/>
      </c>
      <c r="I190" s="2">
        <f>IF(G190="",0,G190-B190)</f>
        <v/>
      </c>
      <c r="J190" s="2">
        <f>IF(H190="Paid",MAX(0,G190-F190),MAX(0,DATE(2026,12,31)-F190))</f>
        <v/>
      </c>
      <c r="K190" s="8">
        <f>IF(H190="Paid",0,E190)</f>
        <v/>
      </c>
      <c r="L190" s="2">
        <f>IF(J190=0,"Current",IF(J190&lt;=30,"1-30 Days",IF(J190&lt;=60,"31-60 Days",IF(J190&lt;=90,"61-90 Days","90+ Days"))))</f>
        <v/>
      </c>
      <c r="M190" s="8">
        <f>IF(Raw_Data!K190="Yes",Raw_Data!F190*Raw_Data!L190,0)</f>
        <v/>
      </c>
      <c r="N190" s="2">
        <f>IF(H190&lt;&gt;"Paid","Outstanding",IF(J190=0,"On Time","Late"))</f>
        <v/>
      </c>
    </row>
    <row r="191">
      <c r="A191" s="2">
        <f>Raw_Data!A191</f>
        <v/>
      </c>
      <c r="B191" s="7">
        <f>Raw_Data!B191</f>
        <v/>
      </c>
      <c r="C191" s="2">
        <f>Raw_Data!C191</f>
        <v/>
      </c>
      <c r="D191" s="2">
        <f>Raw_Data!D191</f>
        <v/>
      </c>
      <c r="E191" s="8">
        <f>Raw_Data!F191</f>
        <v/>
      </c>
      <c r="F191" s="7">
        <f>Raw_Data!H191</f>
        <v/>
      </c>
      <c r="G191" s="7">
        <f>Raw_Data!I191</f>
        <v/>
      </c>
      <c r="H191" s="2">
        <f>Raw_Data!J191</f>
        <v/>
      </c>
      <c r="I191" s="2">
        <f>IF(G191="",0,G191-B191)</f>
        <v/>
      </c>
      <c r="J191" s="2">
        <f>IF(H191="Paid",MAX(0,G191-F191),MAX(0,DATE(2026,12,31)-F191))</f>
        <v/>
      </c>
      <c r="K191" s="8">
        <f>IF(H191="Paid",0,E191)</f>
        <v/>
      </c>
      <c r="L191" s="2">
        <f>IF(J191=0,"Current",IF(J191&lt;=30,"1-30 Days",IF(J191&lt;=60,"31-60 Days",IF(J191&lt;=90,"61-90 Days","90+ Days"))))</f>
        <v/>
      </c>
      <c r="M191" s="8">
        <f>IF(Raw_Data!K191="Yes",Raw_Data!F191*Raw_Data!L191,0)</f>
        <v/>
      </c>
      <c r="N191" s="2">
        <f>IF(H191&lt;&gt;"Paid","Outstanding",IF(J191=0,"On Time","Late"))</f>
        <v/>
      </c>
    </row>
    <row r="192">
      <c r="A192" s="2">
        <f>Raw_Data!A192</f>
        <v/>
      </c>
      <c r="B192" s="7">
        <f>Raw_Data!B192</f>
        <v/>
      </c>
      <c r="C192" s="2">
        <f>Raw_Data!C192</f>
        <v/>
      </c>
      <c r="D192" s="2">
        <f>Raw_Data!D192</f>
        <v/>
      </c>
      <c r="E192" s="8">
        <f>Raw_Data!F192</f>
        <v/>
      </c>
      <c r="F192" s="7">
        <f>Raw_Data!H192</f>
        <v/>
      </c>
      <c r="G192" s="7">
        <f>Raw_Data!I192</f>
        <v/>
      </c>
      <c r="H192" s="2">
        <f>Raw_Data!J192</f>
        <v/>
      </c>
      <c r="I192" s="2">
        <f>IF(G192="",0,G192-B192)</f>
        <v/>
      </c>
      <c r="J192" s="2">
        <f>IF(H192="Paid",MAX(0,G192-F192),MAX(0,DATE(2026,12,31)-F192))</f>
        <v/>
      </c>
      <c r="K192" s="8">
        <f>IF(H192="Paid",0,E192)</f>
        <v/>
      </c>
      <c r="L192" s="2">
        <f>IF(J192=0,"Current",IF(J192&lt;=30,"1-30 Days",IF(J192&lt;=60,"31-60 Days",IF(J192&lt;=90,"61-90 Days","90+ Days"))))</f>
        <v/>
      </c>
      <c r="M192" s="8">
        <f>IF(Raw_Data!K192="Yes",Raw_Data!F192*Raw_Data!L192,0)</f>
        <v/>
      </c>
      <c r="N192" s="2">
        <f>IF(H192&lt;&gt;"Paid","Outstanding",IF(J192=0,"On Time","Late"))</f>
        <v/>
      </c>
    </row>
    <row r="193">
      <c r="A193" s="2">
        <f>Raw_Data!A193</f>
        <v/>
      </c>
      <c r="B193" s="7">
        <f>Raw_Data!B193</f>
        <v/>
      </c>
      <c r="C193" s="2">
        <f>Raw_Data!C193</f>
        <v/>
      </c>
      <c r="D193" s="2">
        <f>Raw_Data!D193</f>
        <v/>
      </c>
      <c r="E193" s="8">
        <f>Raw_Data!F193</f>
        <v/>
      </c>
      <c r="F193" s="7">
        <f>Raw_Data!H193</f>
        <v/>
      </c>
      <c r="G193" s="7">
        <f>Raw_Data!I193</f>
        <v/>
      </c>
      <c r="H193" s="2">
        <f>Raw_Data!J193</f>
        <v/>
      </c>
      <c r="I193" s="2">
        <f>IF(G193="",0,G193-B193)</f>
        <v/>
      </c>
      <c r="J193" s="2">
        <f>IF(H193="Paid",MAX(0,G193-F193),MAX(0,DATE(2026,12,31)-F193))</f>
        <v/>
      </c>
      <c r="K193" s="8">
        <f>IF(H193="Paid",0,E193)</f>
        <v/>
      </c>
      <c r="L193" s="2">
        <f>IF(J193=0,"Current",IF(J193&lt;=30,"1-30 Days",IF(J193&lt;=60,"31-60 Days",IF(J193&lt;=90,"61-90 Days","90+ Days"))))</f>
        <v/>
      </c>
      <c r="M193" s="8">
        <f>IF(Raw_Data!K193="Yes",Raw_Data!F193*Raw_Data!L193,0)</f>
        <v/>
      </c>
      <c r="N193" s="2">
        <f>IF(H193&lt;&gt;"Paid","Outstanding",IF(J193=0,"On Time","Late"))</f>
        <v/>
      </c>
    </row>
    <row r="194">
      <c r="A194" s="2">
        <f>Raw_Data!A194</f>
        <v/>
      </c>
      <c r="B194" s="7">
        <f>Raw_Data!B194</f>
        <v/>
      </c>
      <c r="C194" s="2">
        <f>Raw_Data!C194</f>
        <v/>
      </c>
      <c r="D194" s="2">
        <f>Raw_Data!D194</f>
        <v/>
      </c>
      <c r="E194" s="8">
        <f>Raw_Data!F194</f>
        <v/>
      </c>
      <c r="F194" s="7">
        <f>Raw_Data!H194</f>
        <v/>
      </c>
      <c r="G194" s="7">
        <f>Raw_Data!I194</f>
        <v/>
      </c>
      <c r="H194" s="2">
        <f>Raw_Data!J194</f>
        <v/>
      </c>
      <c r="I194" s="2">
        <f>IF(G194="",0,G194-B194)</f>
        <v/>
      </c>
      <c r="J194" s="2">
        <f>IF(H194="Paid",MAX(0,G194-F194),MAX(0,DATE(2026,12,31)-F194))</f>
        <v/>
      </c>
      <c r="K194" s="8">
        <f>IF(H194="Paid",0,E194)</f>
        <v/>
      </c>
      <c r="L194" s="2">
        <f>IF(J194=0,"Current",IF(J194&lt;=30,"1-30 Days",IF(J194&lt;=60,"31-60 Days",IF(J194&lt;=90,"61-90 Days","90+ Days"))))</f>
        <v/>
      </c>
      <c r="M194" s="8">
        <f>IF(Raw_Data!K194="Yes",Raw_Data!F194*Raw_Data!L194,0)</f>
        <v/>
      </c>
      <c r="N194" s="2">
        <f>IF(H194&lt;&gt;"Paid","Outstanding",IF(J194=0,"On Time","Late"))</f>
        <v/>
      </c>
    </row>
    <row r="195">
      <c r="A195" s="2">
        <f>Raw_Data!A195</f>
        <v/>
      </c>
      <c r="B195" s="7">
        <f>Raw_Data!B195</f>
        <v/>
      </c>
      <c r="C195" s="2">
        <f>Raw_Data!C195</f>
        <v/>
      </c>
      <c r="D195" s="2">
        <f>Raw_Data!D195</f>
        <v/>
      </c>
      <c r="E195" s="8">
        <f>Raw_Data!F195</f>
        <v/>
      </c>
      <c r="F195" s="7">
        <f>Raw_Data!H195</f>
        <v/>
      </c>
      <c r="G195" s="7">
        <f>Raw_Data!I195</f>
        <v/>
      </c>
      <c r="H195" s="2">
        <f>Raw_Data!J195</f>
        <v/>
      </c>
      <c r="I195" s="2">
        <f>IF(G195="",0,G195-B195)</f>
        <v/>
      </c>
      <c r="J195" s="2">
        <f>IF(H195="Paid",MAX(0,G195-F195),MAX(0,DATE(2026,12,31)-F195))</f>
        <v/>
      </c>
      <c r="K195" s="8">
        <f>IF(H195="Paid",0,E195)</f>
        <v/>
      </c>
      <c r="L195" s="2">
        <f>IF(J195=0,"Current",IF(J195&lt;=30,"1-30 Days",IF(J195&lt;=60,"31-60 Days",IF(J195&lt;=90,"61-90 Days","90+ Days"))))</f>
        <v/>
      </c>
      <c r="M195" s="8">
        <f>IF(Raw_Data!K195="Yes",Raw_Data!F195*Raw_Data!L195,0)</f>
        <v/>
      </c>
      <c r="N195" s="2">
        <f>IF(H195&lt;&gt;"Paid","Outstanding",IF(J195=0,"On Time","Late"))</f>
        <v/>
      </c>
    </row>
    <row r="196">
      <c r="A196" s="2">
        <f>Raw_Data!A196</f>
        <v/>
      </c>
      <c r="B196" s="7">
        <f>Raw_Data!B196</f>
        <v/>
      </c>
      <c r="C196" s="2">
        <f>Raw_Data!C196</f>
        <v/>
      </c>
      <c r="D196" s="2">
        <f>Raw_Data!D196</f>
        <v/>
      </c>
      <c r="E196" s="8">
        <f>Raw_Data!F196</f>
        <v/>
      </c>
      <c r="F196" s="7">
        <f>Raw_Data!H196</f>
        <v/>
      </c>
      <c r="G196" s="7">
        <f>Raw_Data!I196</f>
        <v/>
      </c>
      <c r="H196" s="2">
        <f>Raw_Data!J196</f>
        <v/>
      </c>
      <c r="I196" s="2">
        <f>IF(G196="",0,G196-B196)</f>
        <v/>
      </c>
      <c r="J196" s="2">
        <f>IF(H196="Paid",MAX(0,G196-F196),MAX(0,DATE(2026,12,31)-F196))</f>
        <v/>
      </c>
      <c r="K196" s="8">
        <f>IF(H196="Paid",0,E196)</f>
        <v/>
      </c>
      <c r="L196" s="2">
        <f>IF(J196=0,"Current",IF(J196&lt;=30,"1-30 Days",IF(J196&lt;=60,"31-60 Days",IF(J196&lt;=90,"61-90 Days","90+ Days"))))</f>
        <v/>
      </c>
      <c r="M196" s="8">
        <f>IF(Raw_Data!K196="Yes",Raw_Data!F196*Raw_Data!L196,0)</f>
        <v/>
      </c>
      <c r="N196" s="2">
        <f>IF(H196&lt;&gt;"Paid","Outstanding",IF(J196=0,"On Time","Late"))</f>
        <v/>
      </c>
    </row>
    <row r="197">
      <c r="A197" s="2">
        <f>Raw_Data!A197</f>
        <v/>
      </c>
      <c r="B197" s="7">
        <f>Raw_Data!B197</f>
        <v/>
      </c>
      <c r="C197" s="2">
        <f>Raw_Data!C197</f>
        <v/>
      </c>
      <c r="D197" s="2">
        <f>Raw_Data!D197</f>
        <v/>
      </c>
      <c r="E197" s="8">
        <f>Raw_Data!F197</f>
        <v/>
      </c>
      <c r="F197" s="7">
        <f>Raw_Data!H197</f>
        <v/>
      </c>
      <c r="G197" s="7">
        <f>Raw_Data!I197</f>
        <v/>
      </c>
      <c r="H197" s="2">
        <f>Raw_Data!J197</f>
        <v/>
      </c>
      <c r="I197" s="2">
        <f>IF(G197="",0,G197-B197)</f>
        <v/>
      </c>
      <c r="J197" s="2">
        <f>IF(H197="Paid",MAX(0,G197-F197),MAX(0,DATE(2026,12,31)-F197))</f>
        <v/>
      </c>
      <c r="K197" s="8">
        <f>IF(H197="Paid",0,E197)</f>
        <v/>
      </c>
      <c r="L197" s="2">
        <f>IF(J197=0,"Current",IF(J197&lt;=30,"1-30 Days",IF(J197&lt;=60,"31-60 Days",IF(J197&lt;=90,"61-90 Days","90+ Days"))))</f>
        <v/>
      </c>
      <c r="M197" s="8">
        <f>IF(Raw_Data!K197="Yes",Raw_Data!F197*Raw_Data!L197,0)</f>
        <v/>
      </c>
      <c r="N197" s="2">
        <f>IF(H197&lt;&gt;"Paid","Outstanding",IF(J197=0,"On Time","Late"))</f>
        <v/>
      </c>
    </row>
    <row r="198">
      <c r="A198" s="2">
        <f>Raw_Data!A198</f>
        <v/>
      </c>
      <c r="B198" s="7">
        <f>Raw_Data!B198</f>
        <v/>
      </c>
      <c r="C198" s="2">
        <f>Raw_Data!C198</f>
        <v/>
      </c>
      <c r="D198" s="2">
        <f>Raw_Data!D198</f>
        <v/>
      </c>
      <c r="E198" s="8">
        <f>Raw_Data!F198</f>
        <v/>
      </c>
      <c r="F198" s="7">
        <f>Raw_Data!H198</f>
        <v/>
      </c>
      <c r="G198" s="7">
        <f>Raw_Data!I198</f>
        <v/>
      </c>
      <c r="H198" s="2">
        <f>Raw_Data!J198</f>
        <v/>
      </c>
      <c r="I198" s="2">
        <f>IF(G198="",0,G198-B198)</f>
        <v/>
      </c>
      <c r="J198" s="2">
        <f>IF(H198="Paid",MAX(0,G198-F198),MAX(0,DATE(2026,12,31)-F198))</f>
        <v/>
      </c>
      <c r="K198" s="8">
        <f>IF(H198="Paid",0,E198)</f>
        <v/>
      </c>
      <c r="L198" s="2">
        <f>IF(J198=0,"Current",IF(J198&lt;=30,"1-30 Days",IF(J198&lt;=60,"31-60 Days",IF(J198&lt;=90,"61-90 Days","90+ Days"))))</f>
        <v/>
      </c>
      <c r="M198" s="8">
        <f>IF(Raw_Data!K198="Yes",Raw_Data!F198*Raw_Data!L198,0)</f>
        <v/>
      </c>
      <c r="N198" s="2">
        <f>IF(H198&lt;&gt;"Paid","Outstanding",IF(J198=0,"On Time","Late"))</f>
        <v/>
      </c>
    </row>
    <row r="199">
      <c r="A199" s="2">
        <f>Raw_Data!A199</f>
        <v/>
      </c>
      <c r="B199" s="7">
        <f>Raw_Data!B199</f>
        <v/>
      </c>
      <c r="C199" s="2">
        <f>Raw_Data!C199</f>
        <v/>
      </c>
      <c r="D199" s="2">
        <f>Raw_Data!D199</f>
        <v/>
      </c>
      <c r="E199" s="8">
        <f>Raw_Data!F199</f>
        <v/>
      </c>
      <c r="F199" s="7">
        <f>Raw_Data!H199</f>
        <v/>
      </c>
      <c r="G199" s="7">
        <f>Raw_Data!I199</f>
        <v/>
      </c>
      <c r="H199" s="2">
        <f>Raw_Data!J199</f>
        <v/>
      </c>
      <c r="I199" s="2">
        <f>IF(G199="",0,G199-B199)</f>
        <v/>
      </c>
      <c r="J199" s="2">
        <f>IF(H199="Paid",MAX(0,G199-F199),MAX(0,DATE(2026,12,31)-F199))</f>
        <v/>
      </c>
      <c r="K199" s="8">
        <f>IF(H199="Paid",0,E199)</f>
        <v/>
      </c>
      <c r="L199" s="2">
        <f>IF(J199=0,"Current",IF(J199&lt;=30,"1-30 Days",IF(J199&lt;=60,"31-60 Days",IF(J199&lt;=90,"61-90 Days","90+ Days"))))</f>
        <v/>
      </c>
      <c r="M199" s="8">
        <f>IF(Raw_Data!K199="Yes",Raw_Data!F199*Raw_Data!L199,0)</f>
        <v/>
      </c>
      <c r="N199" s="2">
        <f>IF(H199&lt;&gt;"Paid","Outstanding",IF(J199=0,"On Time","Late"))</f>
        <v/>
      </c>
    </row>
    <row r="200">
      <c r="A200" s="2">
        <f>Raw_Data!A200</f>
        <v/>
      </c>
      <c r="B200" s="7">
        <f>Raw_Data!B200</f>
        <v/>
      </c>
      <c r="C200" s="2">
        <f>Raw_Data!C200</f>
        <v/>
      </c>
      <c r="D200" s="2">
        <f>Raw_Data!D200</f>
        <v/>
      </c>
      <c r="E200" s="8">
        <f>Raw_Data!F200</f>
        <v/>
      </c>
      <c r="F200" s="7">
        <f>Raw_Data!H200</f>
        <v/>
      </c>
      <c r="G200" s="7">
        <f>Raw_Data!I200</f>
        <v/>
      </c>
      <c r="H200" s="2">
        <f>Raw_Data!J200</f>
        <v/>
      </c>
      <c r="I200" s="2">
        <f>IF(G200="",0,G200-B200)</f>
        <v/>
      </c>
      <c r="J200" s="2">
        <f>IF(H200="Paid",MAX(0,G200-F200),MAX(0,DATE(2026,12,31)-F200))</f>
        <v/>
      </c>
      <c r="K200" s="8">
        <f>IF(H200="Paid",0,E200)</f>
        <v/>
      </c>
      <c r="L200" s="2">
        <f>IF(J200=0,"Current",IF(J200&lt;=30,"1-30 Days",IF(J200&lt;=60,"31-60 Days",IF(J200&lt;=90,"61-90 Days","90+ Days"))))</f>
        <v/>
      </c>
      <c r="M200" s="8">
        <f>IF(Raw_Data!K200="Yes",Raw_Data!F200*Raw_Data!L200,0)</f>
        <v/>
      </c>
      <c r="N200" s="2">
        <f>IF(H200&lt;&gt;"Paid","Outstanding",IF(J200=0,"On Time","Late"))</f>
        <v/>
      </c>
    </row>
    <row r="201">
      <c r="A201" s="2">
        <f>Raw_Data!A201</f>
        <v/>
      </c>
      <c r="B201" s="7">
        <f>Raw_Data!B201</f>
        <v/>
      </c>
      <c r="C201" s="2">
        <f>Raw_Data!C201</f>
        <v/>
      </c>
      <c r="D201" s="2">
        <f>Raw_Data!D201</f>
        <v/>
      </c>
      <c r="E201" s="8">
        <f>Raw_Data!F201</f>
        <v/>
      </c>
      <c r="F201" s="7">
        <f>Raw_Data!H201</f>
        <v/>
      </c>
      <c r="G201" s="7">
        <f>Raw_Data!I201</f>
        <v/>
      </c>
      <c r="H201" s="2">
        <f>Raw_Data!J201</f>
        <v/>
      </c>
      <c r="I201" s="2">
        <f>IF(G201="",0,G201-B201)</f>
        <v/>
      </c>
      <c r="J201" s="2">
        <f>IF(H201="Paid",MAX(0,G201-F201),MAX(0,DATE(2026,12,31)-F201))</f>
        <v/>
      </c>
      <c r="K201" s="8">
        <f>IF(H201="Paid",0,E201)</f>
        <v/>
      </c>
      <c r="L201" s="2">
        <f>IF(J201=0,"Current",IF(J201&lt;=30,"1-30 Days",IF(J201&lt;=60,"31-60 Days",IF(J201&lt;=90,"61-90 Days","90+ Days"))))</f>
        <v/>
      </c>
      <c r="M201" s="8">
        <f>IF(Raw_Data!K201="Yes",Raw_Data!F201*Raw_Data!L201,0)</f>
        <v/>
      </c>
      <c r="N201" s="2">
        <f>IF(H201&lt;&gt;"Paid","Outstanding",IF(J201=0,"On Time","Late"))</f>
        <v/>
      </c>
    </row>
    <row r="202">
      <c r="A202" s="2">
        <f>Raw_Data!A202</f>
        <v/>
      </c>
      <c r="B202" s="7">
        <f>Raw_Data!B202</f>
        <v/>
      </c>
      <c r="C202" s="2">
        <f>Raw_Data!C202</f>
        <v/>
      </c>
      <c r="D202" s="2">
        <f>Raw_Data!D202</f>
        <v/>
      </c>
      <c r="E202" s="8">
        <f>Raw_Data!F202</f>
        <v/>
      </c>
      <c r="F202" s="7">
        <f>Raw_Data!H202</f>
        <v/>
      </c>
      <c r="G202" s="7">
        <f>Raw_Data!I202</f>
        <v/>
      </c>
      <c r="H202" s="2">
        <f>Raw_Data!J202</f>
        <v/>
      </c>
      <c r="I202" s="2">
        <f>IF(G202="",0,G202-B202)</f>
        <v/>
      </c>
      <c r="J202" s="2">
        <f>IF(H202="Paid",MAX(0,G202-F202),MAX(0,DATE(2026,12,31)-F202))</f>
        <v/>
      </c>
      <c r="K202" s="8">
        <f>IF(H202="Paid",0,E202)</f>
        <v/>
      </c>
      <c r="L202" s="2">
        <f>IF(J202=0,"Current",IF(J202&lt;=30,"1-30 Days",IF(J202&lt;=60,"31-60 Days",IF(J202&lt;=90,"61-90 Days","90+ Days"))))</f>
        <v/>
      </c>
      <c r="M202" s="8">
        <f>IF(Raw_Data!K202="Yes",Raw_Data!F202*Raw_Data!L202,0)</f>
        <v/>
      </c>
      <c r="N202" s="2">
        <f>IF(H202&lt;&gt;"Paid","Outstanding",IF(J202=0,"On Time","Late"))</f>
        <v/>
      </c>
    </row>
    <row r="203">
      <c r="A203" s="2">
        <f>Raw_Data!A203</f>
        <v/>
      </c>
      <c r="B203" s="7">
        <f>Raw_Data!B203</f>
        <v/>
      </c>
      <c r="C203" s="2">
        <f>Raw_Data!C203</f>
        <v/>
      </c>
      <c r="D203" s="2">
        <f>Raw_Data!D203</f>
        <v/>
      </c>
      <c r="E203" s="8">
        <f>Raw_Data!F203</f>
        <v/>
      </c>
      <c r="F203" s="7">
        <f>Raw_Data!H203</f>
        <v/>
      </c>
      <c r="G203" s="7">
        <f>Raw_Data!I203</f>
        <v/>
      </c>
      <c r="H203" s="2">
        <f>Raw_Data!J203</f>
        <v/>
      </c>
      <c r="I203" s="2">
        <f>IF(G203="",0,G203-B203)</f>
        <v/>
      </c>
      <c r="J203" s="2">
        <f>IF(H203="Paid",MAX(0,G203-F203),MAX(0,DATE(2026,12,31)-F203))</f>
        <v/>
      </c>
      <c r="K203" s="8">
        <f>IF(H203="Paid",0,E203)</f>
        <v/>
      </c>
      <c r="L203" s="2">
        <f>IF(J203=0,"Current",IF(J203&lt;=30,"1-30 Days",IF(J203&lt;=60,"31-60 Days",IF(J203&lt;=90,"61-90 Days","90+ Days"))))</f>
        <v/>
      </c>
      <c r="M203" s="8">
        <f>IF(Raw_Data!K203="Yes",Raw_Data!F203*Raw_Data!L203,0)</f>
        <v/>
      </c>
      <c r="N203" s="2">
        <f>IF(H203&lt;&gt;"Paid","Outstanding",IF(J203=0,"On Time","Late"))</f>
        <v/>
      </c>
    </row>
    <row r="204">
      <c r="A204" s="2">
        <f>Raw_Data!A204</f>
        <v/>
      </c>
      <c r="B204" s="7">
        <f>Raw_Data!B204</f>
        <v/>
      </c>
      <c r="C204" s="2">
        <f>Raw_Data!C204</f>
        <v/>
      </c>
      <c r="D204" s="2">
        <f>Raw_Data!D204</f>
        <v/>
      </c>
      <c r="E204" s="8">
        <f>Raw_Data!F204</f>
        <v/>
      </c>
      <c r="F204" s="7">
        <f>Raw_Data!H204</f>
        <v/>
      </c>
      <c r="G204" s="7">
        <f>Raw_Data!I204</f>
        <v/>
      </c>
      <c r="H204" s="2">
        <f>Raw_Data!J204</f>
        <v/>
      </c>
      <c r="I204" s="2">
        <f>IF(G204="",0,G204-B204)</f>
        <v/>
      </c>
      <c r="J204" s="2">
        <f>IF(H204="Paid",MAX(0,G204-F204),MAX(0,DATE(2026,12,31)-F204))</f>
        <v/>
      </c>
      <c r="K204" s="8">
        <f>IF(H204="Paid",0,E204)</f>
        <v/>
      </c>
      <c r="L204" s="2">
        <f>IF(J204=0,"Current",IF(J204&lt;=30,"1-30 Days",IF(J204&lt;=60,"31-60 Days",IF(J204&lt;=90,"61-90 Days","90+ Days"))))</f>
        <v/>
      </c>
      <c r="M204" s="8">
        <f>IF(Raw_Data!K204="Yes",Raw_Data!F204*Raw_Data!L204,0)</f>
        <v/>
      </c>
      <c r="N204" s="2">
        <f>IF(H204&lt;&gt;"Paid","Outstanding",IF(J204=0,"On Time","Late"))</f>
        <v/>
      </c>
    </row>
    <row r="205">
      <c r="A205" s="2">
        <f>Raw_Data!A205</f>
        <v/>
      </c>
      <c r="B205" s="7">
        <f>Raw_Data!B205</f>
        <v/>
      </c>
      <c r="C205" s="2">
        <f>Raw_Data!C205</f>
        <v/>
      </c>
      <c r="D205" s="2">
        <f>Raw_Data!D205</f>
        <v/>
      </c>
      <c r="E205" s="8">
        <f>Raw_Data!F205</f>
        <v/>
      </c>
      <c r="F205" s="7">
        <f>Raw_Data!H205</f>
        <v/>
      </c>
      <c r="G205" s="7">
        <f>Raw_Data!I205</f>
        <v/>
      </c>
      <c r="H205" s="2">
        <f>Raw_Data!J205</f>
        <v/>
      </c>
      <c r="I205" s="2">
        <f>IF(G205="",0,G205-B205)</f>
        <v/>
      </c>
      <c r="J205" s="2">
        <f>IF(H205="Paid",MAX(0,G205-F205),MAX(0,DATE(2026,12,31)-F205))</f>
        <v/>
      </c>
      <c r="K205" s="8">
        <f>IF(H205="Paid",0,E205)</f>
        <v/>
      </c>
      <c r="L205" s="2">
        <f>IF(J205=0,"Current",IF(J205&lt;=30,"1-30 Days",IF(J205&lt;=60,"31-60 Days",IF(J205&lt;=90,"61-90 Days","90+ Days"))))</f>
        <v/>
      </c>
      <c r="M205" s="8">
        <f>IF(Raw_Data!K205="Yes",Raw_Data!F205*Raw_Data!L205,0)</f>
        <v/>
      </c>
      <c r="N205" s="2">
        <f>IF(H205&lt;&gt;"Paid","Outstanding",IF(J205=0,"On Time","Late"))</f>
        <v/>
      </c>
    </row>
    <row r="206">
      <c r="A206" s="2">
        <f>Raw_Data!A206</f>
        <v/>
      </c>
      <c r="B206" s="7">
        <f>Raw_Data!B206</f>
        <v/>
      </c>
      <c r="C206" s="2">
        <f>Raw_Data!C206</f>
        <v/>
      </c>
      <c r="D206" s="2">
        <f>Raw_Data!D206</f>
        <v/>
      </c>
      <c r="E206" s="8">
        <f>Raw_Data!F206</f>
        <v/>
      </c>
      <c r="F206" s="7">
        <f>Raw_Data!H206</f>
        <v/>
      </c>
      <c r="G206" s="7">
        <f>Raw_Data!I206</f>
        <v/>
      </c>
      <c r="H206" s="2">
        <f>Raw_Data!J206</f>
        <v/>
      </c>
      <c r="I206" s="2">
        <f>IF(G206="",0,G206-B206)</f>
        <v/>
      </c>
      <c r="J206" s="2">
        <f>IF(H206="Paid",MAX(0,G206-F206),MAX(0,DATE(2026,12,31)-F206))</f>
        <v/>
      </c>
      <c r="K206" s="8">
        <f>IF(H206="Paid",0,E206)</f>
        <v/>
      </c>
      <c r="L206" s="2">
        <f>IF(J206=0,"Current",IF(J206&lt;=30,"1-30 Days",IF(J206&lt;=60,"31-60 Days",IF(J206&lt;=90,"61-90 Days","90+ Days"))))</f>
        <v/>
      </c>
      <c r="M206" s="8">
        <f>IF(Raw_Data!K206="Yes",Raw_Data!F206*Raw_Data!L206,0)</f>
        <v/>
      </c>
      <c r="N206" s="2">
        <f>IF(H206&lt;&gt;"Paid","Outstanding",IF(J206=0,"On Time","Late"))</f>
        <v/>
      </c>
    </row>
    <row r="207">
      <c r="A207" s="2">
        <f>Raw_Data!A207</f>
        <v/>
      </c>
      <c r="B207" s="7">
        <f>Raw_Data!B207</f>
        <v/>
      </c>
      <c r="C207" s="2">
        <f>Raw_Data!C207</f>
        <v/>
      </c>
      <c r="D207" s="2">
        <f>Raw_Data!D207</f>
        <v/>
      </c>
      <c r="E207" s="8">
        <f>Raw_Data!F207</f>
        <v/>
      </c>
      <c r="F207" s="7">
        <f>Raw_Data!H207</f>
        <v/>
      </c>
      <c r="G207" s="7">
        <f>Raw_Data!I207</f>
        <v/>
      </c>
      <c r="H207" s="2">
        <f>Raw_Data!J207</f>
        <v/>
      </c>
      <c r="I207" s="2">
        <f>IF(G207="",0,G207-B207)</f>
        <v/>
      </c>
      <c r="J207" s="2">
        <f>IF(H207="Paid",MAX(0,G207-F207),MAX(0,DATE(2026,12,31)-F207))</f>
        <v/>
      </c>
      <c r="K207" s="8">
        <f>IF(H207="Paid",0,E207)</f>
        <v/>
      </c>
      <c r="L207" s="2">
        <f>IF(J207=0,"Current",IF(J207&lt;=30,"1-30 Days",IF(J207&lt;=60,"31-60 Days",IF(J207&lt;=90,"61-90 Days","90+ Days"))))</f>
        <v/>
      </c>
      <c r="M207" s="8">
        <f>IF(Raw_Data!K207="Yes",Raw_Data!F207*Raw_Data!L207,0)</f>
        <v/>
      </c>
      <c r="N207" s="2">
        <f>IF(H207&lt;&gt;"Paid","Outstanding",IF(J207=0,"On Time","Late"))</f>
        <v/>
      </c>
    </row>
    <row r="208">
      <c r="A208" s="2">
        <f>Raw_Data!A208</f>
        <v/>
      </c>
      <c r="B208" s="7">
        <f>Raw_Data!B208</f>
        <v/>
      </c>
      <c r="C208" s="2">
        <f>Raw_Data!C208</f>
        <v/>
      </c>
      <c r="D208" s="2">
        <f>Raw_Data!D208</f>
        <v/>
      </c>
      <c r="E208" s="8">
        <f>Raw_Data!F208</f>
        <v/>
      </c>
      <c r="F208" s="7">
        <f>Raw_Data!H208</f>
        <v/>
      </c>
      <c r="G208" s="7">
        <f>Raw_Data!I208</f>
        <v/>
      </c>
      <c r="H208" s="2">
        <f>Raw_Data!J208</f>
        <v/>
      </c>
      <c r="I208" s="2">
        <f>IF(G208="",0,G208-B208)</f>
        <v/>
      </c>
      <c r="J208" s="2">
        <f>IF(H208="Paid",MAX(0,G208-F208),MAX(0,DATE(2026,12,31)-F208))</f>
        <v/>
      </c>
      <c r="K208" s="8">
        <f>IF(H208="Paid",0,E208)</f>
        <v/>
      </c>
      <c r="L208" s="2">
        <f>IF(J208=0,"Current",IF(J208&lt;=30,"1-30 Days",IF(J208&lt;=60,"31-60 Days",IF(J208&lt;=90,"61-90 Days","90+ Days"))))</f>
        <v/>
      </c>
      <c r="M208" s="8">
        <f>IF(Raw_Data!K208="Yes",Raw_Data!F208*Raw_Data!L208,0)</f>
        <v/>
      </c>
      <c r="N208" s="2">
        <f>IF(H208&lt;&gt;"Paid","Outstanding",IF(J208=0,"On Time","Late"))</f>
        <v/>
      </c>
    </row>
    <row r="209">
      <c r="A209" s="2">
        <f>Raw_Data!A209</f>
        <v/>
      </c>
      <c r="B209" s="7">
        <f>Raw_Data!B209</f>
        <v/>
      </c>
      <c r="C209" s="2">
        <f>Raw_Data!C209</f>
        <v/>
      </c>
      <c r="D209" s="2">
        <f>Raw_Data!D209</f>
        <v/>
      </c>
      <c r="E209" s="8">
        <f>Raw_Data!F209</f>
        <v/>
      </c>
      <c r="F209" s="7">
        <f>Raw_Data!H209</f>
        <v/>
      </c>
      <c r="G209" s="7">
        <f>Raw_Data!I209</f>
        <v/>
      </c>
      <c r="H209" s="2">
        <f>Raw_Data!J209</f>
        <v/>
      </c>
      <c r="I209" s="2">
        <f>IF(G209="",0,G209-B209)</f>
        <v/>
      </c>
      <c r="J209" s="2">
        <f>IF(H209="Paid",MAX(0,G209-F209),MAX(0,DATE(2026,12,31)-F209))</f>
        <v/>
      </c>
      <c r="K209" s="8">
        <f>IF(H209="Paid",0,E209)</f>
        <v/>
      </c>
      <c r="L209" s="2">
        <f>IF(J209=0,"Current",IF(J209&lt;=30,"1-30 Days",IF(J209&lt;=60,"31-60 Days",IF(J209&lt;=90,"61-90 Days","90+ Days"))))</f>
        <v/>
      </c>
      <c r="M209" s="8">
        <f>IF(Raw_Data!K209="Yes",Raw_Data!F209*Raw_Data!L209,0)</f>
        <v/>
      </c>
      <c r="N209" s="2">
        <f>IF(H209&lt;&gt;"Paid","Outstanding",IF(J209=0,"On Time","Late"))</f>
        <v/>
      </c>
    </row>
    <row r="210">
      <c r="A210" s="2">
        <f>Raw_Data!A210</f>
        <v/>
      </c>
      <c r="B210" s="7">
        <f>Raw_Data!B210</f>
        <v/>
      </c>
      <c r="C210" s="2">
        <f>Raw_Data!C210</f>
        <v/>
      </c>
      <c r="D210" s="2">
        <f>Raw_Data!D210</f>
        <v/>
      </c>
      <c r="E210" s="8">
        <f>Raw_Data!F210</f>
        <v/>
      </c>
      <c r="F210" s="7">
        <f>Raw_Data!H210</f>
        <v/>
      </c>
      <c r="G210" s="7">
        <f>Raw_Data!I210</f>
        <v/>
      </c>
      <c r="H210" s="2">
        <f>Raw_Data!J210</f>
        <v/>
      </c>
      <c r="I210" s="2">
        <f>IF(G210="",0,G210-B210)</f>
        <v/>
      </c>
      <c r="J210" s="2">
        <f>IF(H210="Paid",MAX(0,G210-F210),MAX(0,DATE(2026,12,31)-F210))</f>
        <v/>
      </c>
      <c r="K210" s="8">
        <f>IF(H210="Paid",0,E210)</f>
        <v/>
      </c>
      <c r="L210" s="2">
        <f>IF(J210=0,"Current",IF(J210&lt;=30,"1-30 Days",IF(J210&lt;=60,"31-60 Days",IF(J210&lt;=90,"61-90 Days","90+ Days"))))</f>
        <v/>
      </c>
      <c r="M210" s="8">
        <f>IF(Raw_Data!K210="Yes",Raw_Data!F210*Raw_Data!L210,0)</f>
        <v/>
      </c>
      <c r="N210" s="2">
        <f>IF(H210&lt;&gt;"Paid","Outstanding",IF(J210=0,"On Time","Late"))</f>
        <v/>
      </c>
    </row>
    <row r="211">
      <c r="A211" s="2">
        <f>Raw_Data!A211</f>
        <v/>
      </c>
      <c r="B211" s="7">
        <f>Raw_Data!B211</f>
        <v/>
      </c>
      <c r="C211" s="2">
        <f>Raw_Data!C211</f>
        <v/>
      </c>
      <c r="D211" s="2">
        <f>Raw_Data!D211</f>
        <v/>
      </c>
      <c r="E211" s="8">
        <f>Raw_Data!F211</f>
        <v/>
      </c>
      <c r="F211" s="7">
        <f>Raw_Data!H211</f>
        <v/>
      </c>
      <c r="G211" s="7">
        <f>Raw_Data!I211</f>
        <v/>
      </c>
      <c r="H211" s="2">
        <f>Raw_Data!J211</f>
        <v/>
      </c>
      <c r="I211" s="2">
        <f>IF(G211="",0,G211-B211)</f>
        <v/>
      </c>
      <c r="J211" s="2">
        <f>IF(H211="Paid",MAX(0,G211-F211),MAX(0,DATE(2026,12,31)-F211))</f>
        <v/>
      </c>
      <c r="K211" s="8">
        <f>IF(H211="Paid",0,E211)</f>
        <v/>
      </c>
      <c r="L211" s="2">
        <f>IF(J211=0,"Current",IF(J211&lt;=30,"1-30 Days",IF(J211&lt;=60,"31-60 Days",IF(J211&lt;=90,"61-90 Days","90+ Days"))))</f>
        <v/>
      </c>
      <c r="M211" s="8">
        <f>IF(Raw_Data!K211="Yes",Raw_Data!F211*Raw_Data!L211,0)</f>
        <v/>
      </c>
      <c r="N211" s="2">
        <f>IF(H211&lt;&gt;"Paid","Outstanding",IF(J211=0,"On Time","Late"))</f>
        <v/>
      </c>
    </row>
    <row r="212">
      <c r="A212" s="2">
        <f>Raw_Data!A212</f>
        <v/>
      </c>
      <c r="B212" s="7">
        <f>Raw_Data!B212</f>
        <v/>
      </c>
      <c r="C212" s="2">
        <f>Raw_Data!C212</f>
        <v/>
      </c>
      <c r="D212" s="2">
        <f>Raw_Data!D212</f>
        <v/>
      </c>
      <c r="E212" s="8">
        <f>Raw_Data!F212</f>
        <v/>
      </c>
      <c r="F212" s="7">
        <f>Raw_Data!H212</f>
        <v/>
      </c>
      <c r="G212" s="7">
        <f>Raw_Data!I212</f>
        <v/>
      </c>
      <c r="H212" s="2">
        <f>Raw_Data!J212</f>
        <v/>
      </c>
      <c r="I212" s="2">
        <f>IF(G212="",0,G212-B212)</f>
        <v/>
      </c>
      <c r="J212" s="2">
        <f>IF(H212="Paid",MAX(0,G212-F212),MAX(0,DATE(2026,12,31)-F212))</f>
        <v/>
      </c>
      <c r="K212" s="8">
        <f>IF(H212="Paid",0,E212)</f>
        <v/>
      </c>
      <c r="L212" s="2">
        <f>IF(J212=0,"Current",IF(J212&lt;=30,"1-30 Days",IF(J212&lt;=60,"31-60 Days",IF(J212&lt;=90,"61-90 Days","90+ Days"))))</f>
        <v/>
      </c>
      <c r="M212" s="8">
        <f>IF(Raw_Data!K212="Yes",Raw_Data!F212*Raw_Data!L212,0)</f>
        <v/>
      </c>
      <c r="N212" s="2">
        <f>IF(H212&lt;&gt;"Paid","Outstanding",IF(J212=0,"On Time","Late"))</f>
        <v/>
      </c>
    </row>
    <row r="213">
      <c r="A213" s="2">
        <f>Raw_Data!A213</f>
        <v/>
      </c>
      <c r="B213" s="7">
        <f>Raw_Data!B213</f>
        <v/>
      </c>
      <c r="C213" s="2">
        <f>Raw_Data!C213</f>
        <v/>
      </c>
      <c r="D213" s="2">
        <f>Raw_Data!D213</f>
        <v/>
      </c>
      <c r="E213" s="8">
        <f>Raw_Data!F213</f>
        <v/>
      </c>
      <c r="F213" s="7">
        <f>Raw_Data!H213</f>
        <v/>
      </c>
      <c r="G213" s="7">
        <f>Raw_Data!I213</f>
        <v/>
      </c>
      <c r="H213" s="2">
        <f>Raw_Data!J213</f>
        <v/>
      </c>
      <c r="I213" s="2">
        <f>IF(G213="",0,G213-B213)</f>
        <v/>
      </c>
      <c r="J213" s="2">
        <f>IF(H213="Paid",MAX(0,G213-F213),MAX(0,DATE(2026,12,31)-F213))</f>
        <v/>
      </c>
      <c r="K213" s="8">
        <f>IF(H213="Paid",0,E213)</f>
        <v/>
      </c>
      <c r="L213" s="2">
        <f>IF(J213=0,"Current",IF(J213&lt;=30,"1-30 Days",IF(J213&lt;=60,"31-60 Days",IF(J213&lt;=90,"61-90 Days","90+ Days"))))</f>
        <v/>
      </c>
      <c r="M213" s="8">
        <f>IF(Raw_Data!K213="Yes",Raw_Data!F213*Raw_Data!L213,0)</f>
        <v/>
      </c>
      <c r="N213" s="2">
        <f>IF(H213&lt;&gt;"Paid","Outstanding",IF(J213=0,"On Time","Late"))</f>
        <v/>
      </c>
    </row>
    <row r="214">
      <c r="A214" s="2">
        <f>Raw_Data!A214</f>
        <v/>
      </c>
      <c r="B214" s="7">
        <f>Raw_Data!B214</f>
        <v/>
      </c>
      <c r="C214" s="2">
        <f>Raw_Data!C214</f>
        <v/>
      </c>
      <c r="D214" s="2">
        <f>Raw_Data!D214</f>
        <v/>
      </c>
      <c r="E214" s="8">
        <f>Raw_Data!F214</f>
        <v/>
      </c>
      <c r="F214" s="7">
        <f>Raw_Data!H214</f>
        <v/>
      </c>
      <c r="G214" s="7">
        <f>Raw_Data!I214</f>
        <v/>
      </c>
      <c r="H214" s="2">
        <f>Raw_Data!J214</f>
        <v/>
      </c>
      <c r="I214" s="2">
        <f>IF(G214="",0,G214-B214)</f>
        <v/>
      </c>
      <c r="J214" s="2">
        <f>IF(H214="Paid",MAX(0,G214-F214),MAX(0,DATE(2026,12,31)-F214))</f>
        <v/>
      </c>
      <c r="K214" s="8">
        <f>IF(H214="Paid",0,E214)</f>
        <v/>
      </c>
      <c r="L214" s="2">
        <f>IF(J214=0,"Current",IF(J214&lt;=30,"1-30 Days",IF(J214&lt;=60,"31-60 Days",IF(J214&lt;=90,"61-90 Days","90+ Days"))))</f>
        <v/>
      </c>
      <c r="M214" s="8">
        <f>IF(Raw_Data!K214="Yes",Raw_Data!F214*Raw_Data!L214,0)</f>
        <v/>
      </c>
      <c r="N214" s="2">
        <f>IF(H214&lt;&gt;"Paid","Outstanding",IF(J214=0,"On Time","Late"))</f>
        <v/>
      </c>
    </row>
    <row r="215">
      <c r="A215" s="2">
        <f>Raw_Data!A215</f>
        <v/>
      </c>
      <c r="B215" s="7">
        <f>Raw_Data!B215</f>
        <v/>
      </c>
      <c r="C215" s="2">
        <f>Raw_Data!C215</f>
        <v/>
      </c>
      <c r="D215" s="2">
        <f>Raw_Data!D215</f>
        <v/>
      </c>
      <c r="E215" s="8">
        <f>Raw_Data!F215</f>
        <v/>
      </c>
      <c r="F215" s="7">
        <f>Raw_Data!H215</f>
        <v/>
      </c>
      <c r="G215" s="7">
        <f>Raw_Data!I215</f>
        <v/>
      </c>
      <c r="H215" s="2">
        <f>Raw_Data!J215</f>
        <v/>
      </c>
      <c r="I215" s="2">
        <f>IF(G215="",0,G215-B215)</f>
        <v/>
      </c>
      <c r="J215" s="2">
        <f>IF(H215="Paid",MAX(0,G215-F215),MAX(0,DATE(2026,12,31)-F215))</f>
        <v/>
      </c>
      <c r="K215" s="8">
        <f>IF(H215="Paid",0,E215)</f>
        <v/>
      </c>
      <c r="L215" s="2">
        <f>IF(J215=0,"Current",IF(J215&lt;=30,"1-30 Days",IF(J215&lt;=60,"31-60 Days",IF(J215&lt;=90,"61-90 Days","90+ Days"))))</f>
        <v/>
      </c>
      <c r="M215" s="8">
        <f>IF(Raw_Data!K215="Yes",Raw_Data!F215*Raw_Data!L215,0)</f>
        <v/>
      </c>
      <c r="N215" s="2">
        <f>IF(H215&lt;&gt;"Paid","Outstanding",IF(J215=0,"On Time","Late"))</f>
        <v/>
      </c>
    </row>
    <row r="216">
      <c r="A216" s="2">
        <f>Raw_Data!A216</f>
        <v/>
      </c>
      <c r="B216" s="7">
        <f>Raw_Data!B216</f>
        <v/>
      </c>
      <c r="C216" s="2">
        <f>Raw_Data!C216</f>
        <v/>
      </c>
      <c r="D216" s="2">
        <f>Raw_Data!D216</f>
        <v/>
      </c>
      <c r="E216" s="8">
        <f>Raw_Data!F216</f>
        <v/>
      </c>
      <c r="F216" s="7">
        <f>Raw_Data!H216</f>
        <v/>
      </c>
      <c r="G216" s="7">
        <f>Raw_Data!I216</f>
        <v/>
      </c>
      <c r="H216" s="2">
        <f>Raw_Data!J216</f>
        <v/>
      </c>
      <c r="I216" s="2">
        <f>IF(G216="",0,G216-B216)</f>
        <v/>
      </c>
      <c r="J216" s="2">
        <f>IF(H216="Paid",MAX(0,G216-F216),MAX(0,DATE(2026,12,31)-F216))</f>
        <v/>
      </c>
      <c r="K216" s="8">
        <f>IF(H216="Paid",0,E216)</f>
        <v/>
      </c>
      <c r="L216" s="2">
        <f>IF(J216=0,"Current",IF(J216&lt;=30,"1-30 Days",IF(J216&lt;=60,"31-60 Days",IF(J216&lt;=90,"61-90 Days","90+ Days"))))</f>
        <v/>
      </c>
      <c r="M216" s="8">
        <f>IF(Raw_Data!K216="Yes",Raw_Data!F216*Raw_Data!L216,0)</f>
        <v/>
      </c>
      <c r="N216" s="2">
        <f>IF(H216&lt;&gt;"Paid","Outstanding",IF(J216=0,"On Time","Late"))</f>
        <v/>
      </c>
    </row>
    <row r="217">
      <c r="A217" s="2">
        <f>Raw_Data!A217</f>
        <v/>
      </c>
      <c r="B217" s="7">
        <f>Raw_Data!B217</f>
        <v/>
      </c>
      <c r="C217" s="2">
        <f>Raw_Data!C217</f>
        <v/>
      </c>
      <c r="D217" s="2">
        <f>Raw_Data!D217</f>
        <v/>
      </c>
      <c r="E217" s="8">
        <f>Raw_Data!F217</f>
        <v/>
      </c>
      <c r="F217" s="7">
        <f>Raw_Data!H217</f>
        <v/>
      </c>
      <c r="G217" s="7">
        <f>Raw_Data!I217</f>
        <v/>
      </c>
      <c r="H217" s="2">
        <f>Raw_Data!J217</f>
        <v/>
      </c>
      <c r="I217" s="2">
        <f>IF(G217="",0,G217-B217)</f>
        <v/>
      </c>
      <c r="J217" s="2">
        <f>IF(H217="Paid",MAX(0,G217-F217),MAX(0,DATE(2026,12,31)-F217))</f>
        <v/>
      </c>
      <c r="K217" s="8">
        <f>IF(H217="Paid",0,E217)</f>
        <v/>
      </c>
      <c r="L217" s="2">
        <f>IF(J217=0,"Current",IF(J217&lt;=30,"1-30 Days",IF(J217&lt;=60,"31-60 Days",IF(J217&lt;=90,"61-90 Days","90+ Days"))))</f>
        <v/>
      </c>
      <c r="M217" s="8">
        <f>IF(Raw_Data!K217="Yes",Raw_Data!F217*Raw_Data!L217,0)</f>
        <v/>
      </c>
      <c r="N217" s="2">
        <f>IF(H217&lt;&gt;"Paid","Outstanding",IF(J217=0,"On Time","Late"))</f>
        <v/>
      </c>
    </row>
    <row r="218">
      <c r="A218" s="2">
        <f>Raw_Data!A218</f>
        <v/>
      </c>
      <c r="B218" s="7">
        <f>Raw_Data!B218</f>
        <v/>
      </c>
      <c r="C218" s="2">
        <f>Raw_Data!C218</f>
        <v/>
      </c>
      <c r="D218" s="2">
        <f>Raw_Data!D218</f>
        <v/>
      </c>
      <c r="E218" s="8">
        <f>Raw_Data!F218</f>
        <v/>
      </c>
      <c r="F218" s="7">
        <f>Raw_Data!H218</f>
        <v/>
      </c>
      <c r="G218" s="7">
        <f>Raw_Data!I218</f>
        <v/>
      </c>
      <c r="H218" s="2">
        <f>Raw_Data!J218</f>
        <v/>
      </c>
      <c r="I218" s="2">
        <f>IF(G218="",0,G218-B218)</f>
        <v/>
      </c>
      <c r="J218" s="2">
        <f>IF(H218="Paid",MAX(0,G218-F218),MAX(0,DATE(2026,12,31)-F218))</f>
        <v/>
      </c>
      <c r="K218" s="8">
        <f>IF(H218="Paid",0,E218)</f>
        <v/>
      </c>
      <c r="L218" s="2">
        <f>IF(J218=0,"Current",IF(J218&lt;=30,"1-30 Days",IF(J218&lt;=60,"31-60 Days",IF(J218&lt;=90,"61-90 Days","90+ Days"))))</f>
        <v/>
      </c>
      <c r="M218" s="8">
        <f>IF(Raw_Data!K218="Yes",Raw_Data!F218*Raw_Data!L218,0)</f>
        <v/>
      </c>
      <c r="N218" s="2">
        <f>IF(H218&lt;&gt;"Paid","Outstanding",IF(J218=0,"On Time","Late"))</f>
        <v/>
      </c>
    </row>
    <row r="219">
      <c r="A219" s="2">
        <f>Raw_Data!A219</f>
        <v/>
      </c>
      <c r="B219" s="7">
        <f>Raw_Data!B219</f>
        <v/>
      </c>
      <c r="C219" s="2">
        <f>Raw_Data!C219</f>
        <v/>
      </c>
      <c r="D219" s="2">
        <f>Raw_Data!D219</f>
        <v/>
      </c>
      <c r="E219" s="8">
        <f>Raw_Data!F219</f>
        <v/>
      </c>
      <c r="F219" s="7">
        <f>Raw_Data!H219</f>
        <v/>
      </c>
      <c r="G219" s="7">
        <f>Raw_Data!I219</f>
        <v/>
      </c>
      <c r="H219" s="2">
        <f>Raw_Data!J219</f>
        <v/>
      </c>
      <c r="I219" s="2">
        <f>IF(G219="",0,G219-B219)</f>
        <v/>
      </c>
      <c r="J219" s="2">
        <f>IF(H219="Paid",MAX(0,G219-F219),MAX(0,DATE(2026,12,31)-F219))</f>
        <v/>
      </c>
      <c r="K219" s="8">
        <f>IF(H219="Paid",0,E219)</f>
        <v/>
      </c>
      <c r="L219" s="2">
        <f>IF(J219=0,"Current",IF(J219&lt;=30,"1-30 Days",IF(J219&lt;=60,"31-60 Days",IF(J219&lt;=90,"61-90 Days","90+ Days"))))</f>
        <v/>
      </c>
      <c r="M219" s="8">
        <f>IF(Raw_Data!K219="Yes",Raw_Data!F219*Raw_Data!L219,0)</f>
        <v/>
      </c>
      <c r="N219" s="2">
        <f>IF(H219&lt;&gt;"Paid","Outstanding",IF(J219=0,"On Time","Late"))</f>
        <v/>
      </c>
    </row>
    <row r="220">
      <c r="A220" s="2">
        <f>Raw_Data!A220</f>
        <v/>
      </c>
      <c r="B220" s="7">
        <f>Raw_Data!B220</f>
        <v/>
      </c>
      <c r="C220" s="2">
        <f>Raw_Data!C220</f>
        <v/>
      </c>
      <c r="D220" s="2">
        <f>Raw_Data!D220</f>
        <v/>
      </c>
      <c r="E220" s="8">
        <f>Raw_Data!F220</f>
        <v/>
      </c>
      <c r="F220" s="7">
        <f>Raw_Data!H220</f>
        <v/>
      </c>
      <c r="G220" s="7">
        <f>Raw_Data!I220</f>
        <v/>
      </c>
      <c r="H220" s="2">
        <f>Raw_Data!J220</f>
        <v/>
      </c>
      <c r="I220" s="2">
        <f>IF(G220="",0,G220-B220)</f>
        <v/>
      </c>
      <c r="J220" s="2">
        <f>IF(H220="Paid",MAX(0,G220-F220),MAX(0,DATE(2026,12,31)-F220))</f>
        <v/>
      </c>
      <c r="K220" s="8">
        <f>IF(H220="Paid",0,E220)</f>
        <v/>
      </c>
      <c r="L220" s="2">
        <f>IF(J220=0,"Current",IF(J220&lt;=30,"1-30 Days",IF(J220&lt;=60,"31-60 Days",IF(J220&lt;=90,"61-90 Days","90+ Days"))))</f>
        <v/>
      </c>
      <c r="M220" s="8">
        <f>IF(Raw_Data!K220="Yes",Raw_Data!F220*Raw_Data!L220,0)</f>
        <v/>
      </c>
      <c r="N220" s="2">
        <f>IF(H220&lt;&gt;"Paid","Outstanding",IF(J220=0,"On Time","Late"))</f>
        <v/>
      </c>
    </row>
    <row r="221">
      <c r="A221" s="2">
        <f>Raw_Data!A221</f>
        <v/>
      </c>
      <c r="B221" s="7">
        <f>Raw_Data!B221</f>
        <v/>
      </c>
      <c r="C221" s="2">
        <f>Raw_Data!C221</f>
        <v/>
      </c>
      <c r="D221" s="2">
        <f>Raw_Data!D221</f>
        <v/>
      </c>
      <c r="E221" s="8">
        <f>Raw_Data!F221</f>
        <v/>
      </c>
      <c r="F221" s="7">
        <f>Raw_Data!H221</f>
        <v/>
      </c>
      <c r="G221" s="7">
        <f>Raw_Data!I221</f>
        <v/>
      </c>
      <c r="H221" s="2">
        <f>Raw_Data!J221</f>
        <v/>
      </c>
      <c r="I221" s="2">
        <f>IF(G221="",0,G221-B221)</f>
        <v/>
      </c>
      <c r="J221" s="2">
        <f>IF(H221="Paid",MAX(0,G221-F221),MAX(0,DATE(2026,12,31)-F221))</f>
        <v/>
      </c>
      <c r="K221" s="8">
        <f>IF(H221="Paid",0,E221)</f>
        <v/>
      </c>
      <c r="L221" s="2">
        <f>IF(J221=0,"Current",IF(J221&lt;=30,"1-30 Days",IF(J221&lt;=60,"31-60 Days",IF(J221&lt;=90,"61-90 Days","90+ Days"))))</f>
        <v/>
      </c>
      <c r="M221" s="8">
        <f>IF(Raw_Data!K221="Yes",Raw_Data!F221*Raw_Data!L221,0)</f>
        <v/>
      </c>
      <c r="N221" s="2">
        <f>IF(H221&lt;&gt;"Paid","Outstanding",IF(J221=0,"On Time","Late"))</f>
        <v/>
      </c>
    </row>
    <row r="222">
      <c r="A222" s="2">
        <f>Raw_Data!A222</f>
        <v/>
      </c>
      <c r="B222" s="7">
        <f>Raw_Data!B222</f>
        <v/>
      </c>
      <c r="C222" s="2">
        <f>Raw_Data!C222</f>
        <v/>
      </c>
      <c r="D222" s="2">
        <f>Raw_Data!D222</f>
        <v/>
      </c>
      <c r="E222" s="8">
        <f>Raw_Data!F222</f>
        <v/>
      </c>
      <c r="F222" s="7">
        <f>Raw_Data!H222</f>
        <v/>
      </c>
      <c r="G222" s="7">
        <f>Raw_Data!I222</f>
        <v/>
      </c>
      <c r="H222" s="2">
        <f>Raw_Data!J222</f>
        <v/>
      </c>
      <c r="I222" s="2">
        <f>IF(G222="",0,G222-B222)</f>
        <v/>
      </c>
      <c r="J222" s="2">
        <f>IF(H222="Paid",MAX(0,G222-F222),MAX(0,DATE(2026,12,31)-F222))</f>
        <v/>
      </c>
      <c r="K222" s="8">
        <f>IF(H222="Paid",0,E222)</f>
        <v/>
      </c>
      <c r="L222" s="2">
        <f>IF(J222=0,"Current",IF(J222&lt;=30,"1-30 Days",IF(J222&lt;=60,"31-60 Days",IF(J222&lt;=90,"61-90 Days","90+ Days"))))</f>
        <v/>
      </c>
      <c r="M222" s="8">
        <f>IF(Raw_Data!K222="Yes",Raw_Data!F222*Raw_Data!L222,0)</f>
        <v/>
      </c>
      <c r="N222" s="2">
        <f>IF(H222&lt;&gt;"Paid","Outstanding",IF(J222=0,"On Time","Late"))</f>
        <v/>
      </c>
    </row>
    <row r="223">
      <c r="A223" s="2">
        <f>Raw_Data!A223</f>
        <v/>
      </c>
      <c r="B223" s="7">
        <f>Raw_Data!B223</f>
        <v/>
      </c>
      <c r="C223" s="2">
        <f>Raw_Data!C223</f>
        <v/>
      </c>
      <c r="D223" s="2">
        <f>Raw_Data!D223</f>
        <v/>
      </c>
      <c r="E223" s="8">
        <f>Raw_Data!F223</f>
        <v/>
      </c>
      <c r="F223" s="7">
        <f>Raw_Data!H223</f>
        <v/>
      </c>
      <c r="G223" s="7">
        <f>Raw_Data!I223</f>
        <v/>
      </c>
      <c r="H223" s="2">
        <f>Raw_Data!J223</f>
        <v/>
      </c>
      <c r="I223" s="2">
        <f>IF(G223="",0,G223-B223)</f>
        <v/>
      </c>
      <c r="J223" s="2">
        <f>IF(H223="Paid",MAX(0,G223-F223),MAX(0,DATE(2026,12,31)-F223))</f>
        <v/>
      </c>
      <c r="K223" s="8">
        <f>IF(H223="Paid",0,E223)</f>
        <v/>
      </c>
      <c r="L223" s="2">
        <f>IF(J223=0,"Current",IF(J223&lt;=30,"1-30 Days",IF(J223&lt;=60,"31-60 Days",IF(J223&lt;=90,"61-90 Days","90+ Days"))))</f>
        <v/>
      </c>
      <c r="M223" s="8">
        <f>IF(Raw_Data!K223="Yes",Raw_Data!F223*Raw_Data!L223,0)</f>
        <v/>
      </c>
      <c r="N223" s="2">
        <f>IF(H223&lt;&gt;"Paid","Outstanding",IF(J223=0,"On Time","Late"))</f>
        <v/>
      </c>
    </row>
    <row r="224">
      <c r="A224" s="2">
        <f>Raw_Data!A224</f>
        <v/>
      </c>
      <c r="B224" s="7">
        <f>Raw_Data!B224</f>
        <v/>
      </c>
      <c r="C224" s="2">
        <f>Raw_Data!C224</f>
        <v/>
      </c>
      <c r="D224" s="2">
        <f>Raw_Data!D224</f>
        <v/>
      </c>
      <c r="E224" s="8">
        <f>Raw_Data!F224</f>
        <v/>
      </c>
      <c r="F224" s="7">
        <f>Raw_Data!H224</f>
        <v/>
      </c>
      <c r="G224" s="7">
        <f>Raw_Data!I224</f>
        <v/>
      </c>
      <c r="H224" s="2">
        <f>Raw_Data!J224</f>
        <v/>
      </c>
      <c r="I224" s="2">
        <f>IF(G224="",0,G224-B224)</f>
        <v/>
      </c>
      <c r="J224" s="2">
        <f>IF(H224="Paid",MAX(0,G224-F224),MAX(0,DATE(2026,12,31)-F224))</f>
        <v/>
      </c>
      <c r="K224" s="8">
        <f>IF(H224="Paid",0,E224)</f>
        <v/>
      </c>
      <c r="L224" s="2">
        <f>IF(J224=0,"Current",IF(J224&lt;=30,"1-30 Days",IF(J224&lt;=60,"31-60 Days",IF(J224&lt;=90,"61-90 Days","90+ Days"))))</f>
        <v/>
      </c>
      <c r="M224" s="8">
        <f>IF(Raw_Data!K224="Yes",Raw_Data!F224*Raw_Data!L224,0)</f>
        <v/>
      </c>
      <c r="N224" s="2">
        <f>IF(H224&lt;&gt;"Paid","Outstanding",IF(J224=0,"On Time","Late"))</f>
        <v/>
      </c>
    </row>
    <row r="225">
      <c r="A225" s="2">
        <f>Raw_Data!A225</f>
        <v/>
      </c>
      <c r="B225" s="7">
        <f>Raw_Data!B225</f>
        <v/>
      </c>
      <c r="C225" s="2">
        <f>Raw_Data!C225</f>
        <v/>
      </c>
      <c r="D225" s="2">
        <f>Raw_Data!D225</f>
        <v/>
      </c>
      <c r="E225" s="8">
        <f>Raw_Data!F225</f>
        <v/>
      </c>
      <c r="F225" s="7">
        <f>Raw_Data!H225</f>
        <v/>
      </c>
      <c r="G225" s="7">
        <f>Raw_Data!I225</f>
        <v/>
      </c>
      <c r="H225" s="2">
        <f>Raw_Data!J225</f>
        <v/>
      </c>
      <c r="I225" s="2">
        <f>IF(G225="",0,G225-B225)</f>
        <v/>
      </c>
      <c r="J225" s="2">
        <f>IF(H225="Paid",MAX(0,G225-F225),MAX(0,DATE(2026,12,31)-F225))</f>
        <v/>
      </c>
      <c r="K225" s="8">
        <f>IF(H225="Paid",0,E225)</f>
        <v/>
      </c>
      <c r="L225" s="2">
        <f>IF(J225=0,"Current",IF(J225&lt;=30,"1-30 Days",IF(J225&lt;=60,"31-60 Days",IF(J225&lt;=90,"61-90 Days","90+ Days"))))</f>
        <v/>
      </c>
      <c r="M225" s="8">
        <f>IF(Raw_Data!K225="Yes",Raw_Data!F225*Raw_Data!L225,0)</f>
        <v/>
      </c>
      <c r="N225" s="2">
        <f>IF(H225&lt;&gt;"Paid","Outstanding",IF(J225=0,"On Time","Late"))</f>
        <v/>
      </c>
    </row>
    <row r="226">
      <c r="A226" s="2">
        <f>Raw_Data!A226</f>
        <v/>
      </c>
      <c r="B226" s="7">
        <f>Raw_Data!B226</f>
        <v/>
      </c>
      <c r="C226" s="2">
        <f>Raw_Data!C226</f>
        <v/>
      </c>
      <c r="D226" s="2">
        <f>Raw_Data!D226</f>
        <v/>
      </c>
      <c r="E226" s="8">
        <f>Raw_Data!F226</f>
        <v/>
      </c>
      <c r="F226" s="7">
        <f>Raw_Data!H226</f>
        <v/>
      </c>
      <c r="G226" s="7">
        <f>Raw_Data!I226</f>
        <v/>
      </c>
      <c r="H226" s="2">
        <f>Raw_Data!J226</f>
        <v/>
      </c>
      <c r="I226" s="2">
        <f>IF(G226="",0,G226-B226)</f>
        <v/>
      </c>
      <c r="J226" s="2">
        <f>IF(H226="Paid",MAX(0,G226-F226),MAX(0,DATE(2026,12,31)-F226))</f>
        <v/>
      </c>
      <c r="K226" s="8">
        <f>IF(H226="Paid",0,E226)</f>
        <v/>
      </c>
      <c r="L226" s="2">
        <f>IF(J226=0,"Current",IF(J226&lt;=30,"1-30 Days",IF(J226&lt;=60,"31-60 Days",IF(J226&lt;=90,"61-90 Days","90+ Days"))))</f>
        <v/>
      </c>
      <c r="M226" s="8">
        <f>IF(Raw_Data!K226="Yes",Raw_Data!F226*Raw_Data!L226,0)</f>
        <v/>
      </c>
      <c r="N226" s="2">
        <f>IF(H226&lt;&gt;"Paid","Outstanding",IF(J226=0,"On Time","Late"))</f>
        <v/>
      </c>
    </row>
    <row r="227">
      <c r="A227" s="2">
        <f>Raw_Data!A227</f>
        <v/>
      </c>
      <c r="B227" s="7">
        <f>Raw_Data!B227</f>
        <v/>
      </c>
      <c r="C227" s="2">
        <f>Raw_Data!C227</f>
        <v/>
      </c>
      <c r="D227" s="2">
        <f>Raw_Data!D227</f>
        <v/>
      </c>
      <c r="E227" s="8">
        <f>Raw_Data!F227</f>
        <v/>
      </c>
      <c r="F227" s="7">
        <f>Raw_Data!H227</f>
        <v/>
      </c>
      <c r="G227" s="7">
        <f>Raw_Data!I227</f>
        <v/>
      </c>
      <c r="H227" s="2">
        <f>Raw_Data!J227</f>
        <v/>
      </c>
      <c r="I227" s="2">
        <f>IF(G227="",0,G227-B227)</f>
        <v/>
      </c>
      <c r="J227" s="2">
        <f>IF(H227="Paid",MAX(0,G227-F227),MAX(0,DATE(2026,12,31)-F227))</f>
        <v/>
      </c>
      <c r="K227" s="8">
        <f>IF(H227="Paid",0,E227)</f>
        <v/>
      </c>
      <c r="L227" s="2">
        <f>IF(J227=0,"Current",IF(J227&lt;=30,"1-30 Days",IF(J227&lt;=60,"31-60 Days",IF(J227&lt;=90,"61-90 Days","90+ Days"))))</f>
        <v/>
      </c>
      <c r="M227" s="8">
        <f>IF(Raw_Data!K227="Yes",Raw_Data!F227*Raw_Data!L227,0)</f>
        <v/>
      </c>
      <c r="N227" s="2">
        <f>IF(H227&lt;&gt;"Paid","Outstanding",IF(J227=0,"On Time","Late"))</f>
        <v/>
      </c>
    </row>
    <row r="228">
      <c r="A228" s="2">
        <f>Raw_Data!A228</f>
        <v/>
      </c>
      <c r="B228" s="7">
        <f>Raw_Data!B228</f>
        <v/>
      </c>
      <c r="C228" s="2">
        <f>Raw_Data!C228</f>
        <v/>
      </c>
      <c r="D228" s="2">
        <f>Raw_Data!D228</f>
        <v/>
      </c>
      <c r="E228" s="8">
        <f>Raw_Data!F228</f>
        <v/>
      </c>
      <c r="F228" s="7">
        <f>Raw_Data!H228</f>
        <v/>
      </c>
      <c r="G228" s="7">
        <f>Raw_Data!I228</f>
        <v/>
      </c>
      <c r="H228" s="2">
        <f>Raw_Data!J228</f>
        <v/>
      </c>
      <c r="I228" s="2">
        <f>IF(G228="",0,G228-B228)</f>
        <v/>
      </c>
      <c r="J228" s="2">
        <f>IF(H228="Paid",MAX(0,G228-F228),MAX(0,DATE(2026,12,31)-F228))</f>
        <v/>
      </c>
      <c r="K228" s="8">
        <f>IF(H228="Paid",0,E228)</f>
        <v/>
      </c>
      <c r="L228" s="2">
        <f>IF(J228=0,"Current",IF(J228&lt;=30,"1-30 Days",IF(J228&lt;=60,"31-60 Days",IF(J228&lt;=90,"61-90 Days","90+ Days"))))</f>
        <v/>
      </c>
      <c r="M228" s="8">
        <f>IF(Raw_Data!K228="Yes",Raw_Data!F228*Raw_Data!L228,0)</f>
        <v/>
      </c>
      <c r="N228" s="2">
        <f>IF(H228&lt;&gt;"Paid","Outstanding",IF(J228=0,"On Time","Late"))</f>
        <v/>
      </c>
    </row>
    <row r="229">
      <c r="A229" s="2">
        <f>Raw_Data!A229</f>
        <v/>
      </c>
      <c r="B229" s="7">
        <f>Raw_Data!B229</f>
        <v/>
      </c>
      <c r="C229" s="2">
        <f>Raw_Data!C229</f>
        <v/>
      </c>
      <c r="D229" s="2">
        <f>Raw_Data!D229</f>
        <v/>
      </c>
      <c r="E229" s="8">
        <f>Raw_Data!F229</f>
        <v/>
      </c>
      <c r="F229" s="7">
        <f>Raw_Data!H229</f>
        <v/>
      </c>
      <c r="G229" s="7">
        <f>Raw_Data!I229</f>
        <v/>
      </c>
      <c r="H229" s="2">
        <f>Raw_Data!J229</f>
        <v/>
      </c>
      <c r="I229" s="2">
        <f>IF(G229="",0,G229-B229)</f>
        <v/>
      </c>
      <c r="J229" s="2">
        <f>IF(H229="Paid",MAX(0,G229-F229),MAX(0,DATE(2026,12,31)-F229))</f>
        <v/>
      </c>
      <c r="K229" s="8">
        <f>IF(H229="Paid",0,E229)</f>
        <v/>
      </c>
      <c r="L229" s="2">
        <f>IF(J229=0,"Current",IF(J229&lt;=30,"1-30 Days",IF(J229&lt;=60,"31-60 Days",IF(J229&lt;=90,"61-90 Days","90+ Days"))))</f>
        <v/>
      </c>
      <c r="M229" s="8">
        <f>IF(Raw_Data!K229="Yes",Raw_Data!F229*Raw_Data!L229,0)</f>
        <v/>
      </c>
      <c r="N229" s="2">
        <f>IF(H229&lt;&gt;"Paid","Outstanding",IF(J229=0,"On Time","Late"))</f>
        <v/>
      </c>
    </row>
    <row r="230">
      <c r="A230" s="2">
        <f>Raw_Data!A230</f>
        <v/>
      </c>
      <c r="B230" s="7">
        <f>Raw_Data!B230</f>
        <v/>
      </c>
      <c r="C230" s="2">
        <f>Raw_Data!C230</f>
        <v/>
      </c>
      <c r="D230" s="2">
        <f>Raw_Data!D230</f>
        <v/>
      </c>
      <c r="E230" s="8">
        <f>Raw_Data!F230</f>
        <v/>
      </c>
      <c r="F230" s="7">
        <f>Raw_Data!H230</f>
        <v/>
      </c>
      <c r="G230" s="7">
        <f>Raw_Data!I230</f>
        <v/>
      </c>
      <c r="H230" s="2">
        <f>Raw_Data!J230</f>
        <v/>
      </c>
      <c r="I230" s="2">
        <f>IF(G230="",0,G230-B230)</f>
        <v/>
      </c>
      <c r="J230" s="2">
        <f>IF(H230="Paid",MAX(0,G230-F230),MAX(0,DATE(2026,12,31)-F230))</f>
        <v/>
      </c>
      <c r="K230" s="8">
        <f>IF(H230="Paid",0,E230)</f>
        <v/>
      </c>
      <c r="L230" s="2">
        <f>IF(J230=0,"Current",IF(J230&lt;=30,"1-30 Days",IF(J230&lt;=60,"31-60 Days",IF(J230&lt;=90,"61-90 Days","90+ Days"))))</f>
        <v/>
      </c>
      <c r="M230" s="8">
        <f>IF(Raw_Data!K230="Yes",Raw_Data!F230*Raw_Data!L230,0)</f>
        <v/>
      </c>
      <c r="N230" s="2">
        <f>IF(H230&lt;&gt;"Paid","Outstanding",IF(J230=0,"On Time","Late"))</f>
        <v/>
      </c>
    </row>
    <row r="231">
      <c r="A231" s="2">
        <f>Raw_Data!A231</f>
        <v/>
      </c>
      <c r="B231" s="7">
        <f>Raw_Data!B231</f>
        <v/>
      </c>
      <c r="C231" s="2">
        <f>Raw_Data!C231</f>
        <v/>
      </c>
      <c r="D231" s="2">
        <f>Raw_Data!D231</f>
        <v/>
      </c>
      <c r="E231" s="8">
        <f>Raw_Data!F231</f>
        <v/>
      </c>
      <c r="F231" s="7">
        <f>Raw_Data!H231</f>
        <v/>
      </c>
      <c r="G231" s="7">
        <f>Raw_Data!I231</f>
        <v/>
      </c>
      <c r="H231" s="2">
        <f>Raw_Data!J231</f>
        <v/>
      </c>
      <c r="I231" s="2">
        <f>IF(G231="",0,G231-B231)</f>
        <v/>
      </c>
      <c r="J231" s="2">
        <f>IF(H231="Paid",MAX(0,G231-F231),MAX(0,DATE(2026,12,31)-F231))</f>
        <v/>
      </c>
      <c r="K231" s="8">
        <f>IF(H231="Paid",0,E231)</f>
        <v/>
      </c>
      <c r="L231" s="2">
        <f>IF(J231=0,"Current",IF(J231&lt;=30,"1-30 Days",IF(J231&lt;=60,"31-60 Days",IF(J231&lt;=90,"61-90 Days","90+ Days"))))</f>
        <v/>
      </c>
      <c r="M231" s="8">
        <f>IF(Raw_Data!K231="Yes",Raw_Data!F231*Raw_Data!L231,0)</f>
        <v/>
      </c>
      <c r="N231" s="2">
        <f>IF(H231&lt;&gt;"Paid","Outstanding",IF(J231=0,"On Time","Late"))</f>
        <v/>
      </c>
    </row>
    <row r="232">
      <c r="A232" s="2">
        <f>Raw_Data!A232</f>
        <v/>
      </c>
      <c r="B232" s="7">
        <f>Raw_Data!B232</f>
        <v/>
      </c>
      <c r="C232" s="2">
        <f>Raw_Data!C232</f>
        <v/>
      </c>
      <c r="D232" s="2">
        <f>Raw_Data!D232</f>
        <v/>
      </c>
      <c r="E232" s="8">
        <f>Raw_Data!F232</f>
        <v/>
      </c>
      <c r="F232" s="7">
        <f>Raw_Data!H232</f>
        <v/>
      </c>
      <c r="G232" s="7">
        <f>Raw_Data!I232</f>
        <v/>
      </c>
      <c r="H232" s="2">
        <f>Raw_Data!J232</f>
        <v/>
      </c>
      <c r="I232" s="2">
        <f>IF(G232="",0,G232-B232)</f>
        <v/>
      </c>
      <c r="J232" s="2">
        <f>IF(H232="Paid",MAX(0,G232-F232),MAX(0,DATE(2026,12,31)-F232))</f>
        <v/>
      </c>
      <c r="K232" s="8">
        <f>IF(H232="Paid",0,E232)</f>
        <v/>
      </c>
      <c r="L232" s="2">
        <f>IF(J232=0,"Current",IF(J232&lt;=30,"1-30 Days",IF(J232&lt;=60,"31-60 Days",IF(J232&lt;=90,"61-90 Days","90+ Days"))))</f>
        <v/>
      </c>
      <c r="M232" s="8">
        <f>IF(Raw_Data!K232="Yes",Raw_Data!F232*Raw_Data!L232,0)</f>
        <v/>
      </c>
      <c r="N232" s="2">
        <f>IF(H232&lt;&gt;"Paid","Outstanding",IF(J232=0,"On Time","Late"))</f>
        <v/>
      </c>
    </row>
    <row r="233">
      <c r="A233" s="2">
        <f>Raw_Data!A233</f>
        <v/>
      </c>
      <c r="B233" s="7">
        <f>Raw_Data!B233</f>
        <v/>
      </c>
      <c r="C233" s="2">
        <f>Raw_Data!C233</f>
        <v/>
      </c>
      <c r="D233" s="2">
        <f>Raw_Data!D233</f>
        <v/>
      </c>
      <c r="E233" s="8">
        <f>Raw_Data!F233</f>
        <v/>
      </c>
      <c r="F233" s="7">
        <f>Raw_Data!H233</f>
        <v/>
      </c>
      <c r="G233" s="7">
        <f>Raw_Data!I233</f>
        <v/>
      </c>
      <c r="H233" s="2">
        <f>Raw_Data!J233</f>
        <v/>
      </c>
      <c r="I233" s="2">
        <f>IF(G233="",0,G233-B233)</f>
        <v/>
      </c>
      <c r="J233" s="2">
        <f>IF(H233="Paid",MAX(0,G233-F233),MAX(0,DATE(2026,12,31)-F233))</f>
        <v/>
      </c>
      <c r="K233" s="8">
        <f>IF(H233="Paid",0,E233)</f>
        <v/>
      </c>
      <c r="L233" s="2">
        <f>IF(J233=0,"Current",IF(J233&lt;=30,"1-30 Days",IF(J233&lt;=60,"31-60 Days",IF(J233&lt;=90,"61-90 Days","90+ Days"))))</f>
        <v/>
      </c>
      <c r="M233" s="8">
        <f>IF(Raw_Data!K233="Yes",Raw_Data!F233*Raw_Data!L233,0)</f>
        <v/>
      </c>
      <c r="N233" s="2">
        <f>IF(H233&lt;&gt;"Paid","Outstanding",IF(J233=0,"On Time","Late"))</f>
        <v/>
      </c>
    </row>
    <row r="234">
      <c r="A234" s="2">
        <f>Raw_Data!A234</f>
        <v/>
      </c>
      <c r="B234" s="7">
        <f>Raw_Data!B234</f>
        <v/>
      </c>
      <c r="C234" s="2">
        <f>Raw_Data!C234</f>
        <v/>
      </c>
      <c r="D234" s="2">
        <f>Raw_Data!D234</f>
        <v/>
      </c>
      <c r="E234" s="8">
        <f>Raw_Data!F234</f>
        <v/>
      </c>
      <c r="F234" s="7">
        <f>Raw_Data!H234</f>
        <v/>
      </c>
      <c r="G234" s="7">
        <f>Raw_Data!I234</f>
        <v/>
      </c>
      <c r="H234" s="2">
        <f>Raw_Data!J234</f>
        <v/>
      </c>
      <c r="I234" s="2">
        <f>IF(G234="",0,G234-B234)</f>
        <v/>
      </c>
      <c r="J234" s="2">
        <f>IF(H234="Paid",MAX(0,G234-F234),MAX(0,DATE(2026,12,31)-F234))</f>
        <v/>
      </c>
      <c r="K234" s="8">
        <f>IF(H234="Paid",0,E234)</f>
        <v/>
      </c>
      <c r="L234" s="2">
        <f>IF(J234=0,"Current",IF(J234&lt;=30,"1-30 Days",IF(J234&lt;=60,"31-60 Days",IF(J234&lt;=90,"61-90 Days","90+ Days"))))</f>
        <v/>
      </c>
      <c r="M234" s="8">
        <f>IF(Raw_Data!K234="Yes",Raw_Data!F234*Raw_Data!L234,0)</f>
        <v/>
      </c>
      <c r="N234" s="2">
        <f>IF(H234&lt;&gt;"Paid","Outstanding",IF(J234=0,"On Time","Late"))</f>
        <v/>
      </c>
    </row>
    <row r="235">
      <c r="A235" s="2">
        <f>Raw_Data!A235</f>
        <v/>
      </c>
      <c r="B235" s="7">
        <f>Raw_Data!B235</f>
        <v/>
      </c>
      <c r="C235" s="2">
        <f>Raw_Data!C235</f>
        <v/>
      </c>
      <c r="D235" s="2">
        <f>Raw_Data!D235</f>
        <v/>
      </c>
      <c r="E235" s="8">
        <f>Raw_Data!F235</f>
        <v/>
      </c>
      <c r="F235" s="7">
        <f>Raw_Data!H235</f>
        <v/>
      </c>
      <c r="G235" s="7">
        <f>Raw_Data!I235</f>
        <v/>
      </c>
      <c r="H235" s="2">
        <f>Raw_Data!J235</f>
        <v/>
      </c>
      <c r="I235" s="2">
        <f>IF(G235="",0,G235-B235)</f>
        <v/>
      </c>
      <c r="J235" s="2">
        <f>IF(H235="Paid",MAX(0,G235-F235),MAX(0,DATE(2026,12,31)-F235))</f>
        <v/>
      </c>
      <c r="K235" s="8">
        <f>IF(H235="Paid",0,E235)</f>
        <v/>
      </c>
      <c r="L235" s="2">
        <f>IF(J235=0,"Current",IF(J235&lt;=30,"1-30 Days",IF(J235&lt;=60,"31-60 Days",IF(J235&lt;=90,"61-90 Days","90+ Days"))))</f>
        <v/>
      </c>
      <c r="M235" s="8">
        <f>IF(Raw_Data!K235="Yes",Raw_Data!F235*Raw_Data!L235,0)</f>
        <v/>
      </c>
      <c r="N235" s="2">
        <f>IF(H235&lt;&gt;"Paid","Outstanding",IF(J235=0,"On Time","Late"))</f>
        <v/>
      </c>
    </row>
    <row r="236">
      <c r="A236" s="2">
        <f>Raw_Data!A236</f>
        <v/>
      </c>
      <c r="B236" s="7">
        <f>Raw_Data!B236</f>
        <v/>
      </c>
      <c r="C236" s="2">
        <f>Raw_Data!C236</f>
        <v/>
      </c>
      <c r="D236" s="2">
        <f>Raw_Data!D236</f>
        <v/>
      </c>
      <c r="E236" s="8">
        <f>Raw_Data!F236</f>
        <v/>
      </c>
      <c r="F236" s="7">
        <f>Raw_Data!H236</f>
        <v/>
      </c>
      <c r="G236" s="7">
        <f>Raw_Data!I236</f>
        <v/>
      </c>
      <c r="H236" s="2">
        <f>Raw_Data!J236</f>
        <v/>
      </c>
      <c r="I236" s="2">
        <f>IF(G236="",0,G236-B236)</f>
        <v/>
      </c>
      <c r="J236" s="2">
        <f>IF(H236="Paid",MAX(0,G236-F236),MAX(0,DATE(2026,12,31)-F236))</f>
        <v/>
      </c>
      <c r="K236" s="8">
        <f>IF(H236="Paid",0,E236)</f>
        <v/>
      </c>
      <c r="L236" s="2">
        <f>IF(J236=0,"Current",IF(J236&lt;=30,"1-30 Days",IF(J236&lt;=60,"31-60 Days",IF(J236&lt;=90,"61-90 Days","90+ Days"))))</f>
        <v/>
      </c>
      <c r="M236" s="8">
        <f>IF(Raw_Data!K236="Yes",Raw_Data!F236*Raw_Data!L236,0)</f>
        <v/>
      </c>
      <c r="N236" s="2">
        <f>IF(H236&lt;&gt;"Paid","Outstanding",IF(J236=0,"On Time","Late"))</f>
        <v/>
      </c>
    </row>
    <row r="237">
      <c r="A237" s="2">
        <f>Raw_Data!A237</f>
        <v/>
      </c>
      <c r="B237" s="7">
        <f>Raw_Data!B237</f>
        <v/>
      </c>
      <c r="C237" s="2">
        <f>Raw_Data!C237</f>
        <v/>
      </c>
      <c r="D237" s="2">
        <f>Raw_Data!D237</f>
        <v/>
      </c>
      <c r="E237" s="8">
        <f>Raw_Data!F237</f>
        <v/>
      </c>
      <c r="F237" s="7">
        <f>Raw_Data!H237</f>
        <v/>
      </c>
      <c r="G237" s="7">
        <f>Raw_Data!I237</f>
        <v/>
      </c>
      <c r="H237" s="2">
        <f>Raw_Data!J237</f>
        <v/>
      </c>
      <c r="I237" s="2">
        <f>IF(G237="",0,G237-B237)</f>
        <v/>
      </c>
      <c r="J237" s="2">
        <f>IF(H237="Paid",MAX(0,G237-F237),MAX(0,DATE(2026,12,31)-F237))</f>
        <v/>
      </c>
      <c r="K237" s="8">
        <f>IF(H237="Paid",0,E237)</f>
        <v/>
      </c>
      <c r="L237" s="2">
        <f>IF(J237=0,"Current",IF(J237&lt;=30,"1-30 Days",IF(J237&lt;=60,"31-60 Days",IF(J237&lt;=90,"61-90 Days","90+ Days"))))</f>
        <v/>
      </c>
      <c r="M237" s="8">
        <f>IF(Raw_Data!K237="Yes",Raw_Data!F237*Raw_Data!L237,0)</f>
        <v/>
      </c>
      <c r="N237" s="2">
        <f>IF(H237&lt;&gt;"Paid","Outstanding",IF(J237=0,"On Time","Late"))</f>
        <v/>
      </c>
    </row>
    <row r="238">
      <c r="A238" s="2">
        <f>Raw_Data!A238</f>
        <v/>
      </c>
      <c r="B238" s="7">
        <f>Raw_Data!B238</f>
        <v/>
      </c>
      <c r="C238" s="2">
        <f>Raw_Data!C238</f>
        <v/>
      </c>
      <c r="D238" s="2">
        <f>Raw_Data!D238</f>
        <v/>
      </c>
      <c r="E238" s="8">
        <f>Raw_Data!F238</f>
        <v/>
      </c>
      <c r="F238" s="7">
        <f>Raw_Data!H238</f>
        <v/>
      </c>
      <c r="G238" s="7">
        <f>Raw_Data!I238</f>
        <v/>
      </c>
      <c r="H238" s="2">
        <f>Raw_Data!J238</f>
        <v/>
      </c>
      <c r="I238" s="2">
        <f>IF(G238="",0,G238-B238)</f>
        <v/>
      </c>
      <c r="J238" s="2">
        <f>IF(H238="Paid",MAX(0,G238-F238),MAX(0,DATE(2026,12,31)-F238))</f>
        <v/>
      </c>
      <c r="K238" s="8">
        <f>IF(H238="Paid",0,E238)</f>
        <v/>
      </c>
      <c r="L238" s="2">
        <f>IF(J238=0,"Current",IF(J238&lt;=30,"1-30 Days",IF(J238&lt;=60,"31-60 Days",IF(J238&lt;=90,"61-90 Days","90+ Days"))))</f>
        <v/>
      </c>
      <c r="M238" s="8">
        <f>IF(Raw_Data!K238="Yes",Raw_Data!F238*Raw_Data!L238,0)</f>
        <v/>
      </c>
      <c r="N238" s="2">
        <f>IF(H238&lt;&gt;"Paid","Outstanding",IF(J238=0,"On Time","Late"))</f>
        <v/>
      </c>
    </row>
    <row r="239">
      <c r="A239" s="2">
        <f>Raw_Data!A239</f>
        <v/>
      </c>
      <c r="B239" s="7">
        <f>Raw_Data!B239</f>
        <v/>
      </c>
      <c r="C239" s="2">
        <f>Raw_Data!C239</f>
        <v/>
      </c>
      <c r="D239" s="2">
        <f>Raw_Data!D239</f>
        <v/>
      </c>
      <c r="E239" s="8">
        <f>Raw_Data!F239</f>
        <v/>
      </c>
      <c r="F239" s="7">
        <f>Raw_Data!H239</f>
        <v/>
      </c>
      <c r="G239" s="7">
        <f>Raw_Data!I239</f>
        <v/>
      </c>
      <c r="H239" s="2">
        <f>Raw_Data!J239</f>
        <v/>
      </c>
      <c r="I239" s="2">
        <f>IF(G239="",0,G239-B239)</f>
        <v/>
      </c>
      <c r="J239" s="2">
        <f>IF(H239="Paid",MAX(0,G239-F239),MAX(0,DATE(2026,12,31)-F239))</f>
        <v/>
      </c>
      <c r="K239" s="8">
        <f>IF(H239="Paid",0,E239)</f>
        <v/>
      </c>
      <c r="L239" s="2">
        <f>IF(J239=0,"Current",IF(J239&lt;=30,"1-30 Days",IF(J239&lt;=60,"31-60 Days",IF(J239&lt;=90,"61-90 Days","90+ Days"))))</f>
        <v/>
      </c>
      <c r="M239" s="8">
        <f>IF(Raw_Data!K239="Yes",Raw_Data!F239*Raw_Data!L239,0)</f>
        <v/>
      </c>
      <c r="N239" s="2">
        <f>IF(H239&lt;&gt;"Paid","Outstanding",IF(J239=0,"On Time","Late"))</f>
        <v/>
      </c>
    </row>
    <row r="240">
      <c r="A240" s="2">
        <f>Raw_Data!A240</f>
        <v/>
      </c>
      <c r="B240" s="7">
        <f>Raw_Data!B240</f>
        <v/>
      </c>
      <c r="C240" s="2">
        <f>Raw_Data!C240</f>
        <v/>
      </c>
      <c r="D240" s="2">
        <f>Raw_Data!D240</f>
        <v/>
      </c>
      <c r="E240" s="8">
        <f>Raw_Data!F240</f>
        <v/>
      </c>
      <c r="F240" s="7">
        <f>Raw_Data!H240</f>
        <v/>
      </c>
      <c r="G240" s="7">
        <f>Raw_Data!I240</f>
        <v/>
      </c>
      <c r="H240" s="2">
        <f>Raw_Data!J240</f>
        <v/>
      </c>
      <c r="I240" s="2">
        <f>IF(G240="",0,G240-B240)</f>
        <v/>
      </c>
      <c r="J240" s="2">
        <f>IF(H240="Paid",MAX(0,G240-F240),MAX(0,DATE(2026,12,31)-F240))</f>
        <v/>
      </c>
      <c r="K240" s="8">
        <f>IF(H240="Paid",0,E240)</f>
        <v/>
      </c>
      <c r="L240" s="2">
        <f>IF(J240=0,"Current",IF(J240&lt;=30,"1-30 Days",IF(J240&lt;=60,"31-60 Days",IF(J240&lt;=90,"61-90 Days","90+ Days"))))</f>
        <v/>
      </c>
      <c r="M240" s="8">
        <f>IF(Raw_Data!K240="Yes",Raw_Data!F240*Raw_Data!L240,0)</f>
        <v/>
      </c>
      <c r="N240" s="2">
        <f>IF(H240&lt;&gt;"Paid","Outstanding",IF(J240=0,"On Time","Late"))</f>
        <v/>
      </c>
    </row>
    <row r="241">
      <c r="A241" s="2">
        <f>Raw_Data!A241</f>
        <v/>
      </c>
      <c r="B241" s="7">
        <f>Raw_Data!B241</f>
        <v/>
      </c>
      <c r="C241" s="2">
        <f>Raw_Data!C241</f>
        <v/>
      </c>
      <c r="D241" s="2">
        <f>Raw_Data!D241</f>
        <v/>
      </c>
      <c r="E241" s="8">
        <f>Raw_Data!F241</f>
        <v/>
      </c>
      <c r="F241" s="7">
        <f>Raw_Data!H241</f>
        <v/>
      </c>
      <c r="G241" s="7">
        <f>Raw_Data!I241</f>
        <v/>
      </c>
      <c r="H241" s="2">
        <f>Raw_Data!J241</f>
        <v/>
      </c>
      <c r="I241" s="2">
        <f>IF(G241="",0,G241-B241)</f>
        <v/>
      </c>
      <c r="J241" s="2">
        <f>IF(H241="Paid",MAX(0,G241-F241),MAX(0,DATE(2026,12,31)-F241))</f>
        <v/>
      </c>
      <c r="K241" s="8">
        <f>IF(H241="Paid",0,E241)</f>
        <v/>
      </c>
      <c r="L241" s="2">
        <f>IF(J241=0,"Current",IF(J241&lt;=30,"1-30 Days",IF(J241&lt;=60,"31-60 Days",IF(J241&lt;=90,"61-90 Days","90+ Days"))))</f>
        <v/>
      </c>
      <c r="M241" s="8">
        <f>IF(Raw_Data!K241="Yes",Raw_Data!F241*Raw_Data!L241,0)</f>
        <v/>
      </c>
      <c r="N241" s="2">
        <f>IF(H241&lt;&gt;"Paid","Outstanding",IF(J241=0,"On Time","Late"))</f>
        <v/>
      </c>
    </row>
    <row r="242">
      <c r="A242" s="2">
        <f>Raw_Data!A242</f>
        <v/>
      </c>
      <c r="B242" s="7">
        <f>Raw_Data!B242</f>
        <v/>
      </c>
      <c r="C242" s="2">
        <f>Raw_Data!C242</f>
        <v/>
      </c>
      <c r="D242" s="2">
        <f>Raw_Data!D242</f>
        <v/>
      </c>
      <c r="E242" s="8">
        <f>Raw_Data!F242</f>
        <v/>
      </c>
      <c r="F242" s="7">
        <f>Raw_Data!H242</f>
        <v/>
      </c>
      <c r="G242" s="7">
        <f>Raw_Data!I242</f>
        <v/>
      </c>
      <c r="H242" s="2">
        <f>Raw_Data!J242</f>
        <v/>
      </c>
      <c r="I242" s="2">
        <f>IF(G242="",0,G242-B242)</f>
        <v/>
      </c>
      <c r="J242" s="2">
        <f>IF(H242="Paid",MAX(0,G242-F242),MAX(0,DATE(2026,12,31)-F242))</f>
        <v/>
      </c>
      <c r="K242" s="8">
        <f>IF(H242="Paid",0,E242)</f>
        <v/>
      </c>
      <c r="L242" s="2">
        <f>IF(J242=0,"Current",IF(J242&lt;=30,"1-30 Days",IF(J242&lt;=60,"31-60 Days",IF(J242&lt;=90,"61-90 Days","90+ Days"))))</f>
        <v/>
      </c>
      <c r="M242" s="8">
        <f>IF(Raw_Data!K242="Yes",Raw_Data!F242*Raw_Data!L242,0)</f>
        <v/>
      </c>
      <c r="N242" s="2">
        <f>IF(H242&lt;&gt;"Paid","Outstanding",IF(J242=0,"On Time","Late"))</f>
        <v/>
      </c>
    </row>
    <row r="243">
      <c r="A243" s="2">
        <f>Raw_Data!A243</f>
        <v/>
      </c>
      <c r="B243" s="7">
        <f>Raw_Data!B243</f>
        <v/>
      </c>
      <c r="C243" s="2">
        <f>Raw_Data!C243</f>
        <v/>
      </c>
      <c r="D243" s="2">
        <f>Raw_Data!D243</f>
        <v/>
      </c>
      <c r="E243" s="8">
        <f>Raw_Data!F243</f>
        <v/>
      </c>
      <c r="F243" s="7">
        <f>Raw_Data!H243</f>
        <v/>
      </c>
      <c r="G243" s="7">
        <f>Raw_Data!I243</f>
        <v/>
      </c>
      <c r="H243" s="2">
        <f>Raw_Data!J243</f>
        <v/>
      </c>
      <c r="I243" s="2">
        <f>IF(G243="",0,G243-B243)</f>
        <v/>
      </c>
      <c r="J243" s="2">
        <f>IF(H243="Paid",MAX(0,G243-F243),MAX(0,DATE(2026,12,31)-F243))</f>
        <v/>
      </c>
      <c r="K243" s="8">
        <f>IF(H243="Paid",0,E243)</f>
        <v/>
      </c>
      <c r="L243" s="2">
        <f>IF(J243=0,"Current",IF(J243&lt;=30,"1-30 Days",IF(J243&lt;=60,"31-60 Days",IF(J243&lt;=90,"61-90 Days","90+ Days"))))</f>
        <v/>
      </c>
      <c r="M243" s="8">
        <f>IF(Raw_Data!K243="Yes",Raw_Data!F243*Raw_Data!L243,0)</f>
        <v/>
      </c>
      <c r="N243" s="2">
        <f>IF(H243&lt;&gt;"Paid","Outstanding",IF(J243=0,"On Time","Late"))</f>
        <v/>
      </c>
    </row>
    <row r="244">
      <c r="A244" s="2">
        <f>Raw_Data!A244</f>
        <v/>
      </c>
      <c r="B244" s="7">
        <f>Raw_Data!B244</f>
        <v/>
      </c>
      <c r="C244" s="2">
        <f>Raw_Data!C244</f>
        <v/>
      </c>
      <c r="D244" s="2">
        <f>Raw_Data!D244</f>
        <v/>
      </c>
      <c r="E244" s="8">
        <f>Raw_Data!F244</f>
        <v/>
      </c>
      <c r="F244" s="7">
        <f>Raw_Data!H244</f>
        <v/>
      </c>
      <c r="G244" s="7">
        <f>Raw_Data!I244</f>
        <v/>
      </c>
      <c r="H244" s="2">
        <f>Raw_Data!J244</f>
        <v/>
      </c>
      <c r="I244" s="2">
        <f>IF(G244="",0,G244-B244)</f>
        <v/>
      </c>
      <c r="J244" s="2">
        <f>IF(H244="Paid",MAX(0,G244-F244),MAX(0,DATE(2026,12,31)-F244))</f>
        <v/>
      </c>
      <c r="K244" s="8">
        <f>IF(H244="Paid",0,E244)</f>
        <v/>
      </c>
      <c r="L244" s="2">
        <f>IF(J244=0,"Current",IF(J244&lt;=30,"1-30 Days",IF(J244&lt;=60,"31-60 Days",IF(J244&lt;=90,"61-90 Days","90+ Days"))))</f>
        <v/>
      </c>
      <c r="M244" s="8">
        <f>IF(Raw_Data!K244="Yes",Raw_Data!F244*Raw_Data!L244,0)</f>
        <v/>
      </c>
      <c r="N244" s="2">
        <f>IF(H244&lt;&gt;"Paid","Outstanding",IF(J244=0,"On Time","Late"))</f>
        <v/>
      </c>
    </row>
    <row r="245">
      <c r="A245" s="2">
        <f>Raw_Data!A245</f>
        <v/>
      </c>
      <c r="B245" s="7">
        <f>Raw_Data!B245</f>
        <v/>
      </c>
      <c r="C245" s="2">
        <f>Raw_Data!C245</f>
        <v/>
      </c>
      <c r="D245" s="2">
        <f>Raw_Data!D245</f>
        <v/>
      </c>
      <c r="E245" s="8">
        <f>Raw_Data!F245</f>
        <v/>
      </c>
      <c r="F245" s="7">
        <f>Raw_Data!H245</f>
        <v/>
      </c>
      <c r="G245" s="7">
        <f>Raw_Data!I245</f>
        <v/>
      </c>
      <c r="H245" s="2">
        <f>Raw_Data!J245</f>
        <v/>
      </c>
      <c r="I245" s="2">
        <f>IF(G245="",0,G245-B245)</f>
        <v/>
      </c>
      <c r="J245" s="2">
        <f>IF(H245="Paid",MAX(0,G245-F245),MAX(0,DATE(2026,12,31)-F245))</f>
        <v/>
      </c>
      <c r="K245" s="8">
        <f>IF(H245="Paid",0,E245)</f>
        <v/>
      </c>
      <c r="L245" s="2">
        <f>IF(J245=0,"Current",IF(J245&lt;=30,"1-30 Days",IF(J245&lt;=60,"31-60 Days",IF(J245&lt;=90,"61-90 Days","90+ Days"))))</f>
        <v/>
      </c>
      <c r="M245" s="8">
        <f>IF(Raw_Data!K245="Yes",Raw_Data!F245*Raw_Data!L245,0)</f>
        <v/>
      </c>
      <c r="N245" s="2">
        <f>IF(H245&lt;&gt;"Paid","Outstanding",IF(J245=0,"On Time","Late"))</f>
        <v/>
      </c>
    </row>
    <row r="246">
      <c r="A246" s="2">
        <f>Raw_Data!A246</f>
        <v/>
      </c>
      <c r="B246" s="7">
        <f>Raw_Data!B246</f>
        <v/>
      </c>
      <c r="C246" s="2">
        <f>Raw_Data!C246</f>
        <v/>
      </c>
      <c r="D246" s="2">
        <f>Raw_Data!D246</f>
        <v/>
      </c>
      <c r="E246" s="8">
        <f>Raw_Data!F246</f>
        <v/>
      </c>
      <c r="F246" s="7">
        <f>Raw_Data!H246</f>
        <v/>
      </c>
      <c r="G246" s="7">
        <f>Raw_Data!I246</f>
        <v/>
      </c>
      <c r="H246" s="2">
        <f>Raw_Data!J246</f>
        <v/>
      </c>
      <c r="I246" s="2">
        <f>IF(G246="",0,G246-B246)</f>
        <v/>
      </c>
      <c r="J246" s="2">
        <f>IF(H246="Paid",MAX(0,G246-F246),MAX(0,DATE(2026,12,31)-F246))</f>
        <v/>
      </c>
      <c r="K246" s="8">
        <f>IF(H246="Paid",0,E246)</f>
        <v/>
      </c>
      <c r="L246" s="2">
        <f>IF(J246=0,"Current",IF(J246&lt;=30,"1-30 Days",IF(J246&lt;=60,"31-60 Days",IF(J246&lt;=90,"61-90 Days","90+ Days"))))</f>
        <v/>
      </c>
      <c r="M246" s="8">
        <f>IF(Raw_Data!K246="Yes",Raw_Data!F246*Raw_Data!L246,0)</f>
        <v/>
      </c>
      <c r="N246" s="2">
        <f>IF(H246&lt;&gt;"Paid","Outstanding",IF(J246=0,"On Time","Late"))</f>
        <v/>
      </c>
    </row>
    <row r="247">
      <c r="A247" s="2">
        <f>Raw_Data!A247</f>
        <v/>
      </c>
      <c r="B247" s="7">
        <f>Raw_Data!B247</f>
        <v/>
      </c>
      <c r="C247" s="2">
        <f>Raw_Data!C247</f>
        <v/>
      </c>
      <c r="D247" s="2">
        <f>Raw_Data!D247</f>
        <v/>
      </c>
      <c r="E247" s="8">
        <f>Raw_Data!F247</f>
        <v/>
      </c>
      <c r="F247" s="7">
        <f>Raw_Data!H247</f>
        <v/>
      </c>
      <c r="G247" s="7">
        <f>Raw_Data!I247</f>
        <v/>
      </c>
      <c r="H247" s="2">
        <f>Raw_Data!J247</f>
        <v/>
      </c>
      <c r="I247" s="2">
        <f>IF(G247="",0,G247-B247)</f>
        <v/>
      </c>
      <c r="J247" s="2">
        <f>IF(H247="Paid",MAX(0,G247-F247),MAX(0,DATE(2026,12,31)-F247))</f>
        <v/>
      </c>
      <c r="K247" s="8">
        <f>IF(H247="Paid",0,E247)</f>
        <v/>
      </c>
      <c r="L247" s="2">
        <f>IF(J247=0,"Current",IF(J247&lt;=30,"1-30 Days",IF(J247&lt;=60,"31-60 Days",IF(J247&lt;=90,"61-90 Days","90+ Days"))))</f>
        <v/>
      </c>
      <c r="M247" s="8">
        <f>IF(Raw_Data!K247="Yes",Raw_Data!F247*Raw_Data!L247,0)</f>
        <v/>
      </c>
      <c r="N247" s="2">
        <f>IF(H247&lt;&gt;"Paid","Outstanding",IF(J247=0,"On Time","Late"))</f>
        <v/>
      </c>
    </row>
    <row r="248">
      <c r="A248" s="2">
        <f>Raw_Data!A248</f>
        <v/>
      </c>
      <c r="B248" s="7">
        <f>Raw_Data!B248</f>
        <v/>
      </c>
      <c r="C248" s="2">
        <f>Raw_Data!C248</f>
        <v/>
      </c>
      <c r="D248" s="2">
        <f>Raw_Data!D248</f>
        <v/>
      </c>
      <c r="E248" s="8">
        <f>Raw_Data!F248</f>
        <v/>
      </c>
      <c r="F248" s="7">
        <f>Raw_Data!H248</f>
        <v/>
      </c>
      <c r="G248" s="7">
        <f>Raw_Data!I248</f>
        <v/>
      </c>
      <c r="H248" s="2">
        <f>Raw_Data!J248</f>
        <v/>
      </c>
      <c r="I248" s="2">
        <f>IF(G248="",0,G248-B248)</f>
        <v/>
      </c>
      <c r="J248" s="2">
        <f>IF(H248="Paid",MAX(0,G248-F248),MAX(0,DATE(2026,12,31)-F248))</f>
        <v/>
      </c>
      <c r="K248" s="8">
        <f>IF(H248="Paid",0,E248)</f>
        <v/>
      </c>
      <c r="L248" s="2">
        <f>IF(J248=0,"Current",IF(J248&lt;=30,"1-30 Days",IF(J248&lt;=60,"31-60 Days",IF(J248&lt;=90,"61-90 Days","90+ Days"))))</f>
        <v/>
      </c>
      <c r="M248" s="8">
        <f>IF(Raw_Data!K248="Yes",Raw_Data!F248*Raw_Data!L248,0)</f>
        <v/>
      </c>
      <c r="N248" s="2">
        <f>IF(H248&lt;&gt;"Paid","Outstanding",IF(J248=0,"On Time","Late"))</f>
        <v/>
      </c>
    </row>
    <row r="249">
      <c r="A249" s="2">
        <f>Raw_Data!A249</f>
        <v/>
      </c>
      <c r="B249" s="7">
        <f>Raw_Data!B249</f>
        <v/>
      </c>
      <c r="C249" s="2">
        <f>Raw_Data!C249</f>
        <v/>
      </c>
      <c r="D249" s="2">
        <f>Raw_Data!D249</f>
        <v/>
      </c>
      <c r="E249" s="8">
        <f>Raw_Data!F249</f>
        <v/>
      </c>
      <c r="F249" s="7">
        <f>Raw_Data!H249</f>
        <v/>
      </c>
      <c r="G249" s="7">
        <f>Raw_Data!I249</f>
        <v/>
      </c>
      <c r="H249" s="2">
        <f>Raw_Data!J249</f>
        <v/>
      </c>
      <c r="I249" s="2">
        <f>IF(G249="",0,G249-B249)</f>
        <v/>
      </c>
      <c r="J249" s="2">
        <f>IF(H249="Paid",MAX(0,G249-F249),MAX(0,DATE(2026,12,31)-F249))</f>
        <v/>
      </c>
      <c r="K249" s="8">
        <f>IF(H249="Paid",0,E249)</f>
        <v/>
      </c>
      <c r="L249" s="2">
        <f>IF(J249=0,"Current",IF(J249&lt;=30,"1-30 Days",IF(J249&lt;=60,"31-60 Days",IF(J249&lt;=90,"61-90 Days","90+ Days"))))</f>
        <v/>
      </c>
      <c r="M249" s="8">
        <f>IF(Raw_Data!K249="Yes",Raw_Data!F249*Raw_Data!L249,0)</f>
        <v/>
      </c>
      <c r="N249" s="2">
        <f>IF(H249&lt;&gt;"Paid","Outstanding",IF(J249=0,"On Time","Late"))</f>
        <v/>
      </c>
    </row>
    <row r="250">
      <c r="A250" s="2">
        <f>Raw_Data!A250</f>
        <v/>
      </c>
      <c r="B250" s="7">
        <f>Raw_Data!B250</f>
        <v/>
      </c>
      <c r="C250" s="2">
        <f>Raw_Data!C250</f>
        <v/>
      </c>
      <c r="D250" s="2">
        <f>Raw_Data!D250</f>
        <v/>
      </c>
      <c r="E250" s="8">
        <f>Raw_Data!F250</f>
        <v/>
      </c>
      <c r="F250" s="7">
        <f>Raw_Data!H250</f>
        <v/>
      </c>
      <c r="G250" s="7">
        <f>Raw_Data!I250</f>
        <v/>
      </c>
      <c r="H250" s="2">
        <f>Raw_Data!J250</f>
        <v/>
      </c>
      <c r="I250" s="2">
        <f>IF(G250="",0,G250-B250)</f>
        <v/>
      </c>
      <c r="J250" s="2">
        <f>IF(H250="Paid",MAX(0,G250-F250),MAX(0,DATE(2026,12,31)-F250))</f>
        <v/>
      </c>
      <c r="K250" s="8">
        <f>IF(H250="Paid",0,E250)</f>
        <v/>
      </c>
      <c r="L250" s="2">
        <f>IF(J250=0,"Current",IF(J250&lt;=30,"1-30 Days",IF(J250&lt;=60,"31-60 Days",IF(J250&lt;=90,"61-90 Days","90+ Days"))))</f>
        <v/>
      </c>
      <c r="M250" s="8">
        <f>IF(Raw_Data!K250="Yes",Raw_Data!F250*Raw_Data!L250,0)</f>
        <v/>
      </c>
      <c r="N250" s="2">
        <f>IF(H250&lt;&gt;"Paid","Outstanding",IF(J250=0,"On Time","Late"))</f>
        <v/>
      </c>
    </row>
    <row r="251">
      <c r="A251" s="2">
        <f>Raw_Data!A251</f>
        <v/>
      </c>
      <c r="B251" s="7">
        <f>Raw_Data!B251</f>
        <v/>
      </c>
      <c r="C251" s="2">
        <f>Raw_Data!C251</f>
        <v/>
      </c>
      <c r="D251" s="2">
        <f>Raw_Data!D251</f>
        <v/>
      </c>
      <c r="E251" s="8">
        <f>Raw_Data!F251</f>
        <v/>
      </c>
      <c r="F251" s="7">
        <f>Raw_Data!H251</f>
        <v/>
      </c>
      <c r="G251" s="7">
        <f>Raw_Data!I251</f>
        <v/>
      </c>
      <c r="H251" s="2">
        <f>Raw_Data!J251</f>
        <v/>
      </c>
      <c r="I251" s="2">
        <f>IF(G251="",0,G251-B251)</f>
        <v/>
      </c>
      <c r="J251" s="2">
        <f>IF(H251="Paid",MAX(0,G251-F251),MAX(0,DATE(2026,12,31)-F251))</f>
        <v/>
      </c>
      <c r="K251" s="8">
        <f>IF(H251="Paid",0,E251)</f>
        <v/>
      </c>
      <c r="L251" s="2">
        <f>IF(J251=0,"Current",IF(J251&lt;=30,"1-30 Days",IF(J251&lt;=60,"31-60 Days",IF(J251&lt;=90,"61-90 Days","90+ Days"))))</f>
        <v/>
      </c>
      <c r="M251" s="8">
        <f>IF(Raw_Data!K251="Yes",Raw_Data!F251*Raw_Data!L251,0)</f>
        <v/>
      </c>
      <c r="N251" s="2">
        <f>IF(H251&lt;&gt;"Paid","Outstanding",IF(J251=0,"On Time","Late"))</f>
        <v/>
      </c>
    </row>
    <row r="252">
      <c r="A252" s="2">
        <f>Raw_Data!A252</f>
        <v/>
      </c>
      <c r="B252" s="7">
        <f>Raw_Data!B252</f>
        <v/>
      </c>
      <c r="C252" s="2">
        <f>Raw_Data!C252</f>
        <v/>
      </c>
      <c r="D252" s="2">
        <f>Raw_Data!D252</f>
        <v/>
      </c>
      <c r="E252" s="8">
        <f>Raw_Data!F252</f>
        <v/>
      </c>
      <c r="F252" s="7">
        <f>Raw_Data!H252</f>
        <v/>
      </c>
      <c r="G252" s="7">
        <f>Raw_Data!I252</f>
        <v/>
      </c>
      <c r="H252" s="2">
        <f>Raw_Data!J252</f>
        <v/>
      </c>
      <c r="I252" s="2">
        <f>IF(G252="",0,G252-B252)</f>
        <v/>
      </c>
      <c r="J252" s="2">
        <f>IF(H252="Paid",MAX(0,G252-F252),MAX(0,DATE(2026,12,31)-F252))</f>
        <v/>
      </c>
      <c r="K252" s="8">
        <f>IF(H252="Paid",0,E252)</f>
        <v/>
      </c>
      <c r="L252" s="2">
        <f>IF(J252=0,"Current",IF(J252&lt;=30,"1-30 Days",IF(J252&lt;=60,"31-60 Days",IF(J252&lt;=90,"61-90 Days","90+ Days"))))</f>
        <v/>
      </c>
      <c r="M252" s="8">
        <f>IF(Raw_Data!K252="Yes",Raw_Data!F252*Raw_Data!L252,0)</f>
        <v/>
      </c>
      <c r="N252" s="2">
        <f>IF(H252&lt;&gt;"Paid","Outstanding",IF(J252=0,"On Time","Late"))</f>
        <v/>
      </c>
    </row>
    <row r="253">
      <c r="A253" s="2">
        <f>Raw_Data!A253</f>
        <v/>
      </c>
      <c r="B253" s="7">
        <f>Raw_Data!B253</f>
        <v/>
      </c>
      <c r="C253" s="2">
        <f>Raw_Data!C253</f>
        <v/>
      </c>
      <c r="D253" s="2">
        <f>Raw_Data!D253</f>
        <v/>
      </c>
      <c r="E253" s="8">
        <f>Raw_Data!F253</f>
        <v/>
      </c>
      <c r="F253" s="7">
        <f>Raw_Data!H253</f>
        <v/>
      </c>
      <c r="G253" s="7">
        <f>Raw_Data!I253</f>
        <v/>
      </c>
      <c r="H253" s="2">
        <f>Raw_Data!J253</f>
        <v/>
      </c>
      <c r="I253" s="2">
        <f>IF(G253="",0,G253-B253)</f>
        <v/>
      </c>
      <c r="J253" s="2">
        <f>IF(H253="Paid",MAX(0,G253-F253),MAX(0,DATE(2026,12,31)-F253))</f>
        <v/>
      </c>
      <c r="K253" s="8">
        <f>IF(H253="Paid",0,E253)</f>
        <v/>
      </c>
      <c r="L253" s="2">
        <f>IF(J253=0,"Current",IF(J253&lt;=30,"1-30 Days",IF(J253&lt;=60,"31-60 Days",IF(J253&lt;=90,"61-90 Days","90+ Days"))))</f>
        <v/>
      </c>
      <c r="M253" s="8">
        <f>IF(Raw_Data!K253="Yes",Raw_Data!F253*Raw_Data!L253,0)</f>
        <v/>
      </c>
      <c r="N253" s="2">
        <f>IF(H253&lt;&gt;"Paid","Outstanding",IF(J253=0,"On Time","Late"))</f>
        <v/>
      </c>
    </row>
    <row r="254">
      <c r="A254" s="2">
        <f>Raw_Data!A254</f>
        <v/>
      </c>
      <c r="B254" s="7">
        <f>Raw_Data!B254</f>
        <v/>
      </c>
      <c r="C254" s="2">
        <f>Raw_Data!C254</f>
        <v/>
      </c>
      <c r="D254" s="2">
        <f>Raw_Data!D254</f>
        <v/>
      </c>
      <c r="E254" s="8">
        <f>Raw_Data!F254</f>
        <v/>
      </c>
      <c r="F254" s="7">
        <f>Raw_Data!H254</f>
        <v/>
      </c>
      <c r="G254" s="7">
        <f>Raw_Data!I254</f>
        <v/>
      </c>
      <c r="H254" s="2">
        <f>Raw_Data!J254</f>
        <v/>
      </c>
      <c r="I254" s="2">
        <f>IF(G254="",0,G254-B254)</f>
        <v/>
      </c>
      <c r="J254" s="2">
        <f>IF(H254="Paid",MAX(0,G254-F254),MAX(0,DATE(2026,12,31)-F254))</f>
        <v/>
      </c>
      <c r="K254" s="8">
        <f>IF(H254="Paid",0,E254)</f>
        <v/>
      </c>
      <c r="L254" s="2">
        <f>IF(J254=0,"Current",IF(J254&lt;=30,"1-30 Days",IF(J254&lt;=60,"31-60 Days",IF(J254&lt;=90,"61-90 Days","90+ Days"))))</f>
        <v/>
      </c>
      <c r="M254" s="8">
        <f>IF(Raw_Data!K254="Yes",Raw_Data!F254*Raw_Data!L254,0)</f>
        <v/>
      </c>
      <c r="N254" s="2">
        <f>IF(H254&lt;&gt;"Paid","Outstanding",IF(J254=0,"On Time","Late"))</f>
        <v/>
      </c>
    </row>
    <row r="255">
      <c r="A255" s="2">
        <f>Raw_Data!A255</f>
        <v/>
      </c>
      <c r="B255" s="7">
        <f>Raw_Data!B255</f>
        <v/>
      </c>
      <c r="C255" s="2">
        <f>Raw_Data!C255</f>
        <v/>
      </c>
      <c r="D255" s="2">
        <f>Raw_Data!D255</f>
        <v/>
      </c>
      <c r="E255" s="8">
        <f>Raw_Data!F255</f>
        <v/>
      </c>
      <c r="F255" s="7">
        <f>Raw_Data!H255</f>
        <v/>
      </c>
      <c r="G255" s="7">
        <f>Raw_Data!I255</f>
        <v/>
      </c>
      <c r="H255" s="2">
        <f>Raw_Data!J255</f>
        <v/>
      </c>
      <c r="I255" s="2">
        <f>IF(G255="",0,G255-B255)</f>
        <v/>
      </c>
      <c r="J255" s="2">
        <f>IF(H255="Paid",MAX(0,G255-F255),MAX(0,DATE(2026,12,31)-F255))</f>
        <v/>
      </c>
      <c r="K255" s="8">
        <f>IF(H255="Paid",0,E255)</f>
        <v/>
      </c>
      <c r="L255" s="2">
        <f>IF(J255=0,"Current",IF(J255&lt;=30,"1-30 Days",IF(J255&lt;=60,"31-60 Days",IF(J255&lt;=90,"61-90 Days","90+ Days"))))</f>
        <v/>
      </c>
      <c r="M255" s="8">
        <f>IF(Raw_Data!K255="Yes",Raw_Data!F255*Raw_Data!L255,0)</f>
        <v/>
      </c>
      <c r="N255" s="2">
        <f>IF(H255&lt;&gt;"Paid","Outstanding",IF(J255=0,"On Time","Late"))</f>
        <v/>
      </c>
    </row>
    <row r="256">
      <c r="A256" s="2">
        <f>Raw_Data!A256</f>
        <v/>
      </c>
      <c r="B256" s="7">
        <f>Raw_Data!B256</f>
        <v/>
      </c>
      <c r="C256" s="2">
        <f>Raw_Data!C256</f>
        <v/>
      </c>
      <c r="D256" s="2">
        <f>Raw_Data!D256</f>
        <v/>
      </c>
      <c r="E256" s="8">
        <f>Raw_Data!F256</f>
        <v/>
      </c>
      <c r="F256" s="7">
        <f>Raw_Data!H256</f>
        <v/>
      </c>
      <c r="G256" s="7">
        <f>Raw_Data!I256</f>
        <v/>
      </c>
      <c r="H256" s="2">
        <f>Raw_Data!J256</f>
        <v/>
      </c>
      <c r="I256" s="2">
        <f>IF(G256="",0,G256-B256)</f>
        <v/>
      </c>
      <c r="J256" s="2">
        <f>IF(H256="Paid",MAX(0,G256-F256),MAX(0,DATE(2026,12,31)-F256))</f>
        <v/>
      </c>
      <c r="K256" s="8">
        <f>IF(H256="Paid",0,E256)</f>
        <v/>
      </c>
      <c r="L256" s="2">
        <f>IF(J256=0,"Current",IF(J256&lt;=30,"1-30 Days",IF(J256&lt;=60,"31-60 Days",IF(J256&lt;=90,"61-90 Days","90+ Days"))))</f>
        <v/>
      </c>
      <c r="M256" s="8">
        <f>IF(Raw_Data!K256="Yes",Raw_Data!F256*Raw_Data!L256,0)</f>
        <v/>
      </c>
      <c r="N256" s="2">
        <f>IF(H256&lt;&gt;"Paid","Outstanding",IF(J256=0,"On Time","Late"))</f>
        <v/>
      </c>
    </row>
    <row r="257">
      <c r="A257" s="2">
        <f>Raw_Data!A257</f>
        <v/>
      </c>
      <c r="B257" s="7">
        <f>Raw_Data!B257</f>
        <v/>
      </c>
      <c r="C257" s="2">
        <f>Raw_Data!C257</f>
        <v/>
      </c>
      <c r="D257" s="2">
        <f>Raw_Data!D257</f>
        <v/>
      </c>
      <c r="E257" s="8">
        <f>Raw_Data!F257</f>
        <v/>
      </c>
      <c r="F257" s="7">
        <f>Raw_Data!H257</f>
        <v/>
      </c>
      <c r="G257" s="7">
        <f>Raw_Data!I257</f>
        <v/>
      </c>
      <c r="H257" s="2">
        <f>Raw_Data!J257</f>
        <v/>
      </c>
      <c r="I257" s="2">
        <f>IF(G257="",0,G257-B257)</f>
        <v/>
      </c>
      <c r="J257" s="2">
        <f>IF(H257="Paid",MAX(0,G257-F257),MAX(0,DATE(2026,12,31)-F257))</f>
        <v/>
      </c>
      <c r="K257" s="8">
        <f>IF(H257="Paid",0,E257)</f>
        <v/>
      </c>
      <c r="L257" s="2">
        <f>IF(J257=0,"Current",IF(J257&lt;=30,"1-30 Days",IF(J257&lt;=60,"31-60 Days",IF(J257&lt;=90,"61-90 Days","90+ Days"))))</f>
        <v/>
      </c>
      <c r="M257" s="8">
        <f>IF(Raw_Data!K257="Yes",Raw_Data!F257*Raw_Data!L257,0)</f>
        <v/>
      </c>
      <c r="N257" s="2">
        <f>IF(H257&lt;&gt;"Paid","Outstanding",IF(J257=0,"On Time","Late"))</f>
        <v/>
      </c>
    </row>
    <row r="258">
      <c r="A258" s="2">
        <f>Raw_Data!A258</f>
        <v/>
      </c>
      <c r="B258" s="7">
        <f>Raw_Data!B258</f>
        <v/>
      </c>
      <c r="C258" s="2">
        <f>Raw_Data!C258</f>
        <v/>
      </c>
      <c r="D258" s="2">
        <f>Raw_Data!D258</f>
        <v/>
      </c>
      <c r="E258" s="8">
        <f>Raw_Data!F258</f>
        <v/>
      </c>
      <c r="F258" s="7">
        <f>Raw_Data!H258</f>
        <v/>
      </c>
      <c r="G258" s="7">
        <f>Raw_Data!I258</f>
        <v/>
      </c>
      <c r="H258" s="2">
        <f>Raw_Data!J258</f>
        <v/>
      </c>
      <c r="I258" s="2">
        <f>IF(G258="",0,G258-B258)</f>
        <v/>
      </c>
      <c r="J258" s="2">
        <f>IF(H258="Paid",MAX(0,G258-F258),MAX(0,DATE(2026,12,31)-F258))</f>
        <v/>
      </c>
      <c r="K258" s="8">
        <f>IF(H258="Paid",0,E258)</f>
        <v/>
      </c>
      <c r="L258" s="2">
        <f>IF(J258=0,"Current",IF(J258&lt;=30,"1-30 Days",IF(J258&lt;=60,"31-60 Days",IF(J258&lt;=90,"61-90 Days","90+ Days"))))</f>
        <v/>
      </c>
      <c r="M258" s="8">
        <f>IF(Raw_Data!K258="Yes",Raw_Data!F258*Raw_Data!L258,0)</f>
        <v/>
      </c>
      <c r="N258" s="2">
        <f>IF(H258&lt;&gt;"Paid","Outstanding",IF(J258=0,"On Time","Late"))</f>
        <v/>
      </c>
    </row>
    <row r="259">
      <c r="A259" s="2">
        <f>Raw_Data!A259</f>
        <v/>
      </c>
      <c r="B259" s="7">
        <f>Raw_Data!B259</f>
        <v/>
      </c>
      <c r="C259" s="2">
        <f>Raw_Data!C259</f>
        <v/>
      </c>
      <c r="D259" s="2">
        <f>Raw_Data!D259</f>
        <v/>
      </c>
      <c r="E259" s="8">
        <f>Raw_Data!F259</f>
        <v/>
      </c>
      <c r="F259" s="7">
        <f>Raw_Data!H259</f>
        <v/>
      </c>
      <c r="G259" s="7">
        <f>Raw_Data!I259</f>
        <v/>
      </c>
      <c r="H259" s="2">
        <f>Raw_Data!J259</f>
        <v/>
      </c>
      <c r="I259" s="2">
        <f>IF(G259="",0,G259-B259)</f>
        <v/>
      </c>
      <c r="J259" s="2">
        <f>IF(H259="Paid",MAX(0,G259-F259),MAX(0,DATE(2026,12,31)-F259))</f>
        <v/>
      </c>
      <c r="K259" s="8">
        <f>IF(H259="Paid",0,E259)</f>
        <v/>
      </c>
      <c r="L259" s="2">
        <f>IF(J259=0,"Current",IF(J259&lt;=30,"1-30 Days",IF(J259&lt;=60,"31-60 Days",IF(J259&lt;=90,"61-90 Days","90+ Days"))))</f>
        <v/>
      </c>
      <c r="M259" s="8">
        <f>IF(Raw_Data!K259="Yes",Raw_Data!F259*Raw_Data!L259,0)</f>
        <v/>
      </c>
      <c r="N259" s="2">
        <f>IF(H259&lt;&gt;"Paid","Outstanding",IF(J259=0,"On Time","Late"))</f>
        <v/>
      </c>
    </row>
    <row r="260">
      <c r="A260" s="2">
        <f>Raw_Data!A260</f>
        <v/>
      </c>
      <c r="B260" s="7">
        <f>Raw_Data!B260</f>
        <v/>
      </c>
      <c r="C260" s="2">
        <f>Raw_Data!C260</f>
        <v/>
      </c>
      <c r="D260" s="2">
        <f>Raw_Data!D260</f>
        <v/>
      </c>
      <c r="E260" s="8">
        <f>Raw_Data!F260</f>
        <v/>
      </c>
      <c r="F260" s="7">
        <f>Raw_Data!H260</f>
        <v/>
      </c>
      <c r="G260" s="7">
        <f>Raw_Data!I260</f>
        <v/>
      </c>
      <c r="H260" s="2">
        <f>Raw_Data!J260</f>
        <v/>
      </c>
      <c r="I260" s="2">
        <f>IF(G260="",0,G260-B260)</f>
        <v/>
      </c>
      <c r="J260" s="2">
        <f>IF(H260="Paid",MAX(0,G260-F260),MAX(0,DATE(2026,12,31)-F260))</f>
        <v/>
      </c>
      <c r="K260" s="8">
        <f>IF(H260="Paid",0,E260)</f>
        <v/>
      </c>
      <c r="L260" s="2">
        <f>IF(J260=0,"Current",IF(J260&lt;=30,"1-30 Days",IF(J260&lt;=60,"31-60 Days",IF(J260&lt;=90,"61-90 Days","90+ Days"))))</f>
        <v/>
      </c>
      <c r="M260" s="8">
        <f>IF(Raw_Data!K260="Yes",Raw_Data!F260*Raw_Data!L260,0)</f>
        <v/>
      </c>
      <c r="N260" s="2">
        <f>IF(H260&lt;&gt;"Paid","Outstanding",IF(J260=0,"On Time","Late"))</f>
        <v/>
      </c>
    </row>
    <row r="261">
      <c r="A261" s="2">
        <f>Raw_Data!A261</f>
        <v/>
      </c>
      <c r="B261" s="7">
        <f>Raw_Data!B261</f>
        <v/>
      </c>
      <c r="C261" s="2">
        <f>Raw_Data!C261</f>
        <v/>
      </c>
      <c r="D261" s="2">
        <f>Raw_Data!D261</f>
        <v/>
      </c>
      <c r="E261" s="8">
        <f>Raw_Data!F261</f>
        <v/>
      </c>
      <c r="F261" s="7">
        <f>Raw_Data!H261</f>
        <v/>
      </c>
      <c r="G261" s="7">
        <f>Raw_Data!I261</f>
        <v/>
      </c>
      <c r="H261" s="2">
        <f>Raw_Data!J261</f>
        <v/>
      </c>
      <c r="I261" s="2">
        <f>IF(G261="",0,G261-B261)</f>
        <v/>
      </c>
      <c r="J261" s="2">
        <f>IF(H261="Paid",MAX(0,G261-F261),MAX(0,DATE(2026,12,31)-F261))</f>
        <v/>
      </c>
      <c r="K261" s="8">
        <f>IF(H261="Paid",0,E261)</f>
        <v/>
      </c>
      <c r="L261" s="2">
        <f>IF(J261=0,"Current",IF(J261&lt;=30,"1-30 Days",IF(J261&lt;=60,"31-60 Days",IF(J261&lt;=90,"61-90 Days","90+ Days"))))</f>
        <v/>
      </c>
      <c r="M261" s="8">
        <f>IF(Raw_Data!K261="Yes",Raw_Data!F261*Raw_Data!L261,0)</f>
        <v/>
      </c>
      <c r="N261" s="2">
        <f>IF(H261&lt;&gt;"Paid","Outstanding",IF(J261=0,"On Time","Late"))</f>
        <v/>
      </c>
    </row>
    <row r="262">
      <c r="A262" s="2">
        <f>Raw_Data!A262</f>
        <v/>
      </c>
      <c r="B262" s="7">
        <f>Raw_Data!B262</f>
        <v/>
      </c>
      <c r="C262" s="2">
        <f>Raw_Data!C262</f>
        <v/>
      </c>
      <c r="D262" s="2">
        <f>Raw_Data!D262</f>
        <v/>
      </c>
      <c r="E262" s="8">
        <f>Raw_Data!F262</f>
        <v/>
      </c>
      <c r="F262" s="7">
        <f>Raw_Data!H262</f>
        <v/>
      </c>
      <c r="G262" s="7">
        <f>Raw_Data!I262</f>
        <v/>
      </c>
      <c r="H262" s="2">
        <f>Raw_Data!J262</f>
        <v/>
      </c>
      <c r="I262" s="2">
        <f>IF(G262="",0,G262-B262)</f>
        <v/>
      </c>
      <c r="J262" s="2">
        <f>IF(H262="Paid",MAX(0,G262-F262),MAX(0,DATE(2026,12,31)-F262))</f>
        <v/>
      </c>
      <c r="K262" s="8">
        <f>IF(H262="Paid",0,E262)</f>
        <v/>
      </c>
      <c r="L262" s="2">
        <f>IF(J262=0,"Current",IF(J262&lt;=30,"1-30 Days",IF(J262&lt;=60,"31-60 Days",IF(J262&lt;=90,"61-90 Days","90+ Days"))))</f>
        <v/>
      </c>
      <c r="M262" s="8">
        <f>IF(Raw_Data!K262="Yes",Raw_Data!F262*Raw_Data!L262,0)</f>
        <v/>
      </c>
      <c r="N262" s="2">
        <f>IF(H262&lt;&gt;"Paid","Outstanding",IF(J262=0,"On Time","Late"))</f>
        <v/>
      </c>
    </row>
    <row r="263">
      <c r="A263" s="2">
        <f>Raw_Data!A263</f>
        <v/>
      </c>
      <c r="B263" s="7">
        <f>Raw_Data!B263</f>
        <v/>
      </c>
      <c r="C263" s="2">
        <f>Raw_Data!C263</f>
        <v/>
      </c>
      <c r="D263" s="2">
        <f>Raw_Data!D263</f>
        <v/>
      </c>
      <c r="E263" s="8">
        <f>Raw_Data!F263</f>
        <v/>
      </c>
      <c r="F263" s="7">
        <f>Raw_Data!H263</f>
        <v/>
      </c>
      <c r="G263" s="7">
        <f>Raw_Data!I263</f>
        <v/>
      </c>
      <c r="H263" s="2">
        <f>Raw_Data!J263</f>
        <v/>
      </c>
      <c r="I263" s="2">
        <f>IF(G263="",0,G263-B263)</f>
        <v/>
      </c>
      <c r="J263" s="2">
        <f>IF(H263="Paid",MAX(0,G263-F263),MAX(0,DATE(2026,12,31)-F263))</f>
        <v/>
      </c>
      <c r="K263" s="8">
        <f>IF(H263="Paid",0,E263)</f>
        <v/>
      </c>
      <c r="L263" s="2">
        <f>IF(J263=0,"Current",IF(J263&lt;=30,"1-30 Days",IF(J263&lt;=60,"31-60 Days",IF(J263&lt;=90,"61-90 Days","90+ Days"))))</f>
        <v/>
      </c>
      <c r="M263" s="8">
        <f>IF(Raw_Data!K263="Yes",Raw_Data!F263*Raw_Data!L263,0)</f>
        <v/>
      </c>
      <c r="N263" s="2">
        <f>IF(H263&lt;&gt;"Paid","Outstanding",IF(J263=0,"On Time","Late"))</f>
        <v/>
      </c>
    </row>
    <row r="264">
      <c r="A264" s="2">
        <f>Raw_Data!A264</f>
        <v/>
      </c>
      <c r="B264" s="7">
        <f>Raw_Data!B264</f>
        <v/>
      </c>
      <c r="C264" s="2">
        <f>Raw_Data!C264</f>
        <v/>
      </c>
      <c r="D264" s="2">
        <f>Raw_Data!D264</f>
        <v/>
      </c>
      <c r="E264" s="8">
        <f>Raw_Data!F264</f>
        <v/>
      </c>
      <c r="F264" s="7">
        <f>Raw_Data!H264</f>
        <v/>
      </c>
      <c r="G264" s="7">
        <f>Raw_Data!I264</f>
        <v/>
      </c>
      <c r="H264" s="2">
        <f>Raw_Data!J264</f>
        <v/>
      </c>
      <c r="I264" s="2">
        <f>IF(G264="",0,G264-B264)</f>
        <v/>
      </c>
      <c r="J264" s="2">
        <f>IF(H264="Paid",MAX(0,G264-F264),MAX(0,DATE(2026,12,31)-F264))</f>
        <v/>
      </c>
      <c r="K264" s="8">
        <f>IF(H264="Paid",0,E264)</f>
        <v/>
      </c>
      <c r="L264" s="2">
        <f>IF(J264=0,"Current",IF(J264&lt;=30,"1-30 Days",IF(J264&lt;=60,"31-60 Days",IF(J264&lt;=90,"61-90 Days","90+ Days"))))</f>
        <v/>
      </c>
      <c r="M264" s="8">
        <f>IF(Raw_Data!K264="Yes",Raw_Data!F264*Raw_Data!L264,0)</f>
        <v/>
      </c>
      <c r="N264" s="2">
        <f>IF(H264&lt;&gt;"Paid","Outstanding",IF(J264=0,"On Time","Late"))</f>
        <v/>
      </c>
    </row>
    <row r="265">
      <c r="A265" s="2">
        <f>Raw_Data!A265</f>
        <v/>
      </c>
      <c r="B265" s="7">
        <f>Raw_Data!B265</f>
        <v/>
      </c>
      <c r="C265" s="2">
        <f>Raw_Data!C265</f>
        <v/>
      </c>
      <c r="D265" s="2">
        <f>Raw_Data!D265</f>
        <v/>
      </c>
      <c r="E265" s="8">
        <f>Raw_Data!F265</f>
        <v/>
      </c>
      <c r="F265" s="7">
        <f>Raw_Data!H265</f>
        <v/>
      </c>
      <c r="G265" s="7">
        <f>Raw_Data!I265</f>
        <v/>
      </c>
      <c r="H265" s="2">
        <f>Raw_Data!J265</f>
        <v/>
      </c>
      <c r="I265" s="2">
        <f>IF(G265="",0,G265-B265)</f>
        <v/>
      </c>
      <c r="J265" s="2">
        <f>IF(H265="Paid",MAX(0,G265-F265),MAX(0,DATE(2026,12,31)-F265))</f>
        <v/>
      </c>
      <c r="K265" s="8">
        <f>IF(H265="Paid",0,E265)</f>
        <v/>
      </c>
      <c r="L265" s="2">
        <f>IF(J265=0,"Current",IF(J265&lt;=30,"1-30 Days",IF(J265&lt;=60,"31-60 Days",IF(J265&lt;=90,"61-90 Days","90+ Days"))))</f>
        <v/>
      </c>
      <c r="M265" s="8">
        <f>IF(Raw_Data!K265="Yes",Raw_Data!F265*Raw_Data!L265,0)</f>
        <v/>
      </c>
      <c r="N265" s="2">
        <f>IF(H265&lt;&gt;"Paid","Outstanding",IF(J265=0,"On Time","Late"))</f>
        <v/>
      </c>
    </row>
    <row r="266">
      <c r="A266" s="2">
        <f>Raw_Data!A266</f>
        <v/>
      </c>
      <c r="B266" s="7">
        <f>Raw_Data!B266</f>
        <v/>
      </c>
      <c r="C266" s="2">
        <f>Raw_Data!C266</f>
        <v/>
      </c>
      <c r="D266" s="2">
        <f>Raw_Data!D266</f>
        <v/>
      </c>
      <c r="E266" s="8">
        <f>Raw_Data!F266</f>
        <v/>
      </c>
      <c r="F266" s="7">
        <f>Raw_Data!H266</f>
        <v/>
      </c>
      <c r="G266" s="7">
        <f>Raw_Data!I266</f>
        <v/>
      </c>
      <c r="H266" s="2">
        <f>Raw_Data!J266</f>
        <v/>
      </c>
      <c r="I266" s="2">
        <f>IF(G266="",0,G266-B266)</f>
        <v/>
      </c>
      <c r="J266" s="2">
        <f>IF(H266="Paid",MAX(0,G266-F266),MAX(0,DATE(2026,12,31)-F266))</f>
        <v/>
      </c>
      <c r="K266" s="8">
        <f>IF(H266="Paid",0,E266)</f>
        <v/>
      </c>
      <c r="L266" s="2">
        <f>IF(J266=0,"Current",IF(J266&lt;=30,"1-30 Days",IF(J266&lt;=60,"31-60 Days",IF(J266&lt;=90,"61-90 Days","90+ Days"))))</f>
        <v/>
      </c>
      <c r="M266" s="8">
        <f>IF(Raw_Data!K266="Yes",Raw_Data!F266*Raw_Data!L266,0)</f>
        <v/>
      </c>
      <c r="N266" s="2">
        <f>IF(H266&lt;&gt;"Paid","Outstanding",IF(J266=0,"On Time","Late"))</f>
        <v/>
      </c>
    </row>
    <row r="267">
      <c r="A267" s="2">
        <f>Raw_Data!A267</f>
        <v/>
      </c>
      <c r="B267" s="7">
        <f>Raw_Data!B267</f>
        <v/>
      </c>
      <c r="C267" s="2">
        <f>Raw_Data!C267</f>
        <v/>
      </c>
      <c r="D267" s="2">
        <f>Raw_Data!D267</f>
        <v/>
      </c>
      <c r="E267" s="8">
        <f>Raw_Data!F267</f>
        <v/>
      </c>
      <c r="F267" s="7">
        <f>Raw_Data!H267</f>
        <v/>
      </c>
      <c r="G267" s="7">
        <f>Raw_Data!I267</f>
        <v/>
      </c>
      <c r="H267" s="2">
        <f>Raw_Data!J267</f>
        <v/>
      </c>
      <c r="I267" s="2">
        <f>IF(G267="",0,G267-B267)</f>
        <v/>
      </c>
      <c r="J267" s="2">
        <f>IF(H267="Paid",MAX(0,G267-F267),MAX(0,DATE(2026,12,31)-F267))</f>
        <v/>
      </c>
      <c r="K267" s="8">
        <f>IF(H267="Paid",0,E267)</f>
        <v/>
      </c>
      <c r="L267" s="2">
        <f>IF(J267=0,"Current",IF(J267&lt;=30,"1-30 Days",IF(J267&lt;=60,"31-60 Days",IF(J267&lt;=90,"61-90 Days","90+ Days"))))</f>
        <v/>
      </c>
      <c r="M267" s="8">
        <f>IF(Raw_Data!K267="Yes",Raw_Data!F267*Raw_Data!L267,0)</f>
        <v/>
      </c>
      <c r="N267" s="2">
        <f>IF(H267&lt;&gt;"Paid","Outstanding",IF(J267=0,"On Time","Late"))</f>
        <v/>
      </c>
    </row>
    <row r="268">
      <c r="A268" s="2">
        <f>Raw_Data!A268</f>
        <v/>
      </c>
      <c r="B268" s="7">
        <f>Raw_Data!B268</f>
        <v/>
      </c>
      <c r="C268" s="2">
        <f>Raw_Data!C268</f>
        <v/>
      </c>
      <c r="D268" s="2">
        <f>Raw_Data!D268</f>
        <v/>
      </c>
      <c r="E268" s="8">
        <f>Raw_Data!F268</f>
        <v/>
      </c>
      <c r="F268" s="7">
        <f>Raw_Data!H268</f>
        <v/>
      </c>
      <c r="G268" s="7">
        <f>Raw_Data!I268</f>
        <v/>
      </c>
      <c r="H268" s="2">
        <f>Raw_Data!J268</f>
        <v/>
      </c>
      <c r="I268" s="2">
        <f>IF(G268="",0,G268-B268)</f>
        <v/>
      </c>
      <c r="J268" s="2">
        <f>IF(H268="Paid",MAX(0,G268-F268),MAX(0,DATE(2026,12,31)-F268))</f>
        <v/>
      </c>
      <c r="K268" s="8">
        <f>IF(H268="Paid",0,E268)</f>
        <v/>
      </c>
      <c r="L268" s="2">
        <f>IF(J268=0,"Current",IF(J268&lt;=30,"1-30 Days",IF(J268&lt;=60,"31-60 Days",IF(J268&lt;=90,"61-90 Days","90+ Days"))))</f>
        <v/>
      </c>
      <c r="M268" s="8">
        <f>IF(Raw_Data!K268="Yes",Raw_Data!F268*Raw_Data!L268,0)</f>
        <v/>
      </c>
      <c r="N268" s="2">
        <f>IF(H268&lt;&gt;"Paid","Outstanding",IF(J268=0,"On Time","Late"))</f>
        <v/>
      </c>
    </row>
    <row r="269">
      <c r="A269" s="2">
        <f>Raw_Data!A269</f>
        <v/>
      </c>
      <c r="B269" s="7">
        <f>Raw_Data!B269</f>
        <v/>
      </c>
      <c r="C269" s="2">
        <f>Raw_Data!C269</f>
        <v/>
      </c>
      <c r="D269" s="2">
        <f>Raw_Data!D269</f>
        <v/>
      </c>
      <c r="E269" s="8">
        <f>Raw_Data!F269</f>
        <v/>
      </c>
      <c r="F269" s="7">
        <f>Raw_Data!H269</f>
        <v/>
      </c>
      <c r="G269" s="7">
        <f>Raw_Data!I269</f>
        <v/>
      </c>
      <c r="H269" s="2">
        <f>Raw_Data!J269</f>
        <v/>
      </c>
      <c r="I269" s="2">
        <f>IF(G269="",0,G269-B269)</f>
        <v/>
      </c>
      <c r="J269" s="2">
        <f>IF(H269="Paid",MAX(0,G269-F269),MAX(0,DATE(2026,12,31)-F269))</f>
        <v/>
      </c>
      <c r="K269" s="8">
        <f>IF(H269="Paid",0,E269)</f>
        <v/>
      </c>
      <c r="L269" s="2">
        <f>IF(J269=0,"Current",IF(J269&lt;=30,"1-30 Days",IF(J269&lt;=60,"31-60 Days",IF(J269&lt;=90,"61-90 Days","90+ Days"))))</f>
        <v/>
      </c>
      <c r="M269" s="8">
        <f>IF(Raw_Data!K269="Yes",Raw_Data!F269*Raw_Data!L269,0)</f>
        <v/>
      </c>
      <c r="N269" s="2">
        <f>IF(H269&lt;&gt;"Paid","Outstanding",IF(J269=0,"On Time","Late"))</f>
        <v/>
      </c>
    </row>
    <row r="270">
      <c r="A270" s="2">
        <f>Raw_Data!A270</f>
        <v/>
      </c>
      <c r="B270" s="7">
        <f>Raw_Data!B270</f>
        <v/>
      </c>
      <c r="C270" s="2">
        <f>Raw_Data!C270</f>
        <v/>
      </c>
      <c r="D270" s="2">
        <f>Raw_Data!D270</f>
        <v/>
      </c>
      <c r="E270" s="8">
        <f>Raw_Data!F270</f>
        <v/>
      </c>
      <c r="F270" s="7">
        <f>Raw_Data!H270</f>
        <v/>
      </c>
      <c r="G270" s="7">
        <f>Raw_Data!I270</f>
        <v/>
      </c>
      <c r="H270" s="2">
        <f>Raw_Data!J270</f>
        <v/>
      </c>
      <c r="I270" s="2">
        <f>IF(G270="",0,G270-B270)</f>
        <v/>
      </c>
      <c r="J270" s="2">
        <f>IF(H270="Paid",MAX(0,G270-F270),MAX(0,DATE(2026,12,31)-F270))</f>
        <v/>
      </c>
      <c r="K270" s="8">
        <f>IF(H270="Paid",0,E270)</f>
        <v/>
      </c>
      <c r="L270" s="2">
        <f>IF(J270=0,"Current",IF(J270&lt;=30,"1-30 Days",IF(J270&lt;=60,"31-60 Days",IF(J270&lt;=90,"61-90 Days","90+ Days"))))</f>
        <v/>
      </c>
      <c r="M270" s="8">
        <f>IF(Raw_Data!K270="Yes",Raw_Data!F270*Raw_Data!L270,0)</f>
        <v/>
      </c>
      <c r="N270" s="2">
        <f>IF(H270&lt;&gt;"Paid","Outstanding",IF(J270=0,"On Time","Late"))</f>
        <v/>
      </c>
    </row>
    <row r="271">
      <c r="A271" s="2">
        <f>Raw_Data!A271</f>
        <v/>
      </c>
      <c r="B271" s="7">
        <f>Raw_Data!B271</f>
        <v/>
      </c>
      <c r="C271" s="2">
        <f>Raw_Data!C271</f>
        <v/>
      </c>
      <c r="D271" s="2">
        <f>Raw_Data!D271</f>
        <v/>
      </c>
      <c r="E271" s="8">
        <f>Raw_Data!F271</f>
        <v/>
      </c>
      <c r="F271" s="7">
        <f>Raw_Data!H271</f>
        <v/>
      </c>
      <c r="G271" s="7">
        <f>Raw_Data!I271</f>
        <v/>
      </c>
      <c r="H271" s="2">
        <f>Raw_Data!J271</f>
        <v/>
      </c>
      <c r="I271" s="2">
        <f>IF(G271="",0,G271-B271)</f>
        <v/>
      </c>
      <c r="J271" s="2">
        <f>IF(H271="Paid",MAX(0,G271-F271),MAX(0,DATE(2026,12,31)-F271))</f>
        <v/>
      </c>
      <c r="K271" s="8">
        <f>IF(H271="Paid",0,E271)</f>
        <v/>
      </c>
      <c r="L271" s="2">
        <f>IF(J271=0,"Current",IF(J271&lt;=30,"1-30 Days",IF(J271&lt;=60,"31-60 Days",IF(J271&lt;=90,"61-90 Days","90+ Days"))))</f>
        <v/>
      </c>
      <c r="M271" s="8">
        <f>IF(Raw_Data!K271="Yes",Raw_Data!F271*Raw_Data!L271,0)</f>
        <v/>
      </c>
      <c r="N271" s="2">
        <f>IF(H271&lt;&gt;"Paid","Outstanding",IF(J271=0,"On Time","Late"))</f>
        <v/>
      </c>
    </row>
    <row r="272">
      <c r="A272" s="2">
        <f>Raw_Data!A272</f>
        <v/>
      </c>
      <c r="B272" s="7">
        <f>Raw_Data!B272</f>
        <v/>
      </c>
      <c r="C272" s="2">
        <f>Raw_Data!C272</f>
        <v/>
      </c>
      <c r="D272" s="2">
        <f>Raw_Data!D272</f>
        <v/>
      </c>
      <c r="E272" s="8">
        <f>Raw_Data!F272</f>
        <v/>
      </c>
      <c r="F272" s="7">
        <f>Raw_Data!H272</f>
        <v/>
      </c>
      <c r="G272" s="7">
        <f>Raw_Data!I272</f>
        <v/>
      </c>
      <c r="H272" s="2">
        <f>Raw_Data!J272</f>
        <v/>
      </c>
      <c r="I272" s="2">
        <f>IF(G272="",0,G272-B272)</f>
        <v/>
      </c>
      <c r="J272" s="2">
        <f>IF(H272="Paid",MAX(0,G272-F272),MAX(0,DATE(2026,12,31)-F272))</f>
        <v/>
      </c>
      <c r="K272" s="8">
        <f>IF(H272="Paid",0,E272)</f>
        <v/>
      </c>
      <c r="L272" s="2">
        <f>IF(J272=0,"Current",IF(J272&lt;=30,"1-30 Days",IF(J272&lt;=60,"31-60 Days",IF(J272&lt;=90,"61-90 Days","90+ Days"))))</f>
        <v/>
      </c>
      <c r="M272" s="8">
        <f>IF(Raw_Data!K272="Yes",Raw_Data!F272*Raw_Data!L272,0)</f>
        <v/>
      </c>
      <c r="N272" s="2">
        <f>IF(H272&lt;&gt;"Paid","Outstanding",IF(J272=0,"On Time","Late"))</f>
        <v/>
      </c>
    </row>
    <row r="273">
      <c r="A273" s="2">
        <f>Raw_Data!A273</f>
        <v/>
      </c>
      <c r="B273" s="7">
        <f>Raw_Data!B273</f>
        <v/>
      </c>
      <c r="C273" s="2">
        <f>Raw_Data!C273</f>
        <v/>
      </c>
      <c r="D273" s="2">
        <f>Raw_Data!D273</f>
        <v/>
      </c>
      <c r="E273" s="8">
        <f>Raw_Data!F273</f>
        <v/>
      </c>
      <c r="F273" s="7">
        <f>Raw_Data!H273</f>
        <v/>
      </c>
      <c r="G273" s="7">
        <f>Raw_Data!I273</f>
        <v/>
      </c>
      <c r="H273" s="2">
        <f>Raw_Data!J273</f>
        <v/>
      </c>
      <c r="I273" s="2">
        <f>IF(G273="",0,G273-B273)</f>
        <v/>
      </c>
      <c r="J273" s="2">
        <f>IF(H273="Paid",MAX(0,G273-F273),MAX(0,DATE(2026,12,31)-F273))</f>
        <v/>
      </c>
      <c r="K273" s="8">
        <f>IF(H273="Paid",0,E273)</f>
        <v/>
      </c>
      <c r="L273" s="2">
        <f>IF(J273=0,"Current",IF(J273&lt;=30,"1-30 Days",IF(J273&lt;=60,"31-60 Days",IF(J273&lt;=90,"61-90 Days","90+ Days"))))</f>
        <v/>
      </c>
      <c r="M273" s="8">
        <f>IF(Raw_Data!K273="Yes",Raw_Data!F273*Raw_Data!L273,0)</f>
        <v/>
      </c>
      <c r="N273" s="2">
        <f>IF(H273&lt;&gt;"Paid","Outstanding",IF(J273=0,"On Time","Late"))</f>
        <v/>
      </c>
    </row>
    <row r="274">
      <c r="A274" s="2">
        <f>Raw_Data!A274</f>
        <v/>
      </c>
      <c r="B274" s="7">
        <f>Raw_Data!B274</f>
        <v/>
      </c>
      <c r="C274" s="2">
        <f>Raw_Data!C274</f>
        <v/>
      </c>
      <c r="D274" s="2">
        <f>Raw_Data!D274</f>
        <v/>
      </c>
      <c r="E274" s="8">
        <f>Raw_Data!F274</f>
        <v/>
      </c>
      <c r="F274" s="7">
        <f>Raw_Data!H274</f>
        <v/>
      </c>
      <c r="G274" s="7">
        <f>Raw_Data!I274</f>
        <v/>
      </c>
      <c r="H274" s="2">
        <f>Raw_Data!J274</f>
        <v/>
      </c>
      <c r="I274" s="2">
        <f>IF(G274="",0,G274-B274)</f>
        <v/>
      </c>
      <c r="J274" s="2">
        <f>IF(H274="Paid",MAX(0,G274-F274),MAX(0,DATE(2026,12,31)-F274))</f>
        <v/>
      </c>
      <c r="K274" s="8">
        <f>IF(H274="Paid",0,E274)</f>
        <v/>
      </c>
      <c r="L274" s="2">
        <f>IF(J274=0,"Current",IF(J274&lt;=30,"1-30 Days",IF(J274&lt;=60,"31-60 Days",IF(J274&lt;=90,"61-90 Days","90+ Days"))))</f>
        <v/>
      </c>
      <c r="M274" s="8">
        <f>IF(Raw_Data!K274="Yes",Raw_Data!F274*Raw_Data!L274,0)</f>
        <v/>
      </c>
      <c r="N274" s="2">
        <f>IF(H274&lt;&gt;"Paid","Outstanding",IF(J274=0,"On Time","Late"))</f>
        <v/>
      </c>
    </row>
    <row r="275">
      <c r="A275" s="2">
        <f>Raw_Data!A275</f>
        <v/>
      </c>
      <c r="B275" s="7">
        <f>Raw_Data!B275</f>
        <v/>
      </c>
      <c r="C275" s="2">
        <f>Raw_Data!C275</f>
        <v/>
      </c>
      <c r="D275" s="2">
        <f>Raw_Data!D275</f>
        <v/>
      </c>
      <c r="E275" s="8">
        <f>Raw_Data!F275</f>
        <v/>
      </c>
      <c r="F275" s="7">
        <f>Raw_Data!H275</f>
        <v/>
      </c>
      <c r="G275" s="7">
        <f>Raw_Data!I275</f>
        <v/>
      </c>
      <c r="H275" s="2">
        <f>Raw_Data!J275</f>
        <v/>
      </c>
      <c r="I275" s="2">
        <f>IF(G275="",0,G275-B275)</f>
        <v/>
      </c>
      <c r="J275" s="2">
        <f>IF(H275="Paid",MAX(0,G275-F275),MAX(0,DATE(2026,12,31)-F275))</f>
        <v/>
      </c>
      <c r="K275" s="8">
        <f>IF(H275="Paid",0,E275)</f>
        <v/>
      </c>
      <c r="L275" s="2">
        <f>IF(J275=0,"Current",IF(J275&lt;=30,"1-30 Days",IF(J275&lt;=60,"31-60 Days",IF(J275&lt;=90,"61-90 Days","90+ Days"))))</f>
        <v/>
      </c>
      <c r="M275" s="8">
        <f>IF(Raw_Data!K275="Yes",Raw_Data!F275*Raw_Data!L275,0)</f>
        <v/>
      </c>
      <c r="N275" s="2">
        <f>IF(H275&lt;&gt;"Paid","Outstanding",IF(J275=0,"On Time","Late"))</f>
        <v/>
      </c>
    </row>
    <row r="276">
      <c r="A276" s="2">
        <f>Raw_Data!A276</f>
        <v/>
      </c>
      <c r="B276" s="7">
        <f>Raw_Data!B276</f>
        <v/>
      </c>
      <c r="C276" s="2">
        <f>Raw_Data!C276</f>
        <v/>
      </c>
      <c r="D276" s="2">
        <f>Raw_Data!D276</f>
        <v/>
      </c>
      <c r="E276" s="8">
        <f>Raw_Data!F276</f>
        <v/>
      </c>
      <c r="F276" s="7">
        <f>Raw_Data!H276</f>
        <v/>
      </c>
      <c r="G276" s="7">
        <f>Raw_Data!I276</f>
        <v/>
      </c>
      <c r="H276" s="2">
        <f>Raw_Data!J276</f>
        <v/>
      </c>
      <c r="I276" s="2">
        <f>IF(G276="",0,G276-B276)</f>
        <v/>
      </c>
      <c r="J276" s="2">
        <f>IF(H276="Paid",MAX(0,G276-F276),MAX(0,DATE(2026,12,31)-F276))</f>
        <v/>
      </c>
      <c r="K276" s="8">
        <f>IF(H276="Paid",0,E276)</f>
        <v/>
      </c>
      <c r="L276" s="2">
        <f>IF(J276=0,"Current",IF(J276&lt;=30,"1-30 Days",IF(J276&lt;=60,"31-60 Days",IF(J276&lt;=90,"61-90 Days","90+ Days"))))</f>
        <v/>
      </c>
      <c r="M276" s="8">
        <f>IF(Raw_Data!K276="Yes",Raw_Data!F276*Raw_Data!L276,0)</f>
        <v/>
      </c>
      <c r="N276" s="2">
        <f>IF(H276&lt;&gt;"Paid","Outstanding",IF(J276=0,"On Time","Late"))</f>
        <v/>
      </c>
    </row>
    <row r="277">
      <c r="A277" s="2">
        <f>Raw_Data!A277</f>
        <v/>
      </c>
      <c r="B277" s="7">
        <f>Raw_Data!B277</f>
        <v/>
      </c>
      <c r="C277" s="2">
        <f>Raw_Data!C277</f>
        <v/>
      </c>
      <c r="D277" s="2">
        <f>Raw_Data!D277</f>
        <v/>
      </c>
      <c r="E277" s="8">
        <f>Raw_Data!F277</f>
        <v/>
      </c>
      <c r="F277" s="7">
        <f>Raw_Data!H277</f>
        <v/>
      </c>
      <c r="G277" s="7">
        <f>Raw_Data!I277</f>
        <v/>
      </c>
      <c r="H277" s="2">
        <f>Raw_Data!J277</f>
        <v/>
      </c>
      <c r="I277" s="2">
        <f>IF(G277="",0,G277-B277)</f>
        <v/>
      </c>
      <c r="J277" s="2">
        <f>IF(H277="Paid",MAX(0,G277-F277),MAX(0,DATE(2026,12,31)-F277))</f>
        <v/>
      </c>
      <c r="K277" s="8">
        <f>IF(H277="Paid",0,E277)</f>
        <v/>
      </c>
      <c r="L277" s="2">
        <f>IF(J277=0,"Current",IF(J277&lt;=30,"1-30 Days",IF(J277&lt;=60,"31-60 Days",IF(J277&lt;=90,"61-90 Days","90+ Days"))))</f>
        <v/>
      </c>
      <c r="M277" s="8">
        <f>IF(Raw_Data!K277="Yes",Raw_Data!F277*Raw_Data!L277,0)</f>
        <v/>
      </c>
      <c r="N277" s="2">
        <f>IF(H277&lt;&gt;"Paid","Outstanding",IF(J277=0,"On Time","Late"))</f>
        <v/>
      </c>
    </row>
    <row r="278">
      <c r="A278" s="2">
        <f>Raw_Data!A278</f>
        <v/>
      </c>
      <c r="B278" s="7">
        <f>Raw_Data!B278</f>
        <v/>
      </c>
      <c r="C278" s="2">
        <f>Raw_Data!C278</f>
        <v/>
      </c>
      <c r="D278" s="2">
        <f>Raw_Data!D278</f>
        <v/>
      </c>
      <c r="E278" s="8">
        <f>Raw_Data!F278</f>
        <v/>
      </c>
      <c r="F278" s="7">
        <f>Raw_Data!H278</f>
        <v/>
      </c>
      <c r="G278" s="7">
        <f>Raw_Data!I278</f>
        <v/>
      </c>
      <c r="H278" s="2">
        <f>Raw_Data!J278</f>
        <v/>
      </c>
      <c r="I278" s="2">
        <f>IF(G278="",0,G278-B278)</f>
        <v/>
      </c>
      <c r="J278" s="2">
        <f>IF(H278="Paid",MAX(0,G278-F278),MAX(0,DATE(2026,12,31)-F278))</f>
        <v/>
      </c>
      <c r="K278" s="8">
        <f>IF(H278="Paid",0,E278)</f>
        <v/>
      </c>
      <c r="L278" s="2">
        <f>IF(J278=0,"Current",IF(J278&lt;=30,"1-30 Days",IF(J278&lt;=60,"31-60 Days",IF(J278&lt;=90,"61-90 Days","90+ Days"))))</f>
        <v/>
      </c>
      <c r="M278" s="8">
        <f>IF(Raw_Data!K278="Yes",Raw_Data!F278*Raw_Data!L278,0)</f>
        <v/>
      </c>
      <c r="N278" s="2">
        <f>IF(H278&lt;&gt;"Paid","Outstanding",IF(J278=0,"On Time","Late"))</f>
        <v/>
      </c>
    </row>
    <row r="279">
      <c r="A279" s="2">
        <f>Raw_Data!A279</f>
        <v/>
      </c>
      <c r="B279" s="7">
        <f>Raw_Data!B279</f>
        <v/>
      </c>
      <c r="C279" s="2">
        <f>Raw_Data!C279</f>
        <v/>
      </c>
      <c r="D279" s="2">
        <f>Raw_Data!D279</f>
        <v/>
      </c>
      <c r="E279" s="8">
        <f>Raw_Data!F279</f>
        <v/>
      </c>
      <c r="F279" s="7">
        <f>Raw_Data!H279</f>
        <v/>
      </c>
      <c r="G279" s="7">
        <f>Raw_Data!I279</f>
        <v/>
      </c>
      <c r="H279" s="2">
        <f>Raw_Data!J279</f>
        <v/>
      </c>
      <c r="I279" s="2">
        <f>IF(G279="",0,G279-B279)</f>
        <v/>
      </c>
      <c r="J279" s="2">
        <f>IF(H279="Paid",MAX(0,G279-F279),MAX(0,DATE(2026,12,31)-F279))</f>
        <v/>
      </c>
      <c r="K279" s="8">
        <f>IF(H279="Paid",0,E279)</f>
        <v/>
      </c>
      <c r="L279" s="2">
        <f>IF(J279=0,"Current",IF(J279&lt;=30,"1-30 Days",IF(J279&lt;=60,"31-60 Days",IF(J279&lt;=90,"61-90 Days","90+ Days"))))</f>
        <v/>
      </c>
      <c r="M279" s="8">
        <f>IF(Raw_Data!K279="Yes",Raw_Data!F279*Raw_Data!L279,0)</f>
        <v/>
      </c>
      <c r="N279" s="2">
        <f>IF(H279&lt;&gt;"Paid","Outstanding",IF(J279=0,"On Time","Late"))</f>
        <v/>
      </c>
    </row>
    <row r="280">
      <c r="A280" s="2">
        <f>Raw_Data!A280</f>
        <v/>
      </c>
      <c r="B280" s="7">
        <f>Raw_Data!B280</f>
        <v/>
      </c>
      <c r="C280" s="2">
        <f>Raw_Data!C280</f>
        <v/>
      </c>
      <c r="D280" s="2">
        <f>Raw_Data!D280</f>
        <v/>
      </c>
      <c r="E280" s="8">
        <f>Raw_Data!F280</f>
        <v/>
      </c>
      <c r="F280" s="7">
        <f>Raw_Data!H280</f>
        <v/>
      </c>
      <c r="G280" s="7">
        <f>Raw_Data!I280</f>
        <v/>
      </c>
      <c r="H280" s="2">
        <f>Raw_Data!J280</f>
        <v/>
      </c>
      <c r="I280" s="2">
        <f>IF(G280="",0,G280-B280)</f>
        <v/>
      </c>
      <c r="J280" s="2">
        <f>IF(H280="Paid",MAX(0,G280-F280),MAX(0,DATE(2026,12,31)-F280))</f>
        <v/>
      </c>
      <c r="K280" s="8">
        <f>IF(H280="Paid",0,E280)</f>
        <v/>
      </c>
      <c r="L280" s="2">
        <f>IF(J280=0,"Current",IF(J280&lt;=30,"1-30 Days",IF(J280&lt;=60,"31-60 Days",IF(J280&lt;=90,"61-90 Days","90+ Days"))))</f>
        <v/>
      </c>
      <c r="M280" s="8">
        <f>IF(Raw_Data!K280="Yes",Raw_Data!F280*Raw_Data!L280,0)</f>
        <v/>
      </c>
      <c r="N280" s="2">
        <f>IF(H280&lt;&gt;"Paid","Outstanding",IF(J280=0,"On Time","Late"))</f>
        <v/>
      </c>
    </row>
    <row r="281">
      <c r="A281" s="2">
        <f>Raw_Data!A281</f>
        <v/>
      </c>
      <c r="B281" s="7">
        <f>Raw_Data!B281</f>
        <v/>
      </c>
      <c r="C281" s="2">
        <f>Raw_Data!C281</f>
        <v/>
      </c>
      <c r="D281" s="2">
        <f>Raw_Data!D281</f>
        <v/>
      </c>
      <c r="E281" s="8">
        <f>Raw_Data!F281</f>
        <v/>
      </c>
      <c r="F281" s="7">
        <f>Raw_Data!H281</f>
        <v/>
      </c>
      <c r="G281" s="7">
        <f>Raw_Data!I281</f>
        <v/>
      </c>
      <c r="H281" s="2">
        <f>Raw_Data!J281</f>
        <v/>
      </c>
      <c r="I281" s="2">
        <f>IF(G281="",0,G281-B281)</f>
        <v/>
      </c>
      <c r="J281" s="2">
        <f>IF(H281="Paid",MAX(0,G281-F281),MAX(0,DATE(2026,12,31)-F281))</f>
        <v/>
      </c>
      <c r="K281" s="8">
        <f>IF(H281="Paid",0,E281)</f>
        <v/>
      </c>
      <c r="L281" s="2">
        <f>IF(J281=0,"Current",IF(J281&lt;=30,"1-30 Days",IF(J281&lt;=60,"31-60 Days",IF(J281&lt;=90,"61-90 Days","90+ Days"))))</f>
        <v/>
      </c>
      <c r="M281" s="8">
        <f>IF(Raw_Data!K281="Yes",Raw_Data!F281*Raw_Data!L281,0)</f>
        <v/>
      </c>
      <c r="N281" s="2">
        <f>IF(H281&lt;&gt;"Paid","Outstanding",IF(J281=0,"On Time","Late"))</f>
        <v/>
      </c>
    </row>
    <row r="282">
      <c r="A282" s="2">
        <f>Raw_Data!A282</f>
        <v/>
      </c>
      <c r="B282" s="7">
        <f>Raw_Data!B282</f>
        <v/>
      </c>
      <c r="C282" s="2">
        <f>Raw_Data!C282</f>
        <v/>
      </c>
      <c r="D282" s="2">
        <f>Raw_Data!D282</f>
        <v/>
      </c>
      <c r="E282" s="8">
        <f>Raw_Data!F282</f>
        <v/>
      </c>
      <c r="F282" s="7">
        <f>Raw_Data!H282</f>
        <v/>
      </c>
      <c r="G282" s="7">
        <f>Raw_Data!I282</f>
        <v/>
      </c>
      <c r="H282" s="2">
        <f>Raw_Data!J282</f>
        <v/>
      </c>
      <c r="I282" s="2">
        <f>IF(G282="",0,G282-B282)</f>
        <v/>
      </c>
      <c r="J282" s="2">
        <f>IF(H282="Paid",MAX(0,G282-F282),MAX(0,DATE(2026,12,31)-F282))</f>
        <v/>
      </c>
      <c r="K282" s="8">
        <f>IF(H282="Paid",0,E282)</f>
        <v/>
      </c>
      <c r="L282" s="2">
        <f>IF(J282=0,"Current",IF(J282&lt;=30,"1-30 Days",IF(J282&lt;=60,"31-60 Days",IF(J282&lt;=90,"61-90 Days","90+ Days"))))</f>
        <v/>
      </c>
      <c r="M282" s="8">
        <f>IF(Raw_Data!K282="Yes",Raw_Data!F282*Raw_Data!L282,0)</f>
        <v/>
      </c>
      <c r="N282" s="2">
        <f>IF(H282&lt;&gt;"Paid","Outstanding",IF(J282=0,"On Time","Late"))</f>
        <v/>
      </c>
    </row>
    <row r="283">
      <c r="A283" s="2">
        <f>Raw_Data!A283</f>
        <v/>
      </c>
      <c r="B283" s="7">
        <f>Raw_Data!B283</f>
        <v/>
      </c>
      <c r="C283" s="2">
        <f>Raw_Data!C283</f>
        <v/>
      </c>
      <c r="D283" s="2">
        <f>Raw_Data!D283</f>
        <v/>
      </c>
      <c r="E283" s="8">
        <f>Raw_Data!F283</f>
        <v/>
      </c>
      <c r="F283" s="7">
        <f>Raw_Data!H283</f>
        <v/>
      </c>
      <c r="G283" s="7">
        <f>Raw_Data!I283</f>
        <v/>
      </c>
      <c r="H283" s="2">
        <f>Raw_Data!J283</f>
        <v/>
      </c>
      <c r="I283" s="2">
        <f>IF(G283="",0,G283-B283)</f>
        <v/>
      </c>
      <c r="J283" s="2">
        <f>IF(H283="Paid",MAX(0,G283-F283),MAX(0,DATE(2026,12,31)-F283))</f>
        <v/>
      </c>
      <c r="K283" s="8">
        <f>IF(H283="Paid",0,E283)</f>
        <v/>
      </c>
      <c r="L283" s="2">
        <f>IF(J283=0,"Current",IF(J283&lt;=30,"1-30 Days",IF(J283&lt;=60,"31-60 Days",IF(J283&lt;=90,"61-90 Days","90+ Days"))))</f>
        <v/>
      </c>
      <c r="M283" s="8">
        <f>IF(Raw_Data!K283="Yes",Raw_Data!F283*Raw_Data!L283,0)</f>
        <v/>
      </c>
      <c r="N283" s="2">
        <f>IF(H283&lt;&gt;"Paid","Outstanding",IF(J283=0,"On Time","Late"))</f>
        <v/>
      </c>
    </row>
    <row r="284">
      <c r="A284" s="2">
        <f>Raw_Data!A284</f>
        <v/>
      </c>
      <c r="B284" s="7">
        <f>Raw_Data!B284</f>
        <v/>
      </c>
      <c r="C284" s="2">
        <f>Raw_Data!C284</f>
        <v/>
      </c>
      <c r="D284" s="2">
        <f>Raw_Data!D284</f>
        <v/>
      </c>
      <c r="E284" s="8">
        <f>Raw_Data!F284</f>
        <v/>
      </c>
      <c r="F284" s="7">
        <f>Raw_Data!H284</f>
        <v/>
      </c>
      <c r="G284" s="7">
        <f>Raw_Data!I284</f>
        <v/>
      </c>
      <c r="H284" s="2">
        <f>Raw_Data!J284</f>
        <v/>
      </c>
      <c r="I284" s="2">
        <f>IF(G284="",0,G284-B284)</f>
        <v/>
      </c>
      <c r="J284" s="2">
        <f>IF(H284="Paid",MAX(0,G284-F284),MAX(0,DATE(2026,12,31)-F284))</f>
        <v/>
      </c>
      <c r="K284" s="8">
        <f>IF(H284="Paid",0,E284)</f>
        <v/>
      </c>
      <c r="L284" s="2">
        <f>IF(J284=0,"Current",IF(J284&lt;=30,"1-30 Days",IF(J284&lt;=60,"31-60 Days",IF(J284&lt;=90,"61-90 Days","90+ Days"))))</f>
        <v/>
      </c>
      <c r="M284" s="8">
        <f>IF(Raw_Data!K284="Yes",Raw_Data!F284*Raw_Data!L284,0)</f>
        <v/>
      </c>
      <c r="N284" s="2">
        <f>IF(H284&lt;&gt;"Paid","Outstanding",IF(J284=0,"On Time","Late"))</f>
        <v/>
      </c>
    </row>
    <row r="285">
      <c r="A285" s="2">
        <f>Raw_Data!A285</f>
        <v/>
      </c>
      <c r="B285" s="7">
        <f>Raw_Data!B285</f>
        <v/>
      </c>
      <c r="C285" s="2">
        <f>Raw_Data!C285</f>
        <v/>
      </c>
      <c r="D285" s="2">
        <f>Raw_Data!D285</f>
        <v/>
      </c>
      <c r="E285" s="8">
        <f>Raw_Data!F285</f>
        <v/>
      </c>
      <c r="F285" s="7">
        <f>Raw_Data!H285</f>
        <v/>
      </c>
      <c r="G285" s="7">
        <f>Raw_Data!I285</f>
        <v/>
      </c>
      <c r="H285" s="2">
        <f>Raw_Data!J285</f>
        <v/>
      </c>
      <c r="I285" s="2">
        <f>IF(G285="",0,G285-B285)</f>
        <v/>
      </c>
      <c r="J285" s="2">
        <f>IF(H285="Paid",MAX(0,G285-F285),MAX(0,DATE(2026,12,31)-F285))</f>
        <v/>
      </c>
      <c r="K285" s="8">
        <f>IF(H285="Paid",0,E285)</f>
        <v/>
      </c>
      <c r="L285" s="2">
        <f>IF(J285=0,"Current",IF(J285&lt;=30,"1-30 Days",IF(J285&lt;=60,"31-60 Days",IF(J285&lt;=90,"61-90 Days","90+ Days"))))</f>
        <v/>
      </c>
      <c r="M285" s="8">
        <f>IF(Raw_Data!K285="Yes",Raw_Data!F285*Raw_Data!L285,0)</f>
        <v/>
      </c>
      <c r="N285" s="2">
        <f>IF(H285&lt;&gt;"Paid","Outstanding",IF(J285=0,"On Time","Late"))</f>
        <v/>
      </c>
    </row>
    <row r="286">
      <c r="A286" s="2">
        <f>Raw_Data!A286</f>
        <v/>
      </c>
      <c r="B286" s="7">
        <f>Raw_Data!B286</f>
        <v/>
      </c>
      <c r="C286" s="2">
        <f>Raw_Data!C286</f>
        <v/>
      </c>
      <c r="D286" s="2">
        <f>Raw_Data!D286</f>
        <v/>
      </c>
      <c r="E286" s="8">
        <f>Raw_Data!F286</f>
        <v/>
      </c>
      <c r="F286" s="7">
        <f>Raw_Data!H286</f>
        <v/>
      </c>
      <c r="G286" s="7">
        <f>Raw_Data!I286</f>
        <v/>
      </c>
      <c r="H286" s="2">
        <f>Raw_Data!J286</f>
        <v/>
      </c>
      <c r="I286" s="2">
        <f>IF(G286="",0,G286-B286)</f>
        <v/>
      </c>
      <c r="J286" s="2">
        <f>IF(H286="Paid",MAX(0,G286-F286),MAX(0,DATE(2026,12,31)-F286))</f>
        <v/>
      </c>
      <c r="K286" s="8">
        <f>IF(H286="Paid",0,E286)</f>
        <v/>
      </c>
      <c r="L286" s="2">
        <f>IF(J286=0,"Current",IF(J286&lt;=30,"1-30 Days",IF(J286&lt;=60,"31-60 Days",IF(J286&lt;=90,"61-90 Days","90+ Days"))))</f>
        <v/>
      </c>
      <c r="M286" s="8">
        <f>IF(Raw_Data!K286="Yes",Raw_Data!F286*Raw_Data!L286,0)</f>
        <v/>
      </c>
      <c r="N286" s="2">
        <f>IF(H286&lt;&gt;"Paid","Outstanding",IF(J286=0,"On Time","Late"))</f>
        <v/>
      </c>
    </row>
    <row r="287">
      <c r="A287" s="2">
        <f>Raw_Data!A287</f>
        <v/>
      </c>
      <c r="B287" s="7">
        <f>Raw_Data!B287</f>
        <v/>
      </c>
      <c r="C287" s="2">
        <f>Raw_Data!C287</f>
        <v/>
      </c>
      <c r="D287" s="2">
        <f>Raw_Data!D287</f>
        <v/>
      </c>
      <c r="E287" s="8">
        <f>Raw_Data!F287</f>
        <v/>
      </c>
      <c r="F287" s="7">
        <f>Raw_Data!H287</f>
        <v/>
      </c>
      <c r="G287" s="7">
        <f>Raw_Data!I287</f>
        <v/>
      </c>
      <c r="H287" s="2">
        <f>Raw_Data!J287</f>
        <v/>
      </c>
      <c r="I287" s="2">
        <f>IF(G287="",0,G287-B287)</f>
        <v/>
      </c>
      <c r="J287" s="2">
        <f>IF(H287="Paid",MAX(0,G287-F287),MAX(0,DATE(2026,12,31)-F287))</f>
        <v/>
      </c>
      <c r="K287" s="8">
        <f>IF(H287="Paid",0,E287)</f>
        <v/>
      </c>
      <c r="L287" s="2">
        <f>IF(J287=0,"Current",IF(J287&lt;=30,"1-30 Days",IF(J287&lt;=60,"31-60 Days",IF(J287&lt;=90,"61-90 Days","90+ Days"))))</f>
        <v/>
      </c>
      <c r="M287" s="8">
        <f>IF(Raw_Data!K287="Yes",Raw_Data!F287*Raw_Data!L287,0)</f>
        <v/>
      </c>
      <c r="N287" s="2">
        <f>IF(H287&lt;&gt;"Paid","Outstanding",IF(J287=0,"On Time","Late"))</f>
        <v/>
      </c>
    </row>
    <row r="288">
      <c r="A288" s="2">
        <f>Raw_Data!A288</f>
        <v/>
      </c>
      <c r="B288" s="7">
        <f>Raw_Data!B288</f>
        <v/>
      </c>
      <c r="C288" s="2">
        <f>Raw_Data!C288</f>
        <v/>
      </c>
      <c r="D288" s="2">
        <f>Raw_Data!D288</f>
        <v/>
      </c>
      <c r="E288" s="8">
        <f>Raw_Data!F288</f>
        <v/>
      </c>
      <c r="F288" s="7">
        <f>Raw_Data!H288</f>
        <v/>
      </c>
      <c r="G288" s="7">
        <f>Raw_Data!I288</f>
        <v/>
      </c>
      <c r="H288" s="2">
        <f>Raw_Data!J288</f>
        <v/>
      </c>
      <c r="I288" s="2">
        <f>IF(G288="",0,G288-B288)</f>
        <v/>
      </c>
      <c r="J288" s="2">
        <f>IF(H288="Paid",MAX(0,G288-F288),MAX(0,DATE(2026,12,31)-F288))</f>
        <v/>
      </c>
      <c r="K288" s="8">
        <f>IF(H288="Paid",0,E288)</f>
        <v/>
      </c>
      <c r="L288" s="2">
        <f>IF(J288=0,"Current",IF(J288&lt;=30,"1-30 Days",IF(J288&lt;=60,"31-60 Days",IF(J288&lt;=90,"61-90 Days","90+ Days"))))</f>
        <v/>
      </c>
      <c r="M288" s="8">
        <f>IF(Raw_Data!K288="Yes",Raw_Data!F288*Raw_Data!L288,0)</f>
        <v/>
      </c>
      <c r="N288" s="2">
        <f>IF(H288&lt;&gt;"Paid","Outstanding",IF(J288=0,"On Time","Late"))</f>
        <v/>
      </c>
    </row>
    <row r="289">
      <c r="A289" s="2">
        <f>Raw_Data!A289</f>
        <v/>
      </c>
      <c r="B289" s="7">
        <f>Raw_Data!B289</f>
        <v/>
      </c>
      <c r="C289" s="2">
        <f>Raw_Data!C289</f>
        <v/>
      </c>
      <c r="D289" s="2">
        <f>Raw_Data!D289</f>
        <v/>
      </c>
      <c r="E289" s="8">
        <f>Raw_Data!F289</f>
        <v/>
      </c>
      <c r="F289" s="7">
        <f>Raw_Data!H289</f>
        <v/>
      </c>
      <c r="G289" s="7">
        <f>Raw_Data!I289</f>
        <v/>
      </c>
      <c r="H289" s="2">
        <f>Raw_Data!J289</f>
        <v/>
      </c>
      <c r="I289" s="2">
        <f>IF(G289="",0,G289-B289)</f>
        <v/>
      </c>
      <c r="J289" s="2">
        <f>IF(H289="Paid",MAX(0,G289-F289),MAX(0,DATE(2026,12,31)-F289))</f>
        <v/>
      </c>
      <c r="K289" s="8">
        <f>IF(H289="Paid",0,E289)</f>
        <v/>
      </c>
      <c r="L289" s="2">
        <f>IF(J289=0,"Current",IF(J289&lt;=30,"1-30 Days",IF(J289&lt;=60,"31-60 Days",IF(J289&lt;=90,"61-90 Days","90+ Days"))))</f>
        <v/>
      </c>
      <c r="M289" s="8">
        <f>IF(Raw_Data!K289="Yes",Raw_Data!F289*Raw_Data!L289,0)</f>
        <v/>
      </c>
      <c r="N289" s="2">
        <f>IF(H289&lt;&gt;"Paid","Outstanding",IF(J289=0,"On Time","Late"))</f>
        <v/>
      </c>
    </row>
    <row r="290">
      <c r="A290" s="2">
        <f>Raw_Data!A290</f>
        <v/>
      </c>
      <c r="B290" s="7">
        <f>Raw_Data!B290</f>
        <v/>
      </c>
      <c r="C290" s="2">
        <f>Raw_Data!C290</f>
        <v/>
      </c>
      <c r="D290" s="2">
        <f>Raw_Data!D290</f>
        <v/>
      </c>
      <c r="E290" s="8">
        <f>Raw_Data!F290</f>
        <v/>
      </c>
      <c r="F290" s="7">
        <f>Raw_Data!H290</f>
        <v/>
      </c>
      <c r="G290" s="7">
        <f>Raw_Data!I290</f>
        <v/>
      </c>
      <c r="H290" s="2">
        <f>Raw_Data!J290</f>
        <v/>
      </c>
      <c r="I290" s="2">
        <f>IF(G290="",0,G290-B290)</f>
        <v/>
      </c>
      <c r="J290" s="2">
        <f>IF(H290="Paid",MAX(0,G290-F290),MAX(0,DATE(2026,12,31)-F290))</f>
        <v/>
      </c>
      <c r="K290" s="8">
        <f>IF(H290="Paid",0,E290)</f>
        <v/>
      </c>
      <c r="L290" s="2">
        <f>IF(J290=0,"Current",IF(J290&lt;=30,"1-30 Days",IF(J290&lt;=60,"31-60 Days",IF(J290&lt;=90,"61-90 Days","90+ Days"))))</f>
        <v/>
      </c>
      <c r="M290" s="8">
        <f>IF(Raw_Data!K290="Yes",Raw_Data!F290*Raw_Data!L290,0)</f>
        <v/>
      </c>
      <c r="N290" s="2">
        <f>IF(H290&lt;&gt;"Paid","Outstanding",IF(J290=0,"On Time","Late"))</f>
        <v/>
      </c>
    </row>
    <row r="291">
      <c r="A291" s="2">
        <f>Raw_Data!A291</f>
        <v/>
      </c>
      <c r="B291" s="7">
        <f>Raw_Data!B291</f>
        <v/>
      </c>
      <c r="C291" s="2">
        <f>Raw_Data!C291</f>
        <v/>
      </c>
      <c r="D291" s="2">
        <f>Raw_Data!D291</f>
        <v/>
      </c>
      <c r="E291" s="8">
        <f>Raw_Data!F291</f>
        <v/>
      </c>
      <c r="F291" s="7">
        <f>Raw_Data!H291</f>
        <v/>
      </c>
      <c r="G291" s="7">
        <f>Raw_Data!I291</f>
        <v/>
      </c>
      <c r="H291" s="2">
        <f>Raw_Data!J291</f>
        <v/>
      </c>
      <c r="I291" s="2">
        <f>IF(G291="",0,G291-B291)</f>
        <v/>
      </c>
      <c r="J291" s="2">
        <f>IF(H291="Paid",MAX(0,G291-F291),MAX(0,DATE(2026,12,31)-F291))</f>
        <v/>
      </c>
      <c r="K291" s="8">
        <f>IF(H291="Paid",0,E291)</f>
        <v/>
      </c>
      <c r="L291" s="2">
        <f>IF(J291=0,"Current",IF(J291&lt;=30,"1-30 Days",IF(J291&lt;=60,"31-60 Days",IF(J291&lt;=90,"61-90 Days","90+ Days"))))</f>
        <v/>
      </c>
      <c r="M291" s="8">
        <f>IF(Raw_Data!K291="Yes",Raw_Data!F291*Raw_Data!L291,0)</f>
        <v/>
      </c>
      <c r="N291" s="2">
        <f>IF(H291&lt;&gt;"Paid","Outstanding",IF(J291=0,"On Time","Late"))</f>
        <v/>
      </c>
    </row>
    <row r="292">
      <c r="A292" s="2">
        <f>Raw_Data!A292</f>
        <v/>
      </c>
      <c r="B292" s="7">
        <f>Raw_Data!B292</f>
        <v/>
      </c>
      <c r="C292" s="2">
        <f>Raw_Data!C292</f>
        <v/>
      </c>
      <c r="D292" s="2">
        <f>Raw_Data!D292</f>
        <v/>
      </c>
      <c r="E292" s="8">
        <f>Raw_Data!F292</f>
        <v/>
      </c>
      <c r="F292" s="7">
        <f>Raw_Data!H292</f>
        <v/>
      </c>
      <c r="G292" s="7">
        <f>Raw_Data!I292</f>
        <v/>
      </c>
      <c r="H292" s="2">
        <f>Raw_Data!J292</f>
        <v/>
      </c>
      <c r="I292" s="2">
        <f>IF(G292="",0,G292-B292)</f>
        <v/>
      </c>
      <c r="J292" s="2">
        <f>IF(H292="Paid",MAX(0,G292-F292),MAX(0,DATE(2026,12,31)-F292))</f>
        <v/>
      </c>
      <c r="K292" s="8">
        <f>IF(H292="Paid",0,E292)</f>
        <v/>
      </c>
      <c r="L292" s="2">
        <f>IF(J292=0,"Current",IF(J292&lt;=30,"1-30 Days",IF(J292&lt;=60,"31-60 Days",IF(J292&lt;=90,"61-90 Days","90+ Days"))))</f>
        <v/>
      </c>
      <c r="M292" s="8">
        <f>IF(Raw_Data!K292="Yes",Raw_Data!F292*Raw_Data!L292,0)</f>
        <v/>
      </c>
      <c r="N292" s="2">
        <f>IF(H292&lt;&gt;"Paid","Outstanding",IF(J292=0,"On Time","Late"))</f>
        <v/>
      </c>
    </row>
    <row r="293">
      <c r="A293" s="2">
        <f>Raw_Data!A293</f>
        <v/>
      </c>
      <c r="B293" s="7">
        <f>Raw_Data!B293</f>
        <v/>
      </c>
      <c r="C293" s="2">
        <f>Raw_Data!C293</f>
        <v/>
      </c>
      <c r="D293" s="2">
        <f>Raw_Data!D293</f>
        <v/>
      </c>
      <c r="E293" s="8">
        <f>Raw_Data!F293</f>
        <v/>
      </c>
      <c r="F293" s="7">
        <f>Raw_Data!H293</f>
        <v/>
      </c>
      <c r="G293" s="7">
        <f>Raw_Data!I293</f>
        <v/>
      </c>
      <c r="H293" s="2">
        <f>Raw_Data!J293</f>
        <v/>
      </c>
      <c r="I293" s="2">
        <f>IF(G293="",0,G293-B293)</f>
        <v/>
      </c>
      <c r="J293" s="2">
        <f>IF(H293="Paid",MAX(0,G293-F293),MAX(0,DATE(2026,12,31)-F293))</f>
        <v/>
      </c>
      <c r="K293" s="8">
        <f>IF(H293="Paid",0,E293)</f>
        <v/>
      </c>
      <c r="L293" s="2">
        <f>IF(J293=0,"Current",IF(J293&lt;=30,"1-30 Days",IF(J293&lt;=60,"31-60 Days",IF(J293&lt;=90,"61-90 Days","90+ Days"))))</f>
        <v/>
      </c>
      <c r="M293" s="8">
        <f>IF(Raw_Data!K293="Yes",Raw_Data!F293*Raw_Data!L293,0)</f>
        <v/>
      </c>
      <c r="N293" s="2">
        <f>IF(H293&lt;&gt;"Paid","Outstanding",IF(J293=0,"On Time","Late"))</f>
        <v/>
      </c>
    </row>
    <row r="294">
      <c r="A294" s="2">
        <f>Raw_Data!A294</f>
        <v/>
      </c>
      <c r="B294" s="7">
        <f>Raw_Data!B294</f>
        <v/>
      </c>
      <c r="C294" s="2">
        <f>Raw_Data!C294</f>
        <v/>
      </c>
      <c r="D294" s="2">
        <f>Raw_Data!D294</f>
        <v/>
      </c>
      <c r="E294" s="8">
        <f>Raw_Data!F294</f>
        <v/>
      </c>
      <c r="F294" s="7">
        <f>Raw_Data!H294</f>
        <v/>
      </c>
      <c r="G294" s="7">
        <f>Raw_Data!I294</f>
        <v/>
      </c>
      <c r="H294" s="2">
        <f>Raw_Data!J294</f>
        <v/>
      </c>
      <c r="I294" s="2">
        <f>IF(G294="",0,G294-B294)</f>
        <v/>
      </c>
      <c r="J294" s="2">
        <f>IF(H294="Paid",MAX(0,G294-F294),MAX(0,DATE(2026,12,31)-F294))</f>
        <v/>
      </c>
      <c r="K294" s="8">
        <f>IF(H294="Paid",0,E294)</f>
        <v/>
      </c>
      <c r="L294" s="2">
        <f>IF(J294=0,"Current",IF(J294&lt;=30,"1-30 Days",IF(J294&lt;=60,"31-60 Days",IF(J294&lt;=90,"61-90 Days","90+ Days"))))</f>
        <v/>
      </c>
      <c r="M294" s="8">
        <f>IF(Raw_Data!K294="Yes",Raw_Data!F294*Raw_Data!L294,0)</f>
        <v/>
      </c>
      <c r="N294" s="2">
        <f>IF(H294&lt;&gt;"Paid","Outstanding",IF(J294=0,"On Time","Late"))</f>
        <v/>
      </c>
    </row>
    <row r="295">
      <c r="A295" s="2">
        <f>Raw_Data!A295</f>
        <v/>
      </c>
      <c r="B295" s="7">
        <f>Raw_Data!B295</f>
        <v/>
      </c>
      <c r="C295" s="2">
        <f>Raw_Data!C295</f>
        <v/>
      </c>
      <c r="D295" s="2">
        <f>Raw_Data!D295</f>
        <v/>
      </c>
      <c r="E295" s="8">
        <f>Raw_Data!F295</f>
        <v/>
      </c>
      <c r="F295" s="7">
        <f>Raw_Data!H295</f>
        <v/>
      </c>
      <c r="G295" s="7">
        <f>Raw_Data!I295</f>
        <v/>
      </c>
      <c r="H295" s="2">
        <f>Raw_Data!J295</f>
        <v/>
      </c>
      <c r="I295" s="2">
        <f>IF(G295="",0,G295-B295)</f>
        <v/>
      </c>
      <c r="J295" s="2">
        <f>IF(H295="Paid",MAX(0,G295-F295),MAX(0,DATE(2026,12,31)-F295))</f>
        <v/>
      </c>
      <c r="K295" s="8">
        <f>IF(H295="Paid",0,E295)</f>
        <v/>
      </c>
      <c r="L295" s="2">
        <f>IF(J295=0,"Current",IF(J295&lt;=30,"1-30 Days",IF(J295&lt;=60,"31-60 Days",IF(J295&lt;=90,"61-90 Days","90+ Days"))))</f>
        <v/>
      </c>
      <c r="M295" s="8">
        <f>IF(Raw_Data!K295="Yes",Raw_Data!F295*Raw_Data!L295,0)</f>
        <v/>
      </c>
      <c r="N295" s="2">
        <f>IF(H295&lt;&gt;"Paid","Outstanding",IF(J295=0,"On Time","Late"))</f>
        <v/>
      </c>
    </row>
    <row r="296">
      <c r="A296" s="2">
        <f>Raw_Data!A296</f>
        <v/>
      </c>
      <c r="B296" s="7">
        <f>Raw_Data!B296</f>
        <v/>
      </c>
      <c r="C296" s="2">
        <f>Raw_Data!C296</f>
        <v/>
      </c>
      <c r="D296" s="2">
        <f>Raw_Data!D296</f>
        <v/>
      </c>
      <c r="E296" s="8">
        <f>Raw_Data!F296</f>
        <v/>
      </c>
      <c r="F296" s="7">
        <f>Raw_Data!H296</f>
        <v/>
      </c>
      <c r="G296" s="7">
        <f>Raw_Data!I296</f>
        <v/>
      </c>
      <c r="H296" s="2">
        <f>Raw_Data!J296</f>
        <v/>
      </c>
      <c r="I296" s="2">
        <f>IF(G296="",0,G296-B296)</f>
        <v/>
      </c>
      <c r="J296" s="2">
        <f>IF(H296="Paid",MAX(0,G296-F296),MAX(0,DATE(2026,12,31)-F296))</f>
        <v/>
      </c>
      <c r="K296" s="8">
        <f>IF(H296="Paid",0,E296)</f>
        <v/>
      </c>
      <c r="L296" s="2">
        <f>IF(J296=0,"Current",IF(J296&lt;=30,"1-30 Days",IF(J296&lt;=60,"31-60 Days",IF(J296&lt;=90,"61-90 Days","90+ Days"))))</f>
        <v/>
      </c>
      <c r="M296" s="8">
        <f>IF(Raw_Data!K296="Yes",Raw_Data!F296*Raw_Data!L296,0)</f>
        <v/>
      </c>
      <c r="N296" s="2">
        <f>IF(H296&lt;&gt;"Paid","Outstanding",IF(J296=0,"On Time","Late"))</f>
        <v/>
      </c>
    </row>
    <row r="297">
      <c r="A297" s="2">
        <f>Raw_Data!A297</f>
        <v/>
      </c>
      <c r="B297" s="7">
        <f>Raw_Data!B297</f>
        <v/>
      </c>
      <c r="C297" s="2">
        <f>Raw_Data!C297</f>
        <v/>
      </c>
      <c r="D297" s="2">
        <f>Raw_Data!D297</f>
        <v/>
      </c>
      <c r="E297" s="8">
        <f>Raw_Data!F297</f>
        <v/>
      </c>
      <c r="F297" s="7">
        <f>Raw_Data!H297</f>
        <v/>
      </c>
      <c r="G297" s="7">
        <f>Raw_Data!I297</f>
        <v/>
      </c>
      <c r="H297" s="2">
        <f>Raw_Data!J297</f>
        <v/>
      </c>
      <c r="I297" s="2">
        <f>IF(G297="",0,G297-B297)</f>
        <v/>
      </c>
      <c r="J297" s="2">
        <f>IF(H297="Paid",MAX(0,G297-F297),MAX(0,DATE(2026,12,31)-F297))</f>
        <v/>
      </c>
      <c r="K297" s="8">
        <f>IF(H297="Paid",0,E297)</f>
        <v/>
      </c>
      <c r="L297" s="2">
        <f>IF(J297=0,"Current",IF(J297&lt;=30,"1-30 Days",IF(J297&lt;=60,"31-60 Days",IF(J297&lt;=90,"61-90 Days","90+ Days"))))</f>
        <v/>
      </c>
      <c r="M297" s="8">
        <f>IF(Raw_Data!K297="Yes",Raw_Data!F297*Raw_Data!L297,0)</f>
        <v/>
      </c>
      <c r="N297" s="2">
        <f>IF(H297&lt;&gt;"Paid","Outstanding",IF(J297=0,"On Time","Late"))</f>
        <v/>
      </c>
    </row>
    <row r="298">
      <c r="A298" s="2">
        <f>Raw_Data!A298</f>
        <v/>
      </c>
      <c r="B298" s="7">
        <f>Raw_Data!B298</f>
        <v/>
      </c>
      <c r="C298" s="2">
        <f>Raw_Data!C298</f>
        <v/>
      </c>
      <c r="D298" s="2">
        <f>Raw_Data!D298</f>
        <v/>
      </c>
      <c r="E298" s="8">
        <f>Raw_Data!F298</f>
        <v/>
      </c>
      <c r="F298" s="7">
        <f>Raw_Data!H298</f>
        <v/>
      </c>
      <c r="G298" s="7">
        <f>Raw_Data!I298</f>
        <v/>
      </c>
      <c r="H298" s="2">
        <f>Raw_Data!J298</f>
        <v/>
      </c>
      <c r="I298" s="2">
        <f>IF(G298="",0,G298-B298)</f>
        <v/>
      </c>
      <c r="J298" s="2">
        <f>IF(H298="Paid",MAX(0,G298-F298),MAX(0,DATE(2026,12,31)-F298))</f>
        <v/>
      </c>
      <c r="K298" s="8">
        <f>IF(H298="Paid",0,E298)</f>
        <v/>
      </c>
      <c r="L298" s="2">
        <f>IF(J298=0,"Current",IF(J298&lt;=30,"1-30 Days",IF(J298&lt;=60,"31-60 Days",IF(J298&lt;=90,"61-90 Days","90+ Days"))))</f>
        <v/>
      </c>
      <c r="M298" s="8">
        <f>IF(Raw_Data!K298="Yes",Raw_Data!F298*Raw_Data!L298,0)</f>
        <v/>
      </c>
      <c r="N298" s="2">
        <f>IF(H298&lt;&gt;"Paid","Outstanding",IF(J298=0,"On Time","Late"))</f>
        <v/>
      </c>
    </row>
    <row r="299">
      <c r="A299" s="2">
        <f>Raw_Data!A299</f>
        <v/>
      </c>
      <c r="B299" s="7">
        <f>Raw_Data!B299</f>
        <v/>
      </c>
      <c r="C299" s="2">
        <f>Raw_Data!C299</f>
        <v/>
      </c>
      <c r="D299" s="2">
        <f>Raw_Data!D299</f>
        <v/>
      </c>
      <c r="E299" s="8">
        <f>Raw_Data!F299</f>
        <v/>
      </c>
      <c r="F299" s="7">
        <f>Raw_Data!H299</f>
        <v/>
      </c>
      <c r="G299" s="7">
        <f>Raw_Data!I299</f>
        <v/>
      </c>
      <c r="H299" s="2">
        <f>Raw_Data!J299</f>
        <v/>
      </c>
      <c r="I299" s="2">
        <f>IF(G299="",0,G299-B299)</f>
        <v/>
      </c>
      <c r="J299" s="2">
        <f>IF(H299="Paid",MAX(0,G299-F299),MAX(0,DATE(2026,12,31)-F299))</f>
        <v/>
      </c>
      <c r="K299" s="8">
        <f>IF(H299="Paid",0,E299)</f>
        <v/>
      </c>
      <c r="L299" s="2">
        <f>IF(J299=0,"Current",IF(J299&lt;=30,"1-30 Days",IF(J299&lt;=60,"31-60 Days",IF(J299&lt;=90,"61-90 Days","90+ Days"))))</f>
        <v/>
      </c>
      <c r="M299" s="8">
        <f>IF(Raw_Data!K299="Yes",Raw_Data!F299*Raw_Data!L299,0)</f>
        <v/>
      </c>
      <c r="N299" s="2">
        <f>IF(H299&lt;&gt;"Paid","Outstanding",IF(J299=0,"On Time","Late"))</f>
        <v/>
      </c>
    </row>
    <row r="300">
      <c r="A300" s="2">
        <f>Raw_Data!A300</f>
        <v/>
      </c>
      <c r="B300" s="7">
        <f>Raw_Data!B300</f>
        <v/>
      </c>
      <c r="C300" s="2">
        <f>Raw_Data!C300</f>
        <v/>
      </c>
      <c r="D300" s="2">
        <f>Raw_Data!D300</f>
        <v/>
      </c>
      <c r="E300" s="8">
        <f>Raw_Data!F300</f>
        <v/>
      </c>
      <c r="F300" s="7">
        <f>Raw_Data!H300</f>
        <v/>
      </c>
      <c r="G300" s="7">
        <f>Raw_Data!I300</f>
        <v/>
      </c>
      <c r="H300" s="2">
        <f>Raw_Data!J300</f>
        <v/>
      </c>
      <c r="I300" s="2">
        <f>IF(G300="",0,G300-B300)</f>
        <v/>
      </c>
      <c r="J300" s="2">
        <f>IF(H300="Paid",MAX(0,G300-F300),MAX(0,DATE(2026,12,31)-F300))</f>
        <v/>
      </c>
      <c r="K300" s="8">
        <f>IF(H300="Paid",0,E300)</f>
        <v/>
      </c>
      <c r="L300" s="2">
        <f>IF(J300=0,"Current",IF(J300&lt;=30,"1-30 Days",IF(J300&lt;=60,"31-60 Days",IF(J300&lt;=90,"61-90 Days","90+ Days"))))</f>
        <v/>
      </c>
      <c r="M300" s="8">
        <f>IF(Raw_Data!K300="Yes",Raw_Data!F300*Raw_Data!L300,0)</f>
        <v/>
      </c>
      <c r="N300" s="2">
        <f>IF(H300&lt;&gt;"Paid","Outstanding",IF(J300=0,"On Time","Late"))</f>
        <v/>
      </c>
    </row>
    <row r="301">
      <c r="A301" s="2">
        <f>Raw_Data!A301</f>
        <v/>
      </c>
      <c r="B301" s="7">
        <f>Raw_Data!B301</f>
        <v/>
      </c>
      <c r="C301" s="2">
        <f>Raw_Data!C301</f>
        <v/>
      </c>
      <c r="D301" s="2">
        <f>Raw_Data!D301</f>
        <v/>
      </c>
      <c r="E301" s="8">
        <f>Raw_Data!F301</f>
        <v/>
      </c>
      <c r="F301" s="7">
        <f>Raw_Data!H301</f>
        <v/>
      </c>
      <c r="G301" s="7">
        <f>Raw_Data!I301</f>
        <v/>
      </c>
      <c r="H301" s="2">
        <f>Raw_Data!J301</f>
        <v/>
      </c>
      <c r="I301" s="2">
        <f>IF(G301="",0,G301-B301)</f>
        <v/>
      </c>
      <c r="J301" s="2">
        <f>IF(H301="Paid",MAX(0,G301-F301),MAX(0,DATE(2026,12,31)-F301))</f>
        <v/>
      </c>
      <c r="K301" s="8">
        <f>IF(H301="Paid",0,E301)</f>
        <v/>
      </c>
      <c r="L301" s="2">
        <f>IF(J301=0,"Current",IF(J301&lt;=30,"1-30 Days",IF(J301&lt;=60,"31-60 Days",IF(J301&lt;=90,"61-90 Days","90+ Days"))))</f>
        <v/>
      </c>
      <c r="M301" s="8">
        <f>IF(Raw_Data!K301="Yes",Raw_Data!F301*Raw_Data!L301,0)</f>
        <v/>
      </c>
      <c r="N301" s="2">
        <f>IF(H301&lt;&gt;"Paid","Outstanding",IF(J301=0,"On Time","Late"))</f>
        <v/>
      </c>
    </row>
    <row r="302">
      <c r="A302" s="2">
        <f>Raw_Data!A302</f>
        <v/>
      </c>
      <c r="B302" s="7">
        <f>Raw_Data!B302</f>
        <v/>
      </c>
      <c r="C302" s="2">
        <f>Raw_Data!C302</f>
        <v/>
      </c>
      <c r="D302" s="2">
        <f>Raw_Data!D302</f>
        <v/>
      </c>
      <c r="E302" s="8">
        <f>Raw_Data!F302</f>
        <v/>
      </c>
      <c r="F302" s="7">
        <f>Raw_Data!H302</f>
        <v/>
      </c>
      <c r="G302" s="7">
        <f>Raw_Data!I302</f>
        <v/>
      </c>
      <c r="H302" s="2">
        <f>Raw_Data!J302</f>
        <v/>
      </c>
      <c r="I302" s="2">
        <f>IF(G302="",0,G302-B302)</f>
        <v/>
      </c>
      <c r="J302" s="2">
        <f>IF(H302="Paid",MAX(0,G302-F302),MAX(0,DATE(2026,12,31)-F302))</f>
        <v/>
      </c>
      <c r="K302" s="8">
        <f>IF(H302="Paid",0,E302)</f>
        <v/>
      </c>
      <c r="L302" s="2">
        <f>IF(J302=0,"Current",IF(J302&lt;=30,"1-30 Days",IF(J302&lt;=60,"31-60 Days",IF(J302&lt;=90,"61-90 Days","90+ Days"))))</f>
        <v/>
      </c>
      <c r="M302" s="8">
        <f>IF(Raw_Data!K302="Yes",Raw_Data!F302*Raw_Data!L302,0)</f>
        <v/>
      </c>
      <c r="N302" s="2">
        <f>IF(H302&lt;&gt;"Paid","Outstanding",IF(J302=0,"On Time","Late"))</f>
        <v/>
      </c>
    </row>
    <row r="303">
      <c r="A303" s="2">
        <f>Raw_Data!A303</f>
        <v/>
      </c>
      <c r="B303" s="7">
        <f>Raw_Data!B303</f>
        <v/>
      </c>
      <c r="C303" s="2">
        <f>Raw_Data!C303</f>
        <v/>
      </c>
      <c r="D303" s="2">
        <f>Raw_Data!D303</f>
        <v/>
      </c>
      <c r="E303" s="8">
        <f>Raw_Data!F303</f>
        <v/>
      </c>
      <c r="F303" s="7">
        <f>Raw_Data!H303</f>
        <v/>
      </c>
      <c r="G303" s="7">
        <f>Raw_Data!I303</f>
        <v/>
      </c>
      <c r="H303" s="2">
        <f>Raw_Data!J303</f>
        <v/>
      </c>
      <c r="I303" s="2">
        <f>IF(G303="",0,G303-B303)</f>
        <v/>
      </c>
      <c r="J303" s="2">
        <f>IF(H303="Paid",MAX(0,G303-F303),MAX(0,DATE(2026,12,31)-F303))</f>
        <v/>
      </c>
      <c r="K303" s="8">
        <f>IF(H303="Paid",0,E303)</f>
        <v/>
      </c>
      <c r="L303" s="2">
        <f>IF(J303=0,"Current",IF(J303&lt;=30,"1-30 Days",IF(J303&lt;=60,"31-60 Days",IF(J303&lt;=90,"61-90 Days","90+ Days"))))</f>
        <v/>
      </c>
      <c r="M303" s="8">
        <f>IF(Raw_Data!K303="Yes",Raw_Data!F303*Raw_Data!L303,0)</f>
        <v/>
      </c>
      <c r="N303" s="2">
        <f>IF(H303&lt;&gt;"Paid","Outstanding",IF(J303=0,"On Time","Late"))</f>
        <v/>
      </c>
    </row>
    <row r="304">
      <c r="A304" s="2">
        <f>Raw_Data!A304</f>
        <v/>
      </c>
      <c r="B304" s="7">
        <f>Raw_Data!B304</f>
        <v/>
      </c>
      <c r="C304" s="2">
        <f>Raw_Data!C304</f>
        <v/>
      </c>
      <c r="D304" s="2">
        <f>Raw_Data!D304</f>
        <v/>
      </c>
      <c r="E304" s="8">
        <f>Raw_Data!F304</f>
        <v/>
      </c>
      <c r="F304" s="7">
        <f>Raw_Data!H304</f>
        <v/>
      </c>
      <c r="G304" s="7">
        <f>Raw_Data!I304</f>
        <v/>
      </c>
      <c r="H304" s="2">
        <f>Raw_Data!J304</f>
        <v/>
      </c>
      <c r="I304" s="2">
        <f>IF(G304="",0,G304-B304)</f>
        <v/>
      </c>
      <c r="J304" s="2">
        <f>IF(H304="Paid",MAX(0,G304-F304),MAX(0,DATE(2026,12,31)-F304))</f>
        <v/>
      </c>
      <c r="K304" s="8">
        <f>IF(H304="Paid",0,E304)</f>
        <v/>
      </c>
      <c r="L304" s="2">
        <f>IF(J304=0,"Current",IF(J304&lt;=30,"1-30 Days",IF(J304&lt;=60,"31-60 Days",IF(J304&lt;=90,"61-90 Days","90+ Days"))))</f>
        <v/>
      </c>
      <c r="M304" s="8">
        <f>IF(Raw_Data!K304="Yes",Raw_Data!F304*Raw_Data!L304,0)</f>
        <v/>
      </c>
      <c r="N304" s="2">
        <f>IF(H304&lt;&gt;"Paid","Outstanding",IF(J304=0,"On Time","Late"))</f>
        <v/>
      </c>
    </row>
    <row r="305">
      <c r="A305" s="2">
        <f>Raw_Data!A305</f>
        <v/>
      </c>
      <c r="B305" s="7">
        <f>Raw_Data!B305</f>
        <v/>
      </c>
      <c r="C305" s="2">
        <f>Raw_Data!C305</f>
        <v/>
      </c>
      <c r="D305" s="2">
        <f>Raw_Data!D305</f>
        <v/>
      </c>
      <c r="E305" s="8">
        <f>Raw_Data!F305</f>
        <v/>
      </c>
      <c r="F305" s="7">
        <f>Raw_Data!H305</f>
        <v/>
      </c>
      <c r="G305" s="7">
        <f>Raw_Data!I305</f>
        <v/>
      </c>
      <c r="H305" s="2">
        <f>Raw_Data!J305</f>
        <v/>
      </c>
      <c r="I305" s="2">
        <f>IF(G305="",0,G305-B305)</f>
        <v/>
      </c>
      <c r="J305" s="2">
        <f>IF(H305="Paid",MAX(0,G305-F305),MAX(0,DATE(2026,12,31)-F305))</f>
        <v/>
      </c>
      <c r="K305" s="8">
        <f>IF(H305="Paid",0,E305)</f>
        <v/>
      </c>
      <c r="L305" s="2">
        <f>IF(J305=0,"Current",IF(J305&lt;=30,"1-30 Days",IF(J305&lt;=60,"31-60 Days",IF(J305&lt;=90,"61-90 Days","90+ Days"))))</f>
        <v/>
      </c>
      <c r="M305" s="8">
        <f>IF(Raw_Data!K305="Yes",Raw_Data!F305*Raw_Data!L305,0)</f>
        <v/>
      </c>
      <c r="N305" s="2">
        <f>IF(H305&lt;&gt;"Paid","Outstanding",IF(J305=0,"On Time","Late"))</f>
        <v/>
      </c>
    </row>
    <row r="306">
      <c r="A306" s="2">
        <f>Raw_Data!A306</f>
        <v/>
      </c>
      <c r="B306" s="7">
        <f>Raw_Data!B306</f>
        <v/>
      </c>
      <c r="C306" s="2">
        <f>Raw_Data!C306</f>
        <v/>
      </c>
      <c r="D306" s="2">
        <f>Raw_Data!D306</f>
        <v/>
      </c>
      <c r="E306" s="8">
        <f>Raw_Data!F306</f>
        <v/>
      </c>
      <c r="F306" s="7">
        <f>Raw_Data!H306</f>
        <v/>
      </c>
      <c r="G306" s="7">
        <f>Raw_Data!I306</f>
        <v/>
      </c>
      <c r="H306" s="2">
        <f>Raw_Data!J306</f>
        <v/>
      </c>
      <c r="I306" s="2">
        <f>IF(G306="",0,G306-B306)</f>
        <v/>
      </c>
      <c r="J306" s="2">
        <f>IF(H306="Paid",MAX(0,G306-F306),MAX(0,DATE(2026,12,31)-F306))</f>
        <v/>
      </c>
      <c r="K306" s="8">
        <f>IF(H306="Paid",0,E306)</f>
        <v/>
      </c>
      <c r="L306" s="2">
        <f>IF(J306=0,"Current",IF(J306&lt;=30,"1-30 Days",IF(J306&lt;=60,"31-60 Days",IF(J306&lt;=90,"61-90 Days","90+ Days"))))</f>
        <v/>
      </c>
      <c r="M306" s="8">
        <f>IF(Raw_Data!K306="Yes",Raw_Data!F306*Raw_Data!L306,0)</f>
        <v/>
      </c>
      <c r="N306" s="2">
        <f>IF(H306&lt;&gt;"Paid","Outstanding",IF(J306=0,"On Time","Late"))</f>
        <v/>
      </c>
    </row>
    <row r="307">
      <c r="A307" s="2">
        <f>Raw_Data!A307</f>
        <v/>
      </c>
      <c r="B307" s="7">
        <f>Raw_Data!B307</f>
        <v/>
      </c>
      <c r="C307" s="2">
        <f>Raw_Data!C307</f>
        <v/>
      </c>
      <c r="D307" s="2">
        <f>Raw_Data!D307</f>
        <v/>
      </c>
      <c r="E307" s="8">
        <f>Raw_Data!F307</f>
        <v/>
      </c>
      <c r="F307" s="7">
        <f>Raw_Data!H307</f>
        <v/>
      </c>
      <c r="G307" s="7">
        <f>Raw_Data!I307</f>
        <v/>
      </c>
      <c r="H307" s="2">
        <f>Raw_Data!J307</f>
        <v/>
      </c>
      <c r="I307" s="2">
        <f>IF(G307="",0,G307-B307)</f>
        <v/>
      </c>
      <c r="J307" s="2">
        <f>IF(H307="Paid",MAX(0,G307-F307),MAX(0,DATE(2026,12,31)-F307))</f>
        <v/>
      </c>
      <c r="K307" s="8">
        <f>IF(H307="Paid",0,E307)</f>
        <v/>
      </c>
      <c r="L307" s="2">
        <f>IF(J307=0,"Current",IF(J307&lt;=30,"1-30 Days",IF(J307&lt;=60,"31-60 Days",IF(J307&lt;=90,"61-90 Days","90+ Days"))))</f>
        <v/>
      </c>
      <c r="M307" s="8">
        <f>IF(Raw_Data!K307="Yes",Raw_Data!F307*Raw_Data!L307,0)</f>
        <v/>
      </c>
      <c r="N307" s="2">
        <f>IF(H307&lt;&gt;"Paid","Outstanding",IF(J307=0,"On Time","Late"))</f>
        <v/>
      </c>
    </row>
    <row r="308">
      <c r="A308" s="2">
        <f>Raw_Data!A308</f>
        <v/>
      </c>
      <c r="B308" s="7">
        <f>Raw_Data!B308</f>
        <v/>
      </c>
      <c r="C308" s="2">
        <f>Raw_Data!C308</f>
        <v/>
      </c>
      <c r="D308" s="2">
        <f>Raw_Data!D308</f>
        <v/>
      </c>
      <c r="E308" s="8">
        <f>Raw_Data!F308</f>
        <v/>
      </c>
      <c r="F308" s="7">
        <f>Raw_Data!H308</f>
        <v/>
      </c>
      <c r="G308" s="7">
        <f>Raw_Data!I308</f>
        <v/>
      </c>
      <c r="H308" s="2">
        <f>Raw_Data!J308</f>
        <v/>
      </c>
      <c r="I308" s="2">
        <f>IF(G308="",0,G308-B308)</f>
        <v/>
      </c>
      <c r="J308" s="2">
        <f>IF(H308="Paid",MAX(0,G308-F308),MAX(0,DATE(2026,12,31)-F308))</f>
        <v/>
      </c>
      <c r="K308" s="8">
        <f>IF(H308="Paid",0,E308)</f>
        <v/>
      </c>
      <c r="L308" s="2">
        <f>IF(J308=0,"Current",IF(J308&lt;=30,"1-30 Days",IF(J308&lt;=60,"31-60 Days",IF(J308&lt;=90,"61-90 Days","90+ Days"))))</f>
        <v/>
      </c>
      <c r="M308" s="8">
        <f>IF(Raw_Data!K308="Yes",Raw_Data!F308*Raw_Data!L308,0)</f>
        <v/>
      </c>
      <c r="N308" s="2">
        <f>IF(H308&lt;&gt;"Paid","Outstanding",IF(J308=0,"On Time","Late"))</f>
        <v/>
      </c>
    </row>
    <row r="309">
      <c r="A309" s="2">
        <f>Raw_Data!A309</f>
        <v/>
      </c>
      <c r="B309" s="7">
        <f>Raw_Data!B309</f>
        <v/>
      </c>
      <c r="C309" s="2">
        <f>Raw_Data!C309</f>
        <v/>
      </c>
      <c r="D309" s="2">
        <f>Raw_Data!D309</f>
        <v/>
      </c>
      <c r="E309" s="8">
        <f>Raw_Data!F309</f>
        <v/>
      </c>
      <c r="F309" s="7">
        <f>Raw_Data!H309</f>
        <v/>
      </c>
      <c r="G309" s="7">
        <f>Raw_Data!I309</f>
        <v/>
      </c>
      <c r="H309" s="2">
        <f>Raw_Data!J309</f>
        <v/>
      </c>
      <c r="I309" s="2">
        <f>IF(G309="",0,G309-B309)</f>
        <v/>
      </c>
      <c r="J309" s="2">
        <f>IF(H309="Paid",MAX(0,G309-F309),MAX(0,DATE(2026,12,31)-F309))</f>
        <v/>
      </c>
      <c r="K309" s="8">
        <f>IF(H309="Paid",0,E309)</f>
        <v/>
      </c>
      <c r="L309" s="2">
        <f>IF(J309=0,"Current",IF(J309&lt;=30,"1-30 Days",IF(J309&lt;=60,"31-60 Days",IF(J309&lt;=90,"61-90 Days","90+ Days"))))</f>
        <v/>
      </c>
      <c r="M309" s="8">
        <f>IF(Raw_Data!K309="Yes",Raw_Data!F309*Raw_Data!L309,0)</f>
        <v/>
      </c>
      <c r="N309" s="2">
        <f>IF(H309&lt;&gt;"Paid","Outstanding",IF(J309=0,"On Time","Late"))</f>
        <v/>
      </c>
    </row>
    <row r="310">
      <c r="A310" s="2">
        <f>Raw_Data!A310</f>
        <v/>
      </c>
      <c r="B310" s="7">
        <f>Raw_Data!B310</f>
        <v/>
      </c>
      <c r="C310" s="2">
        <f>Raw_Data!C310</f>
        <v/>
      </c>
      <c r="D310" s="2">
        <f>Raw_Data!D310</f>
        <v/>
      </c>
      <c r="E310" s="8">
        <f>Raw_Data!F310</f>
        <v/>
      </c>
      <c r="F310" s="7">
        <f>Raw_Data!H310</f>
        <v/>
      </c>
      <c r="G310" s="7">
        <f>Raw_Data!I310</f>
        <v/>
      </c>
      <c r="H310" s="2">
        <f>Raw_Data!J310</f>
        <v/>
      </c>
      <c r="I310" s="2">
        <f>IF(G310="",0,G310-B310)</f>
        <v/>
      </c>
      <c r="J310" s="2">
        <f>IF(H310="Paid",MAX(0,G310-F310),MAX(0,DATE(2026,12,31)-F310))</f>
        <v/>
      </c>
      <c r="K310" s="8">
        <f>IF(H310="Paid",0,E310)</f>
        <v/>
      </c>
      <c r="L310" s="2">
        <f>IF(J310=0,"Current",IF(J310&lt;=30,"1-30 Days",IF(J310&lt;=60,"31-60 Days",IF(J310&lt;=90,"61-90 Days","90+ Days"))))</f>
        <v/>
      </c>
      <c r="M310" s="8">
        <f>IF(Raw_Data!K310="Yes",Raw_Data!F310*Raw_Data!L310,0)</f>
        <v/>
      </c>
      <c r="N310" s="2">
        <f>IF(H310&lt;&gt;"Paid","Outstanding",IF(J310=0,"On Time","Late"))</f>
        <v/>
      </c>
    </row>
    <row r="311">
      <c r="A311" s="2">
        <f>Raw_Data!A311</f>
        <v/>
      </c>
      <c r="B311" s="7">
        <f>Raw_Data!B311</f>
        <v/>
      </c>
      <c r="C311" s="2">
        <f>Raw_Data!C311</f>
        <v/>
      </c>
      <c r="D311" s="2">
        <f>Raw_Data!D311</f>
        <v/>
      </c>
      <c r="E311" s="8">
        <f>Raw_Data!F311</f>
        <v/>
      </c>
      <c r="F311" s="7">
        <f>Raw_Data!H311</f>
        <v/>
      </c>
      <c r="G311" s="7">
        <f>Raw_Data!I311</f>
        <v/>
      </c>
      <c r="H311" s="2">
        <f>Raw_Data!J311</f>
        <v/>
      </c>
      <c r="I311" s="2">
        <f>IF(G311="",0,G311-B311)</f>
        <v/>
      </c>
      <c r="J311" s="2">
        <f>IF(H311="Paid",MAX(0,G311-F311),MAX(0,DATE(2026,12,31)-F311))</f>
        <v/>
      </c>
      <c r="K311" s="8">
        <f>IF(H311="Paid",0,E311)</f>
        <v/>
      </c>
      <c r="L311" s="2">
        <f>IF(J311=0,"Current",IF(J311&lt;=30,"1-30 Days",IF(J311&lt;=60,"31-60 Days",IF(J311&lt;=90,"61-90 Days","90+ Days"))))</f>
        <v/>
      </c>
      <c r="M311" s="8">
        <f>IF(Raw_Data!K311="Yes",Raw_Data!F311*Raw_Data!L311,0)</f>
        <v/>
      </c>
      <c r="N311" s="2">
        <f>IF(H311&lt;&gt;"Paid","Outstanding",IF(J311=0,"On Time","Late"))</f>
        <v/>
      </c>
    </row>
    <row r="312">
      <c r="A312" s="2">
        <f>Raw_Data!A312</f>
        <v/>
      </c>
      <c r="B312" s="7">
        <f>Raw_Data!B312</f>
        <v/>
      </c>
      <c r="C312" s="2">
        <f>Raw_Data!C312</f>
        <v/>
      </c>
      <c r="D312" s="2">
        <f>Raw_Data!D312</f>
        <v/>
      </c>
      <c r="E312" s="8">
        <f>Raw_Data!F312</f>
        <v/>
      </c>
      <c r="F312" s="7">
        <f>Raw_Data!H312</f>
        <v/>
      </c>
      <c r="G312" s="7">
        <f>Raw_Data!I312</f>
        <v/>
      </c>
      <c r="H312" s="2">
        <f>Raw_Data!J312</f>
        <v/>
      </c>
      <c r="I312" s="2">
        <f>IF(G312="",0,G312-B312)</f>
        <v/>
      </c>
      <c r="J312" s="2">
        <f>IF(H312="Paid",MAX(0,G312-F312),MAX(0,DATE(2026,12,31)-F312))</f>
        <v/>
      </c>
      <c r="K312" s="8">
        <f>IF(H312="Paid",0,E312)</f>
        <v/>
      </c>
      <c r="L312" s="2">
        <f>IF(J312=0,"Current",IF(J312&lt;=30,"1-30 Days",IF(J312&lt;=60,"31-60 Days",IF(J312&lt;=90,"61-90 Days","90+ Days"))))</f>
        <v/>
      </c>
      <c r="M312" s="8">
        <f>IF(Raw_Data!K312="Yes",Raw_Data!F312*Raw_Data!L312,0)</f>
        <v/>
      </c>
      <c r="N312" s="2">
        <f>IF(H312&lt;&gt;"Paid","Outstanding",IF(J312=0,"On Time","Late"))</f>
        <v/>
      </c>
    </row>
    <row r="313">
      <c r="A313" s="2">
        <f>Raw_Data!A313</f>
        <v/>
      </c>
      <c r="B313" s="7">
        <f>Raw_Data!B313</f>
        <v/>
      </c>
      <c r="C313" s="2">
        <f>Raw_Data!C313</f>
        <v/>
      </c>
      <c r="D313" s="2">
        <f>Raw_Data!D313</f>
        <v/>
      </c>
      <c r="E313" s="8">
        <f>Raw_Data!F313</f>
        <v/>
      </c>
      <c r="F313" s="7">
        <f>Raw_Data!H313</f>
        <v/>
      </c>
      <c r="G313" s="7">
        <f>Raw_Data!I313</f>
        <v/>
      </c>
      <c r="H313" s="2">
        <f>Raw_Data!J313</f>
        <v/>
      </c>
      <c r="I313" s="2">
        <f>IF(G313="",0,G313-B313)</f>
        <v/>
      </c>
      <c r="J313" s="2">
        <f>IF(H313="Paid",MAX(0,G313-F313),MAX(0,DATE(2026,12,31)-F313))</f>
        <v/>
      </c>
      <c r="K313" s="8">
        <f>IF(H313="Paid",0,E313)</f>
        <v/>
      </c>
      <c r="L313" s="2">
        <f>IF(J313=0,"Current",IF(J313&lt;=30,"1-30 Days",IF(J313&lt;=60,"31-60 Days",IF(J313&lt;=90,"61-90 Days","90+ Days"))))</f>
        <v/>
      </c>
      <c r="M313" s="8">
        <f>IF(Raw_Data!K313="Yes",Raw_Data!F313*Raw_Data!L313,0)</f>
        <v/>
      </c>
      <c r="N313" s="2">
        <f>IF(H313&lt;&gt;"Paid","Outstanding",IF(J313=0,"On Time","Late"))</f>
        <v/>
      </c>
    </row>
    <row r="314">
      <c r="A314" s="2">
        <f>Raw_Data!A314</f>
        <v/>
      </c>
      <c r="B314" s="7">
        <f>Raw_Data!B314</f>
        <v/>
      </c>
      <c r="C314" s="2">
        <f>Raw_Data!C314</f>
        <v/>
      </c>
      <c r="D314" s="2">
        <f>Raw_Data!D314</f>
        <v/>
      </c>
      <c r="E314" s="8">
        <f>Raw_Data!F314</f>
        <v/>
      </c>
      <c r="F314" s="7">
        <f>Raw_Data!H314</f>
        <v/>
      </c>
      <c r="G314" s="7">
        <f>Raw_Data!I314</f>
        <v/>
      </c>
      <c r="H314" s="2">
        <f>Raw_Data!J314</f>
        <v/>
      </c>
      <c r="I314" s="2">
        <f>IF(G314="",0,G314-B314)</f>
        <v/>
      </c>
      <c r="J314" s="2">
        <f>IF(H314="Paid",MAX(0,G314-F314),MAX(0,DATE(2026,12,31)-F314))</f>
        <v/>
      </c>
      <c r="K314" s="8">
        <f>IF(H314="Paid",0,E314)</f>
        <v/>
      </c>
      <c r="L314" s="2">
        <f>IF(J314=0,"Current",IF(J314&lt;=30,"1-30 Days",IF(J314&lt;=60,"31-60 Days",IF(J314&lt;=90,"61-90 Days","90+ Days"))))</f>
        <v/>
      </c>
      <c r="M314" s="8">
        <f>IF(Raw_Data!K314="Yes",Raw_Data!F314*Raw_Data!L314,0)</f>
        <v/>
      </c>
      <c r="N314" s="2">
        <f>IF(H314&lt;&gt;"Paid","Outstanding",IF(J314=0,"On Time","Late"))</f>
        <v/>
      </c>
    </row>
    <row r="315">
      <c r="A315" s="2">
        <f>Raw_Data!A315</f>
        <v/>
      </c>
      <c r="B315" s="7">
        <f>Raw_Data!B315</f>
        <v/>
      </c>
      <c r="C315" s="2">
        <f>Raw_Data!C315</f>
        <v/>
      </c>
      <c r="D315" s="2">
        <f>Raw_Data!D315</f>
        <v/>
      </c>
      <c r="E315" s="8">
        <f>Raw_Data!F315</f>
        <v/>
      </c>
      <c r="F315" s="7">
        <f>Raw_Data!H315</f>
        <v/>
      </c>
      <c r="G315" s="7">
        <f>Raw_Data!I315</f>
        <v/>
      </c>
      <c r="H315" s="2">
        <f>Raw_Data!J315</f>
        <v/>
      </c>
      <c r="I315" s="2">
        <f>IF(G315="",0,G315-B315)</f>
        <v/>
      </c>
      <c r="J315" s="2">
        <f>IF(H315="Paid",MAX(0,G315-F315),MAX(0,DATE(2026,12,31)-F315))</f>
        <v/>
      </c>
      <c r="K315" s="8">
        <f>IF(H315="Paid",0,E315)</f>
        <v/>
      </c>
      <c r="L315" s="2">
        <f>IF(J315=0,"Current",IF(J315&lt;=30,"1-30 Days",IF(J315&lt;=60,"31-60 Days",IF(J315&lt;=90,"61-90 Days","90+ Days"))))</f>
        <v/>
      </c>
      <c r="M315" s="8">
        <f>IF(Raw_Data!K315="Yes",Raw_Data!F315*Raw_Data!L315,0)</f>
        <v/>
      </c>
      <c r="N315" s="2">
        <f>IF(H315&lt;&gt;"Paid","Outstanding",IF(J315=0,"On Time","Late"))</f>
        <v/>
      </c>
    </row>
    <row r="316">
      <c r="A316" s="2">
        <f>Raw_Data!A316</f>
        <v/>
      </c>
      <c r="B316" s="7">
        <f>Raw_Data!B316</f>
        <v/>
      </c>
      <c r="C316" s="2">
        <f>Raw_Data!C316</f>
        <v/>
      </c>
      <c r="D316" s="2">
        <f>Raw_Data!D316</f>
        <v/>
      </c>
      <c r="E316" s="8">
        <f>Raw_Data!F316</f>
        <v/>
      </c>
      <c r="F316" s="7">
        <f>Raw_Data!H316</f>
        <v/>
      </c>
      <c r="G316" s="7">
        <f>Raw_Data!I316</f>
        <v/>
      </c>
      <c r="H316" s="2">
        <f>Raw_Data!J316</f>
        <v/>
      </c>
      <c r="I316" s="2">
        <f>IF(G316="",0,G316-B316)</f>
        <v/>
      </c>
      <c r="J316" s="2">
        <f>IF(H316="Paid",MAX(0,G316-F316),MAX(0,DATE(2026,12,31)-F316))</f>
        <v/>
      </c>
      <c r="K316" s="8">
        <f>IF(H316="Paid",0,E316)</f>
        <v/>
      </c>
      <c r="L316" s="2">
        <f>IF(J316=0,"Current",IF(J316&lt;=30,"1-30 Days",IF(J316&lt;=60,"31-60 Days",IF(J316&lt;=90,"61-90 Days","90+ Days"))))</f>
        <v/>
      </c>
      <c r="M316" s="8">
        <f>IF(Raw_Data!K316="Yes",Raw_Data!F316*Raw_Data!L316,0)</f>
        <v/>
      </c>
      <c r="N316" s="2">
        <f>IF(H316&lt;&gt;"Paid","Outstanding",IF(J316=0,"On Time","Late"))</f>
        <v/>
      </c>
    </row>
    <row r="317">
      <c r="A317" s="2">
        <f>Raw_Data!A317</f>
        <v/>
      </c>
      <c r="B317" s="7">
        <f>Raw_Data!B317</f>
        <v/>
      </c>
      <c r="C317" s="2">
        <f>Raw_Data!C317</f>
        <v/>
      </c>
      <c r="D317" s="2">
        <f>Raw_Data!D317</f>
        <v/>
      </c>
      <c r="E317" s="8">
        <f>Raw_Data!F317</f>
        <v/>
      </c>
      <c r="F317" s="7">
        <f>Raw_Data!H317</f>
        <v/>
      </c>
      <c r="G317" s="7">
        <f>Raw_Data!I317</f>
        <v/>
      </c>
      <c r="H317" s="2">
        <f>Raw_Data!J317</f>
        <v/>
      </c>
      <c r="I317" s="2">
        <f>IF(G317="",0,G317-B317)</f>
        <v/>
      </c>
      <c r="J317" s="2">
        <f>IF(H317="Paid",MAX(0,G317-F317),MAX(0,DATE(2026,12,31)-F317))</f>
        <v/>
      </c>
      <c r="K317" s="8">
        <f>IF(H317="Paid",0,E317)</f>
        <v/>
      </c>
      <c r="L317" s="2">
        <f>IF(J317=0,"Current",IF(J317&lt;=30,"1-30 Days",IF(J317&lt;=60,"31-60 Days",IF(J317&lt;=90,"61-90 Days","90+ Days"))))</f>
        <v/>
      </c>
      <c r="M317" s="8">
        <f>IF(Raw_Data!K317="Yes",Raw_Data!F317*Raw_Data!L317,0)</f>
        <v/>
      </c>
      <c r="N317" s="2">
        <f>IF(H317&lt;&gt;"Paid","Outstanding",IF(J317=0,"On Time","Late"))</f>
        <v/>
      </c>
    </row>
    <row r="318">
      <c r="A318" s="2">
        <f>Raw_Data!A318</f>
        <v/>
      </c>
      <c r="B318" s="7">
        <f>Raw_Data!B318</f>
        <v/>
      </c>
      <c r="C318" s="2">
        <f>Raw_Data!C318</f>
        <v/>
      </c>
      <c r="D318" s="2">
        <f>Raw_Data!D318</f>
        <v/>
      </c>
      <c r="E318" s="8">
        <f>Raw_Data!F318</f>
        <v/>
      </c>
      <c r="F318" s="7">
        <f>Raw_Data!H318</f>
        <v/>
      </c>
      <c r="G318" s="7">
        <f>Raw_Data!I318</f>
        <v/>
      </c>
      <c r="H318" s="2">
        <f>Raw_Data!J318</f>
        <v/>
      </c>
      <c r="I318" s="2">
        <f>IF(G318="",0,G318-B318)</f>
        <v/>
      </c>
      <c r="J318" s="2">
        <f>IF(H318="Paid",MAX(0,G318-F318),MAX(0,DATE(2026,12,31)-F318))</f>
        <v/>
      </c>
      <c r="K318" s="8">
        <f>IF(H318="Paid",0,E318)</f>
        <v/>
      </c>
      <c r="L318" s="2">
        <f>IF(J318=0,"Current",IF(J318&lt;=30,"1-30 Days",IF(J318&lt;=60,"31-60 Days",IF(J318&lt;=90,"61-90 Days","90+ Days"))))</f>
        <v/>
      </c>
      <c r="M318" s="8">
        <f>IF(Raw_Data!K318="Yes",Raw_Data!F318*Raw_Data!L318,0)</f>
        <v/>
      </c>
      <c r="N318" s="2">
        <f>IF(H318&lt;&gt;"Paid","Outstanding",IF(J318=0,"On Time","Late"))</f>
        <v/>
      </c>
    </row>
    <row r="319">
      <c r="A319" s="2">
        <f>Raw_Data!A319</f>
        <v/>
      </c>
      <c r="B319" s="7">
        <f>Raw_Data!B319</f>
        <v/>
      </c>
      <c r="C319" s="2">
        <f>Raw_Data!C319</f>
        <v/>
      </c>
      <c r="D319" s="2">
        <f>Raw_Data!D319</f>
        <v/>
      </c>
      <c r="E319" s="8">
        <f>Raw_Data!F319</f>
        <v/>
      </c>
      <c r="F319" s="7">
        <f>Raw_Data!H319</f>
        <v/>
      </c>
      <c r="G319" s="7">
        <f>Raw_Data!I319</f>
        <v/>
      </c>
      <c r="H319" s="2">
        <f>Raw_Data!J319</f>
        <v/>
      </c>
      <c r="I319" s="2">
        <f>IF(G319="",0,G319-B319)</f>
        <v/>
      </c>
      <c r="J319" s="2">
        <f>IF(H319="Paid",MAX(0,G319-F319),MAX(0,DATE(2026,12,31)-F319))</f>
        <v/>
      </c>
      <c r="K319" s="8">
        <f>IF(H319="Paid",0,E319)</f>
        <v/>
      </c>
      <c r="L319" s="2">
        <f>IF(J319=0,"Current",IF(J319&lt;=30,"1-30 Days",IF(J319&lt;=60,"31-60 Days",IF(J319&lt;=90,"61-90 Days","90+ Days"))))</f>
        <v/>
      </c>
      <c r="M319" s="8">
        <f>IF(Raw_Data!K319="Yes",Raw_Data!F319*Raw_Data!L319,0)</f>
        <v/>
      </c>
      <c r="N319" s="2">
        <f>IF(H319&lt;&gt;"Paid","Outstanding",IF(J319=0,"On Time","Late"))</f>
        <v/>
      </c>
    </row>
    <row r="320">
      <c r="A320" s="2">
        <f>Raw_Data!A320</f>
        <v/>
      </c>
      <c r="B320" s="7">
        <f>Raw_Data!B320</f>
        <v/>
      </c>
      <c r="C320" s="2">
        <f>Raw_Data!C320</f>
        <v/>
      </c>
      <c r="D320" s="2">
        <f>Raw_Data!D320</f>
        <v/>
      </c>
      <c r="E320" s="8">
        <f>Raw_Data!F320</f>
        <v/>
      </c>
      <c r="F320" s="7">
        <f>Raw_Data!H320</f>
        <v/>
      </c>
      <c r="G320" s="7">
        <f>Raw_Data!I320</f>
        <v/>
      </c>
      <c r="H320" s="2">
        <f>Raw_Data!J320</f>
        <v/>
      </c>
      <c r="I320" s="2">
        <f>IF(G320="",0,G320-B320)</f>
        <v/>
      </c>
      <c r="J320" s="2">
        <f>IF(H320="Paid",MAX(0,G320-F320),MAX(0,DATE(2026,12,31)-F320))</f>
        <v/>
      </c>
      <c r="K320" s="8">
        <f>IF(H320="Paid",0,E320)</f>
        <v/>
      </c>
      <c r="L320" s="2">
        <f>IF(J320=0,"Current",IF(J320&lt;=30,"1-30 Days",IF(J320&lt;=60,"31-60 Days",IF(J320&lt;=90,"61-90 Days","90+ Days"))))</f>
        <v/>
      </c>
      <c r="M320" s="8">
        <f>IF(Raw_Data!K320="Yes",Raw_Data!F320*Raw_Data!L320,0)</f>
        <v/>
      </c>
      <c r="N320" s="2">
        <f>IF(H320&lt;&gt;"Paid","Outstanding",IF(J320=0,"On Time","Late"))</f>
        <v/>
      </c>
    </row>
    <row r="321">
      <c r="A321" s="2">
        <f>Raw_Data!A321</f>
        <v/>
      </c>
      <c r="B321" s="7">
        <f>Raw_Data!B321</f>
        <v/>
      </c>
      <c r="C321" s="2">
        <f>Raw_Data!C321</f>
        <v/>
      </c>
      <c r="D321" s="2">
        <f>Raw_Data!D321</f>
        <v/>
      </c>
      <c r="E321" s="8">
        <f>Raw_Data!F321</f>
        <v/>
      </c>
      <c r="F321" s="7">
        <f>Raw_Data!H321</f>
        <v/>
      </c>
      <c r="G321" s="7">
        <f>Raw_Data!I321</f>
        <v/>
      </c>
      <c r="H321" s="2">
        <f>Raw_Data!J321</f>
        <v/>
      </c>
      <c r="I321" s="2">
        <f>IF(G321="",0,G321-B321)</f>
        <v/>
      </c>
      <c r="J321" s="2">
        <f>IF(H321="Paid",MAX(0,G321-F321),MAX(0,DATE(2026,12,31)-F321))</f>
        <v/>
      </c>
      <c r="K321" s="8">
        <f>IF(H321="Paid",0,E321)</f>
        <v/>
      </c>
      <c r="L321" s="2">
        <f>IF(J321=0,"Current",IF(J321&lt;=30,"1-30 Days",IF(J321&lt;=60,"31-60 Days",IF(J321&lt;=90,"61-90 Days","90+ Days"))))</f>
        <v/>
      </c>
      <c r="M321" s="8">
        <f>IF(Raw_Data!K321="Yes",Raw_Data!F321*Raw_Data!L321,0)</f>
        <v/>
      </c>
      <c r="N321" s="2">
        <f>IF(H321&lt;&gt;"Paid","Outstanding",IF(J321=0,"On Time","Late"))</f>
        <v/>
      </c>
    </row>
    <row r="322">
      <c r="A322" s="2">
        <f>Raw_Data!A322</f>
        <v/>
      </c>
      <c r="B322" s="7">
        <f>Raw_Data!B322</f>
        <v/>
      </c>
      <c r="C322" s="2">
        <f>Raw_Data!C322</f>
        <v/>
      </c>
      <c r="D322" s="2">
        <f>Raw_Data!D322</f>
        <v/>
      </c>
      <c r="E322" s="8">
        <f>Raw_Data!F322</f>
        <v/>
      </c>
      <c r="F322" s="7">
        <f>Raw_Data!H322</f>
        <v/>
      </c>
      <c r="G322" s="7">
        <f>Raw_Data!I322</f>
        <v/>
      </c>
      <c r="H322" s="2">
        <f>Raw_Data!J322</f>
        <v/>
      </c>
      <c r="I322" s="2">
        <f>IF(G322="",0,G322-B322)</f>
        <v/>
      </c>
      <c r="J322" s="2">
        <f>IF(H322="Paid",MAX(0,G322-F322),MAX(0,DATE(2026,12,31)-F322))</f>
        <v/>
      </c>
      <c r="K322" s="8">
        <f>IF(H322="Paid",0,E322)</f>
        <v/>
      </c>
      <c r="L322" s="2">
        <f>IF(J322=0,"Current",IF(J322&lt;=30,"1-30 Days",IF(J322&lt;=60,"31-60 Days",IF(J322&lt;=90,"61-90 Days","90+ Days"))))</f>
        <v/>
      </c>
      <c r="M322" s="8">
        <f>IF(Raw_Data!K322="Yes",Raw_Data!F322*Raw_Data!L322,0)</f>
        <v/>
      </c>
      <c r="N322" s="2">
        <f>IF(H322&lt;&gt;"Paid","Outstanding",IF(J322=0,"On Time","Late"))</f>
        <v/>
      </c>
    </row>
    <row r="323">
      <c r="A323" s="2">
        <f>Raw_Data!A323</f>
        <v/>
      </c>
      <c r="B323" s="7">
        <f>Raw_Data!B323</f>
        <v/>
      </c>
      <c r="C323" s="2">
        <f>Raw_Data!C323</f>
        <v/>
      </c>
      <c r="D323" s="2">
        <f>Raw_Data!D323</f>
        <v/>
      </c>
      <c r="E323" s="8">
        <f>Raw_Data!F323</f>
        <v/>
      </c>
      <c r="F323" s="7">
        <f>Raw_Data!H323</f>
        <v/>
      </c>
      <c r="G323" s="7">
        <f>Raw_Data!I323</f>
        <v/>
      </c>
      <c r="H323" s="2">
        <f>Raw_Data!J323</f>
        <v/>
      </c>
      <c r="I323" s="2">
        <f>IF(G323="",0,G323-B323)</f>
        <v/>
      </c>
      <c r="J323" s="2">
        <f>IF(H323="Paid",MAX(0,G323-F323),MAX(0,DATE(2026,12,31)-F323))</f>
        <v/>
      </c>
      <c r="K323" s="8">
        <f>IF(H323="Paid",0,E323)</f>
        <v/>
      </c>
      <c r="L323" s="2">
        <f>IF(J323=0,"Current",IF(J323&lt;=30,"1-30 Days",IF(J323&lt;=60,"31-60 Days",IF(J323&lt;=90,"61-90 Days","90+ Days"))))</f>
        <v/>
      </c>
      <c r="M323" s="8">
        <f>IF(Raw_Data!K323="Yes",Raw_Data!F323*Raw_Data!L323,0)</f>
        <v/>
      </c>
      <c r="N323" s="2">
        <f>IF(H323&lt;&gt;"Paid","Outstanding",IF(J323=0,"On Time","Late"))</f>
        <v/>
      </c>
    </row>
    <row r="324">
      <c r="A324" s="2">
        <f>Raw_Data!A324</f>
        <v/>
      </c>
      <c r="B324" s="7">
        <f>Raw_Data!B324</f>
        <v/>
      </c>
      <c r="C324" s="2">
        <f>Raw_Data!C324</f>
        <v/>
      </c>
      <c r="D324" s="2">
        <f>Raw_Data!D324</f>
        <v/>
      </c>
      <c r="E324" s="8">
        <f>Raw_Data!F324</f>
        <v/>
      </c>
      <c r="F324" s="7">
        <f>Raw_Data!H324</f>
        <v/>
      </c>
      <c r="G324" s="7">
        <f>Raw_Data!I324</f>
        <v/>
      </c>
      <c r="H324" s="2">
        <f>Raw_Data!J324</f>
        <v/>
      </c>
      <c r="I324" s="2">
        <f>IF(G324="",0,G324-B324)</f>
        <v/>
      </c>
      <c r="J324" s="2">
        <f>IF(H324="Paid",MAX(0,G324-F324),MAX(0,DATE(2026,12,31)-F324))</f>
        <v/>
      </c>
      <c r="K324" s="8">
        <f>IF(H324="Paid",0,E324)</f>
        <v/>
      </c>
      <c r="L324" s="2">
        <f>IF(J324=0,"Current",IF(J324&lt;=30,"1-30 Days",IF(J324&lt;=60,"31-60 Days",IF(J324&lt;=90,"61-90 Days","90+ Days"))))</f>
        <v/>
      </c>
      <c r="M324" s="8">
        <f>IF(Raw_Data!K324="Yes",Raw_Data!F324*Raw_Data!L324,0)</f>
        <v/>
      </c>
      <c r="N324" s="2">
        <f>IF(H324&lt;&gt;"Paid","Outstanding",IF(J324=0,"On Time","Late"))</f>
        <v/>
      </c>
    </row>
    <row r="325">
      <c r="A325" s="2">
        <f>Raw_Data!A325</f>
        <v/>
      </c>
      <c r="B325" s="7">
        <f>Raw_Data!B325</f>
        <v/>
      </c>
      <c r="C325" s="2">
        <f>Raw_Data!C325</f>
        <v/>
      </c>
      <c r="D325" s="2">
        <f>Raw_Data!D325</f>
        <v/>
      </c>
      <c r="E325" s="8">
        <f>Raw_Data!F325</f>
        <v/>
      </c>
      <c r="F325" s="7">
        <f>Raw_Data!H325</f>
        <v/>
      </c>
      <c r="G325" s="7">
        <f>Raw_Data!I325</f>
        <v/>
      </c>
      <c r="H325" s="2">
        <f>Raw_Data!J325</f>
        <v/>
      </c>
      <c r="I325" s="2">
        <f>IF(G325="",0,G325-B325)</f>
        <v/>
      </c>
      <c r="J325" s="2">
        <f>IF(H325="Paid",MAX(0,G325-F325),MAX(0,DATE(2026,12,31)-F325))</f>
        <v/>
      </c>
      <c r="K325" s="8">
        <f>IF(H325="Paid",0,E325)</f>
        <v/>
      </c>
      <c r="L325" s="2">
        <f>IF(J325=0,"Current",IF(J325&lt;=30,"1-30 Days",IF(J325&lt;=60,"31-60 Days",IF(J325&lt;=90,"61-90 Days","90+ Days"))))</f>
        <v/>
      </c>
      <c r="M325" s="8">
        <f>IF(Raw_Data!K325="Yes",Raw_Data!F325*Raw_Data!L325,0)</f>
        <v/>
      </c>
      <c r="N325" s="2">
        <f>IF(H325&lt;&gt;"Paid","Outstanding",IF(J325=0,"On Time","Late"))</f>
        <v/>
      </c>
    </row>
    <row r="326">
      <c r="A326" s="2">
        <f>Raw_Data!A326</f>
        <v/>
      </c>
      <c r="B326" s="7">
        <f>Raw_Data!B326</f>
        <v/>
      </c>
      <c r="C326" s="2">
        <f>Raw_Data!C326</f>
        <v/>
      </c>
      <c r="D326" s="2">
        <f>Raw_Data!D326</f>
        <v/>
      </c>
      <c r="E326" s="8">
        <f>Raw_Data!F326</f>
        <v/>
      </c>
      <c r="F326" s="7">
        <f>Raw_Data!H326</f>
        <v/>
      </c>
      <c r="G326" s="7">
        <f>Raw_Data!I326</f>
        <v/>
      </c>
      <c r="H326" s="2">
        <f>Raw_Data!J326</f>
        <v/>
      </c>
      <c r="I326" s="2">
        <f>IF(G326="",0,G326-B326)</f>
        <v/>
      </c>
      <c r="J326" s="2">
        <f>IF(H326="Paid",MAX(0,G326-F326),MAX(0,DATE(2026,12,31)-F326))</f>
        <v/>
      </c>
      <c r="K326" s="8">
        <f>IF(H326="Paid",0,E326)</f>
        <v/>
      </c>
      <c r="L326" s="2">
        <f>IF(J326=0,"Current",IF(J326&lt;=30,"1-30 Days",IF(J326&lt;=60,"31-60 Days",IF(J326&lt;=90,"61-90 Days","90+ Days"))))</f>
        <v/>
      </c>
      <c r="M326" s="8">
        <f>IF(Raw_Data!K326="Yes",Raw_Data!F326*Raw_Data!L326,0)</f>
        <v/>
      </c>
      <c r="N326" s="2">
        <f>IF(H326&lt;&gt;"Paid","Outstanding",IF(J326=0,"On Time","Late"))</f>
        <v/>
      </c>
    </row>
    <row r="327">
      <c r="A327" s="2">
        <f>Raw_Data!A327</f>
        <v/>
      </c>
      <c r="B327" s="7">
        <f>Raw_Data!B327</f>
        <v/>
      </c>
      <c r="C327" s="2">
        <f>Raw_Data!C327</f>
        <v/>
      </c>
      <c r="D327" s="2">
        <f>Raw_Data!D327</f>
        <v/>
      </c>
      <c r="E327" s="8">
        <f>Raw_Data!F327</f>
        <v/>
      </c>
      <c r="F327" s="7">
        <f>Raw_Data!H327</f>
        <v/>
      </c>
      <c r="G327" s="7">
        <f>Raw_Data!I327</f>
        <v/>
      </c>
      <c r="H327" s="2">
        <f>Raw_Data!J327</f>
        <v/>
      </c>
      <c r="I327" s="2">
        <f>IF(G327="",0,G327-B327)</f>
        <v/>
      </c>
      <c r="J327" s="2">
        <f>IF(H327="Paid",MAX(0,G327-F327),MAX(0,DATE(2026,12,31)-F327))</f>
        <v/>
      </c>
      <c r="K327" s="8">
        <f>IF(H327="Paid",0,E327)</f>
        <v/>
      </c>
      <c r="L327" s="2">
        <f>IF(J327=0,"Current",IF(J327&lt;=30,"1-30 Days",IF(J327&lt;=60,"31-60 Days",IF(J327&lt;=90,"61-90 Days","90+ Days"))))</f>
        <v/>
      </c>
      <c r="M327" s="8">
        <f>IF(Raw_Data!K327="Yes",Raw_Data!F327*Raw_Data!L327,0)</f>
        <v/>
      </c>
      <c r="N327" s="2">
        <f>IF(H327&lt;&gt;"Paid","Outstanding",IF(J327=0,"On Time","Late"))</f>
        <v/>
      </c>
    </row>
    <row r="328">
      <c r="A328" s="2">
        <f>Raw_Data!A328</f>
        <v/>
      </c>
      <c r="B328" s="7">
        <f>Raw_Data!B328</f>
        <v/>
      </c>
      <c r="C328" s="2">
        <f>Raw_Data!C328</f>
        <v/>
      </c>
      <c r="D328" s="2">
        <f>Raw_Data!D328</f>
        <v/>
      </c>
      <c r="E328" s="8">
        <f>Raw_Data!F328</f>
        <v/>
      </c>
      <c r="F328" s="7">
        <f>Raw_Data!H328</f>
        <v/>
      </c>
      <c r="G328" s="7">
        <f>Raw_Data!I328</f>
        <v/>
      </c>
      <c r="H328" s="2">
        <f>Raw_Data!J328</f>
        <v/>
      </c>
      <c r="I328" s="2">
        <f>IF(G328="",0,G328-B328)</f>
        <v/>
      </c>
      <c r="J328" s="2">
        <f>IF(H328="Paid",MAX(0,G328-F328),MAX(0,DATE(2026,12,31)-F328))</f>
        <v/>
      </c>
      <c r="K328" s="8">
        <f>IF(H328="Paid",0,E328)</f>
        <v/>
      </c>
      <c r="L328" s="2">
        <f>IF(J328=0,"Current",IF(J328&lt;=30,"1-30 Days",IF(J328&lt;=60,"31-60 Days",IF(J328&lt;=90,"61-90 Days","90+ Days"))))</f>
        <v/>
      </c>
      <c r="M328" s="8">
        <f>IF(Raw_Data!K328="Yes",Raw_Data!F328*Raw_Data!L328,0)</f>
        <v/>
      </c>
      <c r="N328" s="2">
        <f>IF(H328&lt;&gt;"Paid","Outstanding",IF(J328=0,"On Time","Late"))</f>
        <v/>
      </c>
    </row>
    <row r="329">
      <c r="A329" s="2">
        <f>Raw_Data!A329</f>
        <v/>
      </c>
      <c r="B329" s="7">
        <f>Raw_Data!B329</f>
        <v/>
      </c>
      <c r="C329" s="2">
        <f>Raw_Data!C329</f>
        <v/>
      </c>
      <c r="D329" s="2">
        <f>Raw_Data!D329</f>
        <v/>
      </c>
      <c r="E329" s="8">
        <f>Raw_Data!F329</f>
        <v/>
      </c>
      <c r="F329" s="7">
        <f>Raw_Data!H329</f>
        <v/>
      </c>
      <c r="G329" s="7">
        <f>Raw_Data!I329</f>
        <v/>
      </c>
      <c r="H329" s="2">
        <f>Raw_Data!J329</f>
        <v/>
      </c>
      <c r="I329" s="2">
        <f>IF(G329="",0,G329-B329)</f>
        <v/>
      </c>
      <c r="J329" s="2">
        <f>IF(H329="Paid",MAX(0,G329-F329),MAX(0,DATE(2026,12,31)-F329))</f>
        <v/>
      </c>
      <c r="K329" s="8">
        <f>IF(H329="Paid",0,E329)</f>
        <v/>
      </c>
      <c r="L329" s="2">
        <f>IF(J329=0,"Current",IF(J329&lt;=30,"1-30 Days",IF(J329&lt;=60,"31-60 Days",IF(J329&lt;=90,"61-90 Days","90+ Days"))))</f>
        <v/>
      </c>
      <c r="M329" s="8">
        <f>IF(Raw_Data!K329="Yes",Raw_Data!F329*Raw_Data!L329,0)</f>
        <v/>
      </c>
      <c r="N329" s="2">
        <f>IF(H329&lt;&gt;"Paid","Outstanding",IF(J329=0,"On Time","Late"))</f>
        <v/>
      </c>
    </row>
    <row r="330">
      <c r="A330" s="2">
        <f>Raw_Data!A330</f>
        <v/>
      </c>
      <c r="B330" s="7">
        <f>Raw_Data!B330</f>
        <v/>
      </c>
      <c r="C330" s="2">
        <f>Raw_Data!C330</f>
        <v/>
      </c>
      <c r="D330" s="2">
        <f>Raw_Data!D330</f>
        <v/>
      </c>
      <c r="E330" s="8">
        <f>Raw_Data!F330</f>
        <v/>
      </c>
      <c r="F330" s="7">
        <f>Raw_Data!H330</f>
        <v/>
      </c>
      <c r="G330" s="7">
        <f>Raw_Data!I330</f>
        <v/>
      </c>
      <c r="H330" s="2">
        <f>Raw_Data!J330</f>
        <v/>
      </c>
      <c r="I330" s="2">
        <f>IF(G330="",0,G330-B330)</f>
        <v/>
      </c>
      <c r="J330" s="2">
        <f>IF(H330="Paid",MAX(0,G330-F330),MAX(0,DATE(2026,12,31)-F330))</f>
        <v/>
      </c>
      <c r="K330" s="8">
        <f>IF(H330="Paid",0,E330)</f>
        <v/>
      </c>
      <c r="L330" s="2">
        <f>IF(J330=0,"Current",IF(J330&lt;=30,"1-30 Days",IF(J330&lt;=60,"31-60 Days",IF(J330&lt;=90,"61-90 Days","90+ Days"))))</f>
        <v/>
      </c>
      <c r="M330" s="8">
        <f>IF(Raw_Data!K330="Yes",Raw_Data!F330*Raw_Data!L330,0)</f>
        <v/>
      </c>
      <c r="N330" s="2">
        <f>IF(H330&lt;&gt;"Paid","Outstanding",IF(J330=0,"On Time","Late"))</f>
        <v/>
      </c>
    </row>
    <row r="331">
      <c r="A331" s="2">
        <f>Raw_Data!A331</f>
        <v/>
      </c>
      <c r="B331" s="7">
        <f>Raw_Data!B331</f>
        <v/>
      </c>
      <c r="C331" s="2">
        <f>Raw_Data!C331</f>
        <v/>
      </c>
      <c r="D331" s="2">
        <f>Raw_Data!D331</f>
        <v/>
      </c>
      <c r="E331" s="8">
        <f>Raw_Data!F331</f>
        <v/>
      </c>
      <c r="F331" s="7">
        <f>Raw_Data!H331</f>
        <v/>
      </c>
      <c r="G331" s="7">
        <f>Raw_Data!I331</f>
        <v/>
      </c>
      <c r="H331" s="2">
        <f>Raw_Data!J331</f>
        <v/>
      </c>
      <c r="I331" s="2">
        <f>IF(G331="",0,G331-B331)</f>
        <v/>
      </c>
      <c r="J331" s="2">
        <f>IF(H331="Paid",MAX(0,G331-F331),MAX(0,DATE(2026,12,31)-F331))</f>
        <v/>
      </c>
      <c r="K331" s="8">
        <f>IF(H331="Paid",0,E331)</f>
        <v/>
      </c>
      <c r="L331" s="2">
        <f>IF(J331=0,"Current",IF(J331&lt;=30,"1-30 Days",IF(J331&lt;=60,"31-60 Days",IF(J331&lt;=90,"61-90 Days","90+ Days"))))</f>
        <v/>
      </c>
      <c r="M331" s="8">
        <f>IF(Raw_Data!K331="Yes",Raw_Data!F331*Raw_Data!L331,0)</f>
        <v/>
      </c>
      <c r="N331" s="2">
        <f>IF(H331&lt;&gt;"Paid","Outstanding",IF(J331=0,"On Time","Late"))</f>
        <v/>
      </c>
    </row>
    <row r="332">
      <c r="A332" s="2">
        <f>Raw_Data!A332</f>
        <v/>
      </c>
      <c r="B332" s="7">
        <f>Raw_Data!B332</f>
        <v/>
      </c>
      <c r="C332" s="2">
        <f>Raw_Data!C332</f>
        <v/>
      </c>
      <c r="D332" s="2">
        <f>Raw_Data!D332</f>
        <v/>
      </c>
      <c r="E332" s="8">
        <f>Raw_Data!F332</f>
        <v/>
      </c>
      <c r="F332" s="7">
        <f>Raw_Data!H332</f>
        <v/>
      </c>
      <c r="G332" s="7">
        <f>Raw_Data!I332</f>
        <v/>
      </c>
      <c r="H332" s="2">
        <f>Raw_Data!J332</f>
        <v/>
      </c>
      <c r="I332" s="2">
        <f>IF(G332="",0,G332-B332)</f>
        <v/>
      </c>
      <c r="J332" s="2">
        <f>IF(H332="Paid",MAX(0,G332-F332),MAX(0,DATE(2026,12,31)-F332))</f>
        <v/>
      </c>
      <c r="K332" s="8">
        <f>IF(H332="Paid",0,E332)</f>
        <v/>
      </c>
      <c r="L332" s="2">
        <f>IF(J332=0,"Current",IF(J332&lt;=30,"1-30 Days",IF(J332&lt;=60,"31-60 Days",IF(J332&lt;=90,"61-90 Days","90+ Days"))))</f>
        <v/>
      </c>
      <c r="M332" s="8">
        <f>IF(Raw_Data!K332="Yes",Raw_Data!F332*Raw_Data!L332,0)</f>
        <v/>
      </c>
      <c r="N332" s="2">
        <f>IF(H332&lt;&gt;"Paid","Outstanding",IF(J332=0,"On Time","Late"))</f>
        <v/>
      </c>
    </row>
    <row r="333">
      <c r="A333" s="2">
        <f>Raw_Data!A333</f>
        <v/>
      </c>
      <c r="B333" s="7">
        <f>Raw_Data!B333</f>
        <v/>
      </c>
      <c r="C333" s="2">
        <f>Raw_Data!C333</f>
        <v/>
      </c>
      <c r="D333" s="2">
        <f>Raw_Data!D333</f>
        <v/>
      </c>
      <c r="E333" s="8">
        <f>Raw_Data!F333</f>
        <v/>
      </c>
      <c r="F333" s="7">
        <f>Raw_Data!H333</f>
        <v/>
      </c>
      <c r="G333" s="7">
        <f>Raw_Data!I333</f>
        <v/>
      </c>
      <c r="H333" s="2">
        <f>Raw_Data!J333</f>
        <v/>
      </c>
      <c r="I333" s="2">
        <f>IF(G333="",0,G333-B333)</f>
        <v/>
      </c>
      <c r="J333" s="2">
        <f>IF(H333="Paid",MAX(0,G333-F333),MAX(0,DATE(2026,12,31)-F333))</f>
        <v/>
      </c>
      <c r="K333" s="8">
        <f>IF(H333="Paid",0,E333)</f>
        <v/>
      </c>
      <c r="L333" s="2">
        <f>IF(J333=0,"Current",IF(J333&lt;=30,"1-30 Days",IF(J333&lt;=60,"31-60 Days",IF(J333&lt;=90,"61-90 Days","90+ Days"))))</f>
        <v/>
      </c>
      <c r="M333" s="8">
        <f>IF(Raw_Data!K333="Yes",Raw_Data!F333*Raw_Data!L333,0)</f>
        <v/>
      </c>
      <c r="N333" s="2">
        <f>IF(H333&lt;&gt;"Paid","Outstanding",IF(J333=0,"On Time","Late"))</f>
        <v/>
      </c>
    </row>
    <row r="334">
      <c r="A334" s="2">
        <f>Raw_Data!A334</f>
        <v/>
      </c>
      <c r="B334" s="7">
        <f>Raw_Data!B334</f>
        <v/>
      </c>
      <c r="C334" s="2">
        <f>Raw_Data!C334</f>
        <v/>
      </c>
      <c r="D334" s="2">
        <f>Raw_Data!D334</f>
        <v/>
      </c>
      <c r="E334" s="8">
        <f>Raw_Data!F334</f>
        <v/>
      </c>
      <c r="F334" s="7">
        <f>Raw_Data!H334</f>
        <v/>
      </c>
      <c r="G334" s="7">
        <f>Raw_Data!I334</f>
        <v/>
      </c>
      <c r="H334" s="2">
        <f>Raw_Data!J334</f>
        <v/>
      </c>
      <c r="I334" s="2">
        <f>IF(G334="",0,G334-B334)</f>
        <v/>
      </c>
      <c r="J334" s="2">
        <f>IF(H334="Paid",MAX(0,G334-F334),MAX(0,DATE(2026,12,31)-F334))</f>
        <v/>
      </c>
      <c r="K334" s="8">
        <f>IF(H334="Paid",0,E334)</f>
        <v/>
      </c>
      <c r="L334" s="2">
        <f>IF(J334=0,"Current",IF(J334&lt;=30,"1-30 Days",IF(J334&lt;=60,"31-60 Days",IF(J334&lt;=90,"61-90 Days","90+ Days"))))</f>
        <v/>
      </c>
      <c r="M334" s="8">
        <f>IF(Raw_Data!K334="Yes",Raw_Data!F334*Raw_Data!L334,0)</f>
        <v/>
      </c>
      <c r="N334" s="2">
        <f>IF(H334&lt;&gt;"Paid","Outstanding",IF(J334=0,"On Time","Late"))</f>
        <v/>
      </c>
    </row>
    <row r="335">
      <c r="A335" s="2">
        <f>Raw_Data!A335</f>
        <v/>
      </c>
      <c r="B335" s="7">
        <f>Raw_Data!B335</f>
        <v/>
      </c>
      <c r="C335" s="2">
        <f>Raw_Data!C335</f>
        <v/>
      </c>
      <c r="D335" s="2">
        <f>Raw_Data!D335</f>
        <v/>
      </c>
      <c r="E335" s="8">
        <f>Raw_Data!F335</f>
        <v/>
      </c>
      <c r="F335" s="7">
        <f>Raw_Data!H335</f>
        <v/>
      </c>
      <c r="G335" s="7">
        <f>Raw_Data!I335</f>
        <v/>
      </c>
      <c r="H335" s="2">
        <f>Raw_Data!J335</f>
        <v/>
      </c>
      <c r="I335" s="2">
        <f>IF(G335="",0,G335-B335)</f>
        <v/>
      </c>
      <c r="J335" s="2">
        <f>IF(H335="Paid",MAX(0,G335-F335),MAX(0,DATE(2026,12,31)-F335))</f>
        <v/>
      </c>
      <c r="K335" s="8">
        <f>IF(H335="Paid",0,E335)</f>
        <v/>
      </c>
      <c r="L335" s="2">
        <f>IF(J335=0,"Current",IF(J335&lt;=30,"1-30 Days",IF(J335&lt;=60,"31-60 Days",IF(J335&lt;=90,"61-90 Days","90+ Days"))))</f>
        <v/>
      </c>
      <c r="M335" s="8">
        <f>IF(Raw_Data!K335="Yes",Raw_Data!F335*Raw_Data!L335,0)</f>
        <v/>
      </c>
      <c r="N335" s="2">
        <f>IF(H335&lt;&gt;"Paid","Outstanding",IF(J335=0,"On Time","Late"))</f>
        <v/>
      </c>
    </row>
    <row r="336">
      <c r="A336" s="2">
        <f>Raw_Data!A336</f>
        <v/>
      </c>
      <c r="B336" s="7">
        <f>Raw_Data!B336</f>
        <v/>
      </c>
      <c r="C336" s="2">
        <f>Raw_Data!C336</f>
        <v/>
      </c>
      <c r="D336" s="2">
        <f>Raw_Data!D336</f>
        <v/>
      </c>
      <c r="E336" s="8">
        <f>Raw_Data!F336</f>
        <v/>
      </c>
      <c r="F336" s="7">
        <f>Raw_Data!H336</f>
        <v/>
      </c>
      <c r="G336" s="7">
        <f>Raw_Data!I336</f>
        <v/>
      </c>
      <c r="H336" s="2">
        <f>Raw_Data!J336</f>
        <v/>
      </c>
      <c r="I336" s="2">
        <f>IF(G336="",0,G336-B336)</f>
        <v/>
      </c>
      <c r="J336" s="2">
        <f>IF(H336="Paid",MAX(0,G336-F336),MAX(0,DATE(2026,12,31)-F336))</f>
        <v/>
      </c>
      <c r="K336" s="8">
        <f>IF(H336="Paid",0,E336)</f>
        <v/>
      </c>
      <c r="L336" s="2">
        <f>IF(J336=0,"Current",IF(J336&lt;=30,"1-30 Days",IF(J336&lt;=60,"31-60 Days",IF(J336&lt;=90,"61-90 Days","90+ Days"))))</f>
        <v/>
      </c>
      <c r="M336" s="8">
        <f>IF(Raw_Data!K336="Yes",Raw_Data!F336*Raw_Data!L336,0)</f>
        <v/>
      </c>
      <c r="N336" s="2">
        <f>IF(H336&lt;&gt;"Paid","Outstanding",IF(J336=0,"On Time","Late"))</f>
        <v/>
      </c>
    </row>
    <row r="337">
      <c r="A337" s="2">
        <f>Raw_Data!A337</f>
        <v/>
      </c>
      <c r="B337" s="7">
        <f>Raw_Data!B337</f>
        <v/>
      </c>
      <c r="C337" s="2">
        <f>Raw_Data!C337</f>
        <v/>
      </c>
      <c r="D337" s="2">
        <f>Raw_Data!D337</f>
        <v/>
      </c>
      <c r="E337" s="8">
        <f>Raw_Data!F337</f>
        <v/>
      </c>
      <c r="F337" s="7">
        <f>Raw_Data!H337</f>
        <v/>
      </c>
      <c r="G337" s="7">
        <f>Raw_Data!I337</f>
        <v/>
      </c>
      <c r="H337" s="2">
        <f>Raw_Data!J337</f>
        <v/>
      </c>
      <c r="I337" s="2">
        <f>IF(G337="",0,G337-B337)</f>
        <v/>
      </c>
      <c r="J337" s="2">
        <f>IF(H337="Paid",MAX(0,G337-F337),MAX(0,DATE(2026,12,31)-F337))</f>
        <v/>
      </c>
      <c r="K337" s="8">
        <f>IF(H337="Paid",0,E337)</f>
        <v/>
      </c>
      <c r="L337" s="2">
        <f>IF(J337=0,"Current",IF(J337&lt;=30,"1-30 Days",IF(J337&lt;=60,"31-60 Days",IF(J337&lt;=90,"61-90 Days","90+ Days"))))</f>
        <v/>
      </c>
      <c r="M337" s="8">
        <f>IF(Raw_Data!K337="Yes",Raw_Data!F337*Raw_Data!L337,0)</f>
        <v/>
      </c>
      <c r="N337" s="2">
        <f>IF(H337&lt;&gt;"Paid","Outstanding",IF(J337=0,"On Time","Late"))</f>
        <v/>
      </c>
    </row>
    <row r="338">
      <c r="A338" s="2">
        <f>Raw_Data!A338</f>
        <v/>
      </c>
      <c r="B338" s="7">
        <f>Raw_Data!B338</f>
        <v/>
      </c>
      <c r="C338" s="2">
        <f>Raw_Data!C338</f>
        <v/>
      </c>
      <c r="D338" s="2">
        <f>Raw_Data!D338</f>
        <v/>
      </c>
      <c r="E338" s="8">
        <f>Raw_Data!F338</f>
        <v/>
      </c>
      <c r="F338" s="7">
        <f>Raw_Data!H338</f>
        <v/>
      </c>
      <c r="G338" s="7">
        <f>Raw_Data!I338</f>
        <v/>
      </c>
      <c r="H338" s="2">
        <f>Raw_Data!J338</f>
        <v/>
      </c>
      <c r="I338" s="2">
        <f>IF(G338="",0,G338-B338)</f>
        <v/>
      </c>
      <c r="J338" s="2">
        <f>IF(H338="Paid",MAX(0,G338-F338),MAX(0,DATE(2026,12,31)-F338))</f>
        <v/>
      </c>
      <c r="K338" s="8">
        <f>IF(H338="Paid",0,E338)</f>
        <v/>
      </c>
      <c r="L338" s="2">
        <f>IF(J338=0,"Current",IF(J338&lt;=30,"1-30 Days",IF(J338&lt;=60,"31-60 Days",IF(J338&lt;=90,"61-90 Days","90+ Days"))))</f>
        <v/>
      </c>
      <c r="M338" s="8">
        <f>IF(Raw_Data!K338="Yes",Raw_Data!F338*Raw_Data!L338,0)</f>
        <v/>
      </c>
      <c r="N338" s="2">
        <f>IF(H338&lt;&gt;"Paid","Outstanding",IF(J338=0,"On Time","Late"))</f>
        <v/>
      </c>
    </row>
    <row r="339">
      <c r="A339" s="2">
        <f>Raw_Data!A339</f>
        <v/>
      </c>
      <c r="B339" s="7">
        <f>Raw_Data!B339</f>
        <v/>
      </c>
      <c r="C339" s="2">
        <f>Raw_Data!C339</f>
        <v/>
      </c>
      <c r="D339" s="2">
        <f>Raw_Data!D339</f>
        <v/>
      </c>
      <c r="E339" s="8">
        <f>Raw_Data!F339</f>
        <v/>
      </c>
      <c r="F339" s="7">
        <f>Raw_Data!H339</f>
        <v/>
      </c>
      <c r="G339" s="7">
        <f>Raw_Data!I339</f>
        <v/>
      </c>
      <c r="H339" s="2">
        <f>Raw_Data!J339</f>
        <v/>
      </c>
      <c r="I339" s="2">
        <f>IF(G339="",0,G339-B339)</f>
        <v/>
      </c>
      <c r="J339" s="2">
        <f>IF(H339="Paid",MAX(0,G339-F339),MAX(0,DATE(2026,12,31)-F339))</f>
        <v/>
      </c>
      <c r="K339" s="8">
        <f>IF(H339="Paid",0,E339)</f>
        <v/>
      </c>
      <c r="L339" s="2">
        <f>IF(J339=0,"Current",IF(J339&lt;=30,"1-30 Days",IF(J339&lt;=60,"31-60 Days",IF(J339&lt;=90,"61-90 Days","90+ Days"))))</f>
        <v/>
      </c>
      <c r="M339" s="8">
        <f>IF(Raw_Data!K339="Yes",Raw_Data!F339*Raw_Data!L339,0)</f>
        <v/>
      </c>
      <c r="N339" s="2">
        <f>IF(H339&lt;&gt;"Paid","Outstanding",IF(J339=0,"On Time","Late"))</f>
        <v/>
      </c>
    </row>
    <row r="340">
      <c r="A340" s="2">
        <f>Raw_Data!A340</f>
        <v/>
      </c>
      <c r="B340" s="7">
        <f>Raw_Data!B340</f>
        <v/>
      </c>
      <c r="C340" s="2">
        <f>Raw_Data!C340</f>
        <v/>
      </c>
      <c r="D340" s="2">
        <f>Raw_Data!D340</f>
        <v/>
      </c>
      <c r="E340" s="8">
        <f>Raw_Data!F340</f>
        <v/>
      </c>
      <c r="F340" s="7">
        <f>Raw_Data!H340</f>
        <v/>
      </c>
      <c r="G340" s="7">
        <f>Raw_Data!I340</f>
        <v/>
      </c>
      <c r="H340" s="2">
        <f>Raw_Data!J340</f>
        <v/>
      </c>
      <c r="I340" s="2">
        <f>IF(G340="",0,G340-B340)</f>
        <v/>
      </c>
      <c r="J340" s="2">
        <f>IF(H340="Paid",MAX(0,G340-F340),MAX(0,DATE(2026,12,31)-F340))</f>
        <v/>
      </c>
      <c r="K340" s="8">
        <f>IF(H340="Paid",0,E340)</f>
        <v/>
      </c>
      <c r="L340" s="2">
        <f>IF(J340=0,"Current",IF(J340&lt;=30,"1-30 Days",IF(J340&lt;=60,"31-60 Days",IF(J340&lt;=90,"61-90 Days","90+ Days"))))</f>
        <v/>
      </c>
      <c r="M340" s="8">
        <f>IF(Raw_Data!K340="Yes",Raw_Data!F340*Raw_Data!L340,0)</f>
        <v/>
      </c>
      <c r="N340" s="2">
        <f>IF(H340&lt;&gt;"Paid","Outstanding",IF(J340=0,"On Time","Late"))</f>
        <v/>
      </c>
    </row>
    <row r="341">
      <c r="A341" s="2">
        <f>Raw_Data!A341</f>
        <v/>
      </c>
      <c r="B341" s="7">
        <f>Raw_Data!B341</f>
        <v/>
      </c>
      <c r="C341" s="2">
        <f>Raw_Data!C341</f>
        <v/>
      </c>
      <c r="D341" s="2">
        <f>Raw_Data!D341</f>
        <v/>
      </c>
      <c r="E341" s="8">
        <f>Raw_Data!F341</f>
        <v/>
      </c>
      <c r="F341" s="7">
        <f>Raw_Data!H341</f>
        <v/>
      </c>
      <c r="G341" s="7">
        <f>Raw_Data!I341</f>
        <v/>
      </c>
      <c r="H341" s="2">
        <f>Raw_Data!J341</f>
        <v/>
      </c>
      <c r="I341" s="2">
        <f>IF(G341="",0,G341-B341)</f>
        <v/>
      </c>
      <c r="J341" s="2">
        <f>IF(H341="Paid",MAX(0,G341-F341),MAX(0,DATE(2026,12,31)-F341))</f>
        <v/>
      </c>
      <c r="K341" s="8">
        <f>IF(H341="Paid",0,E341)</f>
        <v/>
      </c>
      <c r="L341" s="2">
        <f>IF(J341=0,"Current",IF(J341&lt;=30,"1-30 Days",IF(J341&lt;=60,"31-60 Days",IF(J341&lt;=90,"61-90 Days","90+ Days"))))</f>
        <v/>
      </c>
      <c r="M341" s="8">
        <f>IF(Raw_Data!K341="Yes",Raw_Data!F341*Raw_Data!L341,0)</f>
        <v/>
      </c>
      <c r="N341" s="2">
        <f>IF(H341&lt;&gt;"Paid","Outstanding",IF(J341=0,"On Time","Late"))</f>
        <v/>
      </c>
    </row>
    <row r="342">
      <c r="A342" s="2">
        <f>Raw_Data!A342</f>
        <v/>
      </c>
      <c r="B342" s="7">
        <f>Raw_Data!B342</f>
        <v/>
      </c>
      <c r="C342" s="2">
        <f>Raw_Data!C342</f>
        <v/>
      </c>
      <c r="D342" s="2">
        <f>Raw_Data!D342</f>
        <v/>
      </c>
      <c r="E342" s="8">
        <f>Raw_Data!F342</f>
        <v/>
      </c>
      <c r="F342" s="7">
        <f>Raw_Data!H342</f>
        <v/>
      </c>
      <c r="G342" s="7">
        <f>Raw_Data!I342</f>
        <v/>
      </c>
      <c r="H342" s="2">
        <f>Raw_Data!J342</f>
        <v/>
      </c>
      <c r="I342" s="2">
        <f>IF(G342="",0,G342-B342)</f>
        <v/>
      </c>
      <c r="J342" s="2">
        <f>IF(H342="Paid",MAX(0,G342-F342),MAX(0,DATE(2026,12,31)-F342))</f>
        <v/>
      </c>
      <c r="K342" s="8">
        <f>IF(H342="Paid",0,E342)</f>
        <v/>
      </c>
      <c r="L342" s="2">
        <f>IF(J342=0,"Current",IF(J342&lt;=30,"1-30 Days",IF(J342&lt;=60,"31-60 Days",IF(J342&lt;=90,"61-90 Days","90+ Days"))))</f>
        <v/>
      </c>
      <c r="M342" s="8">
        <f>IF(Raw_Data!K342="Yes",Raw_Data!F342*Raw_Data!L342,0)</f>
        <v/>
      </c>
      <c r="N342" s="2">
        <f>IF(H342&lt;&gt;"Paid","Outstanding",IF(J342=0,"On Time","Late"))</f>
        <v/>
      </c>
    </row>
    <row r="343">
      <c r="A343" s="2">
        <f>Raw_Data!A343</f>
        <v/>
      </c>
      <c r="B343" s="7">
        <f>Raw_Data!B343</f>
        <v/>
      </c>
      <c r="C343" s="2">
        <f>Raw_Data!C343</f>
        <v/>
      </c>
      <c r="D343" s="2">
        <f>Raw_Data!D343</f>
        <v/>
      </c>
      <c r="E343" s="8">
        <f>Raw_Data!F343</f>
        <v/>
      </c>
      <c r="F343" s="7">
        <f>Raw_Data!H343</f>
        <v/>
      </c>
      <c r="G343" s="7">
        <f>Raw_Data!I343</f>
        <v/>
      </c>
      <c r="H343" s="2">
        <f>Raw_Data!J343</f>
        <v/>
      </c>
      <c r="I343" s="2">
        <f>IF(G343="",0,G343-B343)</f>
        <v/>
      </c>
      <c r="J343" s="2">
        <f>IF(H343="Paid",MAX(0,G343-F343),MAX(0,DATE(2026,12,31)-F343))</f>
        <v/>
      </c>
      <c r="K343" s="8">
        <f>IF(H343="Paid",0,E343)</f>
        <v/>
      </c>
      <c r="L343" s="2">
        <f>IF(J343=0,"Current",IF(J343&lt;=30,"1-30 Days",IF(J343&lt;=60,"31-60 Days",IF(J343&lt;=90,"61-90 Days","90+ Days"))))</f>
        <v/>
      </c>
      <c r="M343" s="8">
        <f>IF(Raw_Data!K343="Yes",Raw_Data!F343*Raw_Data!L343,0)</f>
        <v/>
      </c>
      <c r="N343" s="2">
        <f>IF(H343&lt;&gt;"Paid","Outstanding",IF(J343=0,"On Time","Late"))</f>
        <v/>
      </c>
    </row>
    <row r="344">
      <c r="A344" s="2">
        <f>Raw_Data!A344</f>
        <v/>
      </c>
      <c r="B344" s="7">
        <f>Raw_Data!B344</f>
        <v/>
      </c>
      <c r="C344" s="2">
        <f>Raw_Data!C344</f>
        <v/>
      </c>
      <c r="D344" s="2">
        <f>Raw_Data!D344</f>
        <v/>
      </c>
      <c r="E344" s="8">
        <f>Raw_Data!F344</f>
        <v/>
      </c>
      <c r="F344" s="7">
        <f>Raw_Data!H344</f>
        <v/>
      </c>
      <c r="G344" s="7">
        <f>Raw_Data!I344</f>
        <v/>
      </c>
      <c r="H344" s="2">
        <f>Raw_Data!J344</f>
        <v/>
      </c>
      <c r="I344" s="2">
        <f>IF(G344="",0,G344-B344)</f>
        <v/>
      </c>
      <c r="J344" s="2">
        <f>IF(H344="Paid",MAX(0,G344-F344),MAX(0,DATE(2026,12,31)-F344))</f>
        <v/>
      </c>
      <c r="K344" s="8">
        <f>IF(H344="Paid",0,E344)</f>
        <v/>
      </c>
      <c r="L344" s="2">
        <f>IF(J344=0,"Current",IF(J344&lt;=30,"1-30 Days",IF(J344&lt;=60,"31-60 Days",IF(J344&lt;=90,"61-90 Days","90+ Days"))))</f>
        <v/>
      </c>
      <c r="M344" s="8">
        <f>IF(Raw_Data!K344="Yes",Raw_Data!F344*Raw_Data!L344,0)</f>
        <v/>
      </c>
      <c r="N344" s="2">
        <f>IF(H344&lt;&gt;"Paid","Outstanding",IF(J344=0,"On Time","Late"))</f>
        <v/>
      </c>
    </row>
    <row r="345">
      <c r="A345" s="2">
        <f>Raw_Data!A345</f>
        <v/>
      </c>
      <c r="B345" s="7">
        <f>Raw_Data!B345</f>
        <v/>
      </c>
      <c r="C345" s="2">
        <f>Raw_Data!C345</f>
        <v/>
      </c>
      <c r="D345" s="2">
        <f>Raw_Data!D345</f>
        <v/>
      </c>
      <c r="E345" s="8">
        <f>Raw_Data!F345</f>
        <v/>
      </c>
      <c r="F345" s="7">
        <f>Raw_Data!H345</f>
        <v/>
      </c>
      <c r="G345" s="7">
        <f>Raw_Data!I345</f>
        <v/>
      </c>
      <c r="H345" s="2">
        <f>Raw_Data!J345</f>
        <v/>
      </c>
      <c r="I345" s="2">
        <f>IF(G345="",0,G345-B345)</f>
        <v/>
      </c>
      <c r="J345" s="2">
        <f>IF(H345="Paid",MAX(0,G345-F345),MAX(0,DATE(2026,12,31)-F345))</f>
        <v/>
      </c>
      <c r="K345" s="8">
        <f>IF(H345="Paid",0,E345)</f>
        <v/>
      </c>
      <c r="L345" s="2">
        <f>IF(J345=0,"Current",IF(J345&lt;=30,"1-30 Days",IF(J345&lt;=60,"31-60 Days",IF(J345&lt;=90,"61-90 Days","90+ Days"))))</f>
        <v/>
      </c>
      <c r="M345" s="8">
        <f>IF(Raw_Data!K345="Yes",Raw_Data!F345*Raw_Data!L345,0)</f>
        <v/>
      </c>
      <c r="N345" s="2">
        <f>IF(H345&lt;&gt;"Paid","Outstanding",IF(J345=0,"On Time","Late"))</f>
        <v/>
      </c>
    </row>
    <row r="346">
      <c r="A346" s="2">
        <f>Raw_Data!A346</f>
        <v/>
      </c>
      <c r="B346" s="7">
        <f>Raw_Data!B346</f>
        <v/>
      </c>
      <c r="C346" s="2">
        <f>Raw_Data!C346</f>
        <v/>
      </c>
      <c r="D346" s="2">
        <f>Raw_Data!D346</f>
        <v/>
      </c>
      <c r="E346" s="8">
        <f>Raw_Data!F346</f>
        <v/>
      </c>
      <c r="F346" s="7">
        <f>Raw_Data!H346</f>
        <v/>
      </c>
      <c r="G346" s="7">
        <f>Raw_Data!I346</f>
        <v/>
      </c>
      <c r="H346" s="2">
        <f>Raw_Data!J346</f>
        <v/>
      </c>
      <c r="I346" s="2">
        <f>IF(G346="",0,G346-B346)</f>
        <v/>
      </c>
      <c r="J346" s="2">
        <f>IF(H346="Paid",MAX(0,G346-F346),MAX(0,DATE(2026,12,31)-F346))</f>
        <v/>
      </c>
      <c r="K346" s="8">
        <f>IF(H346="Paid",0,E346)</f>
        <v/>
      </c>
      <c r="L346" s="2">
        <f>IF(J346=0,"Current",IF(J346&lt;=30,"1-30 Days",IF(J346&lt;=60,"31-60 Days",IF(J346&lt;=90,"61-90 Days","90+ Days"))))</f>
        <v/>
      </c>
      <c r="M346" s="8">
        <f>IF(Raw_Data!K346="Yes",Raw_Data!F346*Raw_Data!L346,0)</f>
        <v/>
      </c>
      <c r="N346" s="2">
        <f>IF(H346&lt;&gt;"Paid","Outstanding",IF(J346=0,"On Time","Late"))</f>
        <v/>
      </c>
    </row>
    <row r="347">
      <c r="A347" s="2">
        <f>Raw_Data!A347</f>
        <v/>
      </c>
      <c r="B347" s="7">
        <f>Raw_Data!B347</f>
        <v/>
      </c>
      <c r="C347" s="2">
        <f>Raw_Data!C347</f>
        <v/>
      </c>
      <c r="D347" s="2">
        <f>Raw_Data!D347</f>
        <v/>
      </c>
      <c r="E347" s="8">
        <f>Raw_Data!F347</f>
        <v/>
      </c>
      <c r="F347" s="7">
        <f>Raw_Data!H347</f>
        <v/>
      </c>
      <c r="G347" s="7">
        <f>Raw_Data!I347</f>
        <v/>
      </c>
      <c r="H347" s="2">
        <f>Raw_Data!J347</f>
        <v/>
      </c>
      <c r="I347" s="2">
        <f>IF(G347="",0,G347-B347)</f>
        <v/>
      </c>
      <c r="J347" s="2">
        <f>IF(H347="Paid",MAX(0,G347-F347),MAX(0,DATE(2026,12,31)-F347))</f>
        <v/>
      </c>
      <c r="K347" s="8">
        <f>IF(H347="Paid",0,E347)</f>
        <v/>
      </c>
      <c r="L347" s="2">
        <f>IF(J347=0,"Current",IF(J347&lt;=30,"1-30 Days",IF(J347&lt;=60,"31-60 Days",IF(J347&lt;=90,"61-90 Days","90+ Days"))))</f>
        <v/>
      </c>
      <c r="M347" s="8">
        <f>IF(Raw_Data!K347="Yes",Raw_Data!F347*Raw_Data!L347,0)</f>
        <v/>
      </c>
      <c r="N347" s="2">
        <f>IF(H347&lt;&gt;"Paid","Outstanding",IF(J347=0,"On Time","Late"))</f>
        <v/>
      </c>
    </row>
    <row r="348">
      <c r="A348" s="2">
        <f>Raw_Data!A348</f>
        <v/>
      </c>
      <c r="B348" s="7">
        <f>Raw_Data!B348</f>
        <v/>
      </c>
      <c r="C348" s="2">
        <f>Raw_Data!C348</f>
        <v/>
      </c>
      <c r="D348" s="2">
        <f>Raw_Data!D348</f>
        <v/>
      </c>
      <c r="E348" s="8">
        <f>Raw_Data!F348</f>
        <v/>
      </c>
      <c r="F348" s="7">
        <f>Raw_Data!H348</f>
        <v/>
      </c>
      <c r="G348" s="7">
        <f>Raw_Data!I348</f>
        <v/>
      </c>
      <c r="H348" s="2">
        <f>Raw_Data!J348</f>
        <v/>
      </c>
      <c r="I348" s="2">
        <f>IF(G348="",0,G348-B348)</f>
        <v/>
      </c>
      <c r="J348" s="2">
        <f>IF(H348="Paid",MAX(0,G348-F348),MAX(0,DATE(2026,12,31)-F348))</f>
        <v/>
      </c>
      <c r="K348" s="8">
        <f>IF(H348="Paid",0,E348)</f>
        <v/>
      </c>
      <c r="L348" s="2">
        <f>IF(J348=0,"Current",IF(J348&lt;=30,"1-30 Days",IF(J348&lt;=60,"31-60 Days",IF(J348&lt;=90,"61-90 Days","90+ Days"))))</f>
        <v/>
      </c>
      <c r="M348" s="8">
        <f>IF(Raw_Data!K348="Yes",Raw_Data!F348*Raw_Data!L348,0)</f>
        <v/>
      </c>
      <c r="N348" s="2">
        <f>IF(H348&lt;&gt;"Paid","Outstanding",IF(J348=0,"On Time","Late"))</f>
        <v/>
      </c>
    </row>
    <row r="349">
      <c r="A349" s="2">
        <f>Raw_Data!A349</f>
        <v/>
      </c>
      <c r="B349" s="7">
        <f>Raw_Data!B349</f>
        <v/>
      </c>
      <c r="C349" s="2">
        <f>Raw_Data!C349</f>
        <v/>
      </c>
      <c r="D349" s="2">
        <f>Raw_Data!D349</f>
        <v/>
      </c>
      <c r="E349" s="8">
        <f>Raw_Data!F349</f>
        <v/>
      </c>
      <c r="F349" s="7">
        <f>Raw_Data!H349</f>
        <v/>
      </c>
      <c r="G349" s="7">
        <f>Raw_Data!I349</f>
        <v/>
      </c>
      <c r="H349" s="2">
        <f>Raw_Data!J349</f>
        <v/>
      </c>
      <c r="I349" s="2">
        <f>IF(G349="",0,G349-B349)</f>
        <v/>
      </c>
      <c r="J349" s="2">
        <f>IF(H349="Paid",MAX(0,G349-F349),MAX(0,DATE(2026,12,31)-F349))</f>
        <v/>
      </c>
      <c r="K349" s="8">
        <f>IF(H349="Paid",0,E349)</f>
        <v/>
      </c>
      <c r="L349" s="2">
        <f>IF(J349=0,"Current",IF(J349&lt;=30,"1-30 Days",IF(J349&lt;=60,"31-60 Days",IF(J349&lt;=90,"61-90 Days","90+ Days"))))</f>
        <v/>
      </c>
      <c r="M349" s="8">
        <f>IF(Raw_Data!K349="Yes",Raw_Data!F349*Raw_Data!L349,0)</f>
        <v/>
      </c>
      <c r="N349" s="2">
        <f>IF(H349&lt;&gt;"Paid","Outstanding",IF(J349=0,"On Time","Late"))</f>
        <v/>
      </c>
    </row>
    <row r="350">
      <c r="A350" s="2">
        <f>Raw_Data!A350</f>
        <v/>
      </c>
      <c r="B350" s="7">
        <f>Raw_Data!B350</f>
        <v/>
      </c>
      <c r="C350" s="2">
        <f>Raw_Data!C350</f>
        <v/>
      </c>
      <c r="D350" s="2">
        <f>Raw_Data!D350</f>
        <v/>
      </c>
      <c r="E350" s="8">
        <f>Raw_Data!F350</f>
        <v/>
      </c>
      <c r="F350" s="7">
        <f>Raw_Data!H350</f>
        <v/>
      </c>
      <c r="G350" s="7">
        <f>Raw_Data!I350</f>
        <v/>
      </c>
      <c r="H350" s="2">
        <f>Raw_Data!J350</f>
        <v/>
      </c>
      <c r="I350" s="2">
        <f>IF(G350="",0,G350-B350)</f>
        <v/>
      </c>
      <c r="J350" s="2">
        <f>IF(H350="Paid",MAX(0,G350-F350),MAX(0,DATE(2026,12,31)-F350))</f>
        <v/>
      </c>
      <c r="K350" s="8">
        <f>IF(H350="Paid",0,E350)</f>
        <v/>
      </c>
      <c r="L350" s="2">
        <f>IF(J350=0,"Current",IF(J350&lt;=30,"1-30 Days",IF(J350&lt;=60,"31-60 Days",IF(J350&lt;=90,"61-90 Days","90+ Days"))))</f>
        <v/>
      </c>
      <c r="M350" s="8">
        <f>IF(Raw_Data!K350="Yes",Raw_Data!F350*Raw_Data!L350,0)</f>
        <v/>
      </c>
      <c r="N350" s="2">
        <f>IF(H350&lt;&gt;"Paid","Outstanding",IF(J350=0,"On Time","Late"))</f>
        <v/>
      </c>
    </row>
    <row r="351">
      <c r="A351" s="2">
        <f>Raw_Data!A351</f>
        <v/>
      </c>
      <c r="B351" s="7">
        <f>Raw_Data!B351</f>
        <v/>
      </c>
      <c r="C351" s="2">
        <f>Raw_Data!C351</f>
        <v/>
      </c>
      <c r="D351" s="2">
        <f>Raw_Data!D351</f>
        <v/>
      </c>
      <c r="E351" s="8">
        <f>Raw_Data!F351</f>
        <v/>
      </c>
      <c r="F351" s="7">
        <f>Raw_Data!H351</f>
        <v/>
      </c>
      <c r="G351" s="7">
        <f>Raw_Data!I351</f>
        <v/>
      </c>
      <c r="H351" s="2">
        <f>Raw_Data!J351</f>
        <v/>
      </c>
      <c r="I351" s="2">
        <f>IF(G351="",0,G351-B351)</f>
        <v/>
      </c>
      <c r="J351" s="2">
        <f>IF(H351="Paid",MAX(0,G351-F351),MAX(0,DATE(2026,12,31)-F351))</f>
        <v/>
      </c>
      <c r="K351" s="8">
        <f>IF(H351="Paid",0,E351)</f>
        <v/>
      </c>
      <c r="L351" s="2">
        <f>IF(J351=0,"Current",IF(J351&lt;=30,"1-30 Days",IF(J351&lt;=60,"31-60 Days",IF(J351&lt;=90,"61-90 Days","90+ Days"))))</f>
        <v/>
      </c>
      <c r="M351" s="8">
        <f>IF(Raw_Data!K351="Yes",Raw_Data!F351*Raw_Data!L351,0)</f>
        <v/>
      </c>
      <c r="N351" s="2">
        <f>IF(H351&lt;&gt;"Paid","Outstanding",IF(J351=0,"On Time","Late"))</f>
        <v/>
      </c>
    </row>
    <row r="352">
      <c r="A352" s="2">
        <f>Raw_Data!A352</f>
        <v/>
      </c>
      <c r="B352" s="7">
        <f>Raw_Data!B352</f>
        <v/>
      </c>
      <c r="C352" s="2">
        <f>Raw_Data!C352</f>
        <v/>
      </c>
      <c r="D352" s="2">
        <f>Raw_Data!D352</f>
        <v/>
      </c>
      <c r="E352" s="8">
        <f>Raw_Data!F352</f>
        <v/>
      </c>
      <c r="F352" s="7">
        <f>Raw_Data!H352</f>
        <v/>
      </c>
      <c r="G352" s="7">
        <f>Raw_Data!I352</f>
        <v/>
      </c>
      <c r="H352" s="2">
        <f>Raw_Data!J352</f>
        <v/>
      </c>
      <c r="I352" s="2">
        <f>IF(G352="",0,G352-B352)</f>
        <v/>
      </c>
      <c r="J352" s="2">
        <f>IF(H352="Paid",MAX(0,G352-F352),MAX(0,DATE(2026,12,31)-F352))</f>
        <v/>
      </c>
      <c r="K352" s="8">
        <f>IF(H352="Paid",0,E352)</f>
        <v/>
      </c>
      <c r="L352" s="2">
        <f>IF(J352=0,"Current",IF(J352&lt;=30,"1-30 Days",IF(J352&lt;=60,"31-60 Days",IF(J352&lt;=90,"61-90 Days","90+ Days"))))</f>
        <v/>
      </c>
      <c r="M352" s="8">
        <f>IF(Raw_Data!K352="Yes",Raw_Data!F352*Raw_Data!L352,0)</f>
        <v/>
      </c>
      <c r="N352" s="2">
        <f>IF(H352&lt;&gt;"Paid","Outstanding",IF(J352=0,"On Time","Late"))</f>
        <v/>
      </c>
    </row>
    <row r="353">
      <c r="A353" s="2">
        <f>Raw_Data!A353</f>
        <v/>
      </c>
      <c r="B353" s="7">
        <f>Raw_Data!B353</f>
        <v/>
      </c>
      <c r="C353" s="2">
        <f>Raw_Data!C353</f>
        <v/>
      </c>
      <c r="D353" s="2">
        <f>Raw_Data!D353</f>
        <v/>
      </c>
      <c r="E353" s="8">
        <f>Raw_Data!F353</f>
        <v/>
      </c>
      <c r="F353" s="7">
        <f>Raw_Data!H353</f>
        <v/>
      </c>
      <c r="G353" s="7">
        <f>Raw_Data!I353</f>
        <v/>
      </c>
      <c r="H353" s="2">
        <f>Raw_Data!J353</f>
        <v/>
      </c>
      <c r="I353" s="2">
        <f>IF(G353="",0,G353-B353)</f>
        <v/>
      </c>
      <c r="J353" s="2">
        <f>IF(H353="Paid",MAX(0,G353-F353),MAX(0,DATE(2026,12,31)-F353))</f>
        <v/>
      </c>
      <c r="K353" s="8">
        <f>IF(H353="Paid",0,E353)</f>
        <v/>
      </c>
      <c r="L353" s="2">
        <f>IF(J353=0,"Current",IF(J353&lt;=30,"1-30 Days",IF(J353&lt;=60,"31-60 Days",IF(J353&lt;=90,"61-90 Days","90+ Days"))))</f>
        <v/>
      </c>
      <c r="M353" s="8">
        <f>IF(Raw_Data!K353="Yes",Raw_Data!F353*Raw_Data!L353,0)</f>
        <v/>
      </c>
      <c r="N353" s="2">
        <f>IF(H353&lt;&gt;"Paid","Outstanding",IF(J353=0,"On Time","Late"))</f>
        <v/>
      </c>
    </row>
    <row r="354">
      <c r="A354" s="2">
        <f>Raw_Data!A354</f>
        <v/>
      </c>
      <c r="B354" s="7">
        <f>Raw_Data!B354</f>
        <v/>
      </c>
      <c r="C354" s="2">
        <f>Raw_Data!C354</f>
        <v/>
      </c>
      <c r="D354" s="2">
        <f>Raw_Data!D354</f>
        <v/>
      </c>
      <c r="E354" s="8">
        <f>Raw_Data!F354</f>
        <v/>
      </c>
      <c r="F354" s="7">
        <f>Raw_Data!H354</f>
        <v/>
      </c>
      <c r="G354" s="7">
        <f>Raw_Data!I354</f>
        <v/>
      </c>
      <c r="H354" s="2">
        <f>Raw_Data!J354</f>
        <v/>
      </c>
      <c r="I354" s="2">
        <f>IF(G354="",0,G354-B354)</f>
        <v/>
      </c>
      <c r="J354" s="2">
        <f>IF(H354="Paid",MAX(0,G354-F354),MAX(0,DATE(2026,12,31)-F354))</f>
        <v/>
      </c>
      <c r="K354" s="8">
        <f>IF(H354="Paid",0,E354)</f>
        <v/>
      </c>
      <c r="L354" s="2">
        <f>IF(J354=0,"Current",IF(J354&lt;=30,"1-30 Days",IF(J354&lt;=60,"31-60 Days",IF(J354&lt;=90,"61-90 Days","90+ Days"))))</f>
        <v/>
      </c>
      <c r="M354" s="8">
        <f>IF(Raw_Data!K354="Yes",Raw_Data!F354*Raw_Data!L354,0)</f>
        <v/>
      </c>
      <c r="N354" s="2">
        <f>IF(H354&lt;&gt;"Paid","Outstanding",IF(J354=0,"On Time","Late"))</f>
        <v/>
      </c>
    </row>
    <row r="355">
      <c r="A355" s="2">
        <f>Raw_Data!A355</f>
        <v/>
      </c>
      <c r="B355" s="7">
        <f>Raw_Data!B355</f>
        <v/>
      </c>
      <c r="C355" s="2">
        <f>Raw_Data!C355</f>
        <v/>
      </c>
      <c r="D355" s="2">
        <f>Raw_Data!D355</f>
        <v/>
      </c>
      <c r="E355" s="8">
        <f>Raw_Data!F355</f>
        <v/>
      </c>
      <c r="F355" s="7">
        <f>Raw_Data!H355</f>
        <v/>
      </c>
      <c r="G355" s="7">
        <f>Raw_Data!I355</f>
        <v/>
      </c>
      <c r="H355" s="2">
        <f>Raw_Data!J355</f>
        <v/>
      </c>
      <c r="I355" s="2">
        <f>IF(G355="",0,G355-B355)</f>
        <v/>
      </c>
      <c r="J355" s="2">
        <f>IF(H355="Paid",MAX(0,G355-F355),MAX(0,DATE(2026,12,31)-F355))</f>
        <v/>
      </c>
      <c r="K355" s="8">
        <f>IF(H355="Paid",0,E355)</f>
        <v/>
      </c>
      <c r="L355" s="2">
        <f>IF(J355=0,"Current",IF(J355&lt;=30,"1-30 Days",IF(J355&lt;=60,"31-60 Days",IF(J355&lt;=90,"61-90 Days","90+ Days"))))</f>
        <v/>
      </c>
      <c r="M355" s="8">
        <f>IF(Raw_Data!K355="Yes",Raw_Data!F355*Raw_Data!L355,0)</f>
        <v/>
      </c>
      <c r="N355" s="2">
        <f>IF(H355&lt;&gt;"Paid","Outstanding",IF(J355=0,"On Time","Late"))</f>
        <v/>
      </c>
    </row>
    <row r="356">
      <c r="A356" s="2">
        <f>Raw_Data!A356</f>
        <v/>
      </c>
      <c r="B356" s="7">
        <f>Raw_Data!B356</f>
        <v/>
      </c>
      <c r="C356" s="2">
        <f>Raw_Data!C356</f>
        <v/>
      </c>
      <c r="D356" s="2">
        <f>Raw_Data!D356</f>
        <v/>
      </c>
      <c r="E356" s="8">
        <f>Raw_Data!F356</f>
        <v/>
      </c>
      <c r="F356" s="7">
        <f>Raw_Data!H356</f>
        <v/>
      </c>
      <c r="G356" s="7">
        <f>Raw_Data!I356</f>
        <v/>
      </c>
      <c r="H356" s="2">
        <f>Raw_Data!J356</f>
        <v/>
      </c>
      <c r="I356" s="2">
        <f>IF(G356="",0,G356-B356)</f>
        <v/>
      </c>
      <c r="J356" s="2">
        <f>IF(H356="Paid",MAX(0,G356-F356),MAX(0,DATE(2026,12,31)-F356))</f>
        <v/>
      </c>
      <c r="K356" s="8">
        <f>IF(H356="Paid",0,E356)</f>
        <v/>
      </c>
      <c r="L356" s="2">
        <f>IF(J356=0,"Current",IF(J356&lt;=30,"1-30 Days",IF(J356&lt;=60,"31-60 Days",IF(J356&lt;=90,"61-90 Days","90+ Days"))))</f>
        <v/>
      </c>
      <c r="M356" s="8">
        <f>IF(Raw_Data!K356="Yes",Raw_Data!F356*Raw_Data!L356,0)</f>
        <v/>
      </c>
      <c r="N356" s="2">
        <f>IF(H356&lt;&gt;"Paid","Outstanding",IF(J356=0,"On Time","Late"))</f>
        <v/>
      </c>
    </row>
    <row r="357">
      <c r="A357" s="2">
        <f>Raw_Data!A357</f>
        <v/>
      </c>
      <c r="B357" s="7">
        <f>Raw_Data!B357</f>
        <v/>
      </c>
      <c r="C357" s="2">
        <f>Raw_Data!C357</f>
        <v/>
      </c>
      <c r="D357" s="2">
        <f>Raw_Data!D357</f>
        <v/>
      </c>
      <c r="E357" s="8">
        <f>Raw_Data!F357</f>
        <v/>
      </c>
      <c r="F357" s="7">
        <f>Raw_Data!H357</f>
        <v/>
      </c>
      <c r="G357" s="7">
        <f>Raw_Data!I357</f>
        <v/>
      </c>
      <c r="H357" s="2">
        <f>Raw_Data!J357</f>
        <v/>
      </c>
      <c r="I357" s="2">
        <f>IF(G357="",0,G357-B357)</f>
        <v/>
      </c>
      <c r="J357" s="2">
        <f>IF(H357="Paid",MAX(0,G357-F357),MAX(0,DATE(2026,12,31)-F357))</f>
        <v/>
      </c>
      <c r="K357" s="8">
        <f>IF(H357="Paid",0,E357)</f>
        <v/>
      </c>
      <c r="L357" s="2">
        <f>IF(J357=0,"Current",IF(J357&lt;=30,"1-30 Days",IF(J357&lt;=60,"31-60 Days",IF(J357&lt;=90,"61-90 Days","90+ Days"))))</f>
        <v/>
      </c>
      <c r="M357" s="8">
        <f>IF(Raw_Data!K357="Yes",Raw_Data!F357*Raw_Data!L357,0)</f>
        <v/>
      </c>
      <c r="N357" s="2">
        <f>IF(H357&lt;&gt;"Paid","Outstanding",IF(J357=0,"On Time","Late"))</f>
        <v/>
      </c>
    </row>
    <row r="358">
      <c r="A358" s="2">
        <f>Raw_Data!A358</f>
        <v/>
      </c>
      <c r="B358" s="7">
        <f>Raw_Data!B358</f>
        <v/>
      </c>
      <c r="C358" s="2">
        <f>Raw_Data!C358</f>
        <v/>
      </c>
      <c r="D358" s="2">
        <f>Raw_Data!D358</f>
        <v/>
      </c>
      <c r="E358" s="8">
        <f>Raw_Data!F358</f>
        <v/>
      </c>
      <c r="F358" s="7">
        <f>Raw_Data!H358</f>
        <v/>
      </c>
      <c r="G358" s="7">
        <f>Raw_Data!I358</f>
        <v/>
      </c>
      <c r="H358" s="2">
        <f>Raw_Data!J358</f>
        <v/>
      </c>
      <c r="I358" s="2">
        <f>IF(G358="",0,G358-B358)</f>
        <v/>
      </c>
      <c r="J358" s="2">
        <f>IF(H358="Paid",MAX(0,G358-F358),MAX(0,DATE(2026,12,31)-F358))</f>
        <v/>
      </c>
      <c r="K358" s="8">
        <f>IF(H358="Paid",0,E358)</f>
        <v/>
      </c>
      <c r="L358" s="2">
        <f>IF(J358=0,"Current",IF(J358&lt;=30,"1-30 Days",IF(J358&lt;=60,"31-60 Days",IF(J358&lt;=90,"61-90 Days","90+ Days"))))</f>
        <v/>
      </c>
      <c r="M358" s="8">
        <f>IF(Raw_Data!K358="Yes",Raw_Data!F358*Raw_Data!L358,0)</f>
        <v/>
      </c>
      <c r="N358" s="2">
        <f>IF(H358&lt;&gt;"Paid","Outstanding",IF(J358=0,"On Time","Late"))</f>
        <v/>
      </c>
    </row>
    <row r="359">
      <c r="A359" s="2">
        <f>Raw_Data!A359</f>
        <v/>
      </c>
      <c r="B359" s="7">
        <f>Raw_Data!B359</f>
        <v/>
      </c>
      <c r="C359" s="2">
        <f>Raw_Data!C359</f>
        <v/>
      </c>
      <c r="D359" s="2">
        <f>Raw_Data!D359</f>
        <v/>
      </c>
      <c r="E359" s="8">
        <f>Raw_Data!F359</f>
        <v/>
      </c>
      <c r="F359" s="7">
        <f>Raw_Data!H359</f>
        <v/>
      </c>
      <c r="G359" s="7">
        <f>Raw_Data!I359</f>
        <v/>
      </c>
      <c r="H359" s="2">
        <f>Raw_Data!J359</f>
        <v/>
      </c>
      <c r="I359" s="2">
        <f>IF(G359="",0,G359-B359)</f>
        <v/>
      </c>
      <c r="J359" s="2">
        <f>IF(H359="Paid",MAX(0,G359-F359),MAX(0,DATE(2026,12,31)-F359))</f>
        <v/>
      </c>
      <c r="K359" s="8">
        <f>IF(H359="Paid",0,E359)</f>
        <v/>
      </c>
      <c r="L359" s="2">
        <f>IF(J359=0,"Current",IF(J359&lt;=30,"1-30 Days",IF(J359&lt;=60,"31-60 Days",IF(J359&lt;=90,"61-90 Days","90+ Days"))))</f>
        <v/>
      </c>
      <c r="M359" s="8">
        <f>IF(Raw_Data!K359="Yes",Raw_Data!F359*Raw_Data!L359,0)</f>
        <v/>
      </c>
      <c r="N359" s="2">
        <f>IF(H359&lt;&gt;"Paid","Outstanding",IF(J359=0,"On Time","Late"))</f>
        <v/>
      </c>
    </row>
    <row r="360">
      <c r="A360" s="2">
        <f>Raw_Data!A360</f>
        <v/>
      </c>
      <c r="B360" s="7">
        <f>Raw_Data!B360</f>
        <v/>
      </c>
      <c r="C360" s="2">
        <f>Raw_Data!C360</f>
        <v/>
      </c>
      <c r="D360" s="2">
        <f>Raw_Data!D360</f>
        <v/>
      </c>
      <c r="E360" s="8">
        <f>Raw_Data!F360</f>
        <v/>
      </c>
      <c r="F360" s="7">
        <f>Raw_Data!H360</f>
        <v/>
      </c>
      <c r="G360" s="7">
        <f>Raw_Data!I360</f>
        <v/>
      </c>
      <c r="H360" s="2">
        <f>Raw_Data!J360</f>
        <v/>
      </c>
      <c r="I360" s="2">
        <f>IF(G360="",0,G360-B360)</f>
        <v/>
      </c>
      <c r="J360" s="2">
        <f>IF(H360="Paid",MAX(0,G360-F360),MAX(0,DATE(2026,12,31)-F360))</f>
        <v/>
      </c>
      <c r="K360" s="8">
        <f>IF(H360="Paid",0,E360)</f>
        <v/>
      </c>
      <c r="L360" s="2">
        <f>IF(J360=0,"Current",IF(J360&lt;=30,"1-30 Days",IF(J360&lt;=60,"31-60 Days",IF(J360&lt;=90,"61-90 Days","90+ Days"))))</f>
        <v/>
      </c>
      <c r="M360" s="8">
        <f>IF(Raw_Data!K360="Yes",Raw_Data!F360*Raw_Data!L360,0)</f>
        <v/>
      </c>
      <c r="N360" s="2">
        <f>IF(H360&lt;&gt;"Paid","Outstanding",IF(J360=0,"On Time","Late"))</f>
        <v/>
      </c>
    </row>
    <row r="361">
      <c r="A361" s="2">
        <f>Raw_Data!A361</f>
        <v/>
      </c>
      <c r="B361" s="7">
        <f>Raw_Data!B361</f>
        <v/>
      </c>
      <c r="C361" s="2">
        <f>Raw_Data!C361</f>
        <v/>
      </c>
      <c r="D361" s="2">
        <f>Raw_Data!D361</f>
        <v/>
      </c>
      <c r="E361" s="8">
        <f>Raw_Data!F361</f>
        <v/>
      </c>
      <c r="F361" s="7">
        <f>Raw_Data!H361</f>
        <v/>
      </c>
      <c r="G361" s="7">
        <f>Raw_Data!I361</f>
        <v/>
      </c>
      <c r="H361" s="2">
        <f>Raw_Data!J361</f>
        <v/>
      </c>
      <c r="I361" s="2">
        <f>IF(G361="",0,G361-B361)</f>
        <v/>
      </c>
      <c r="J361" s="2">
        <f>IF(H361="Paid",MAX(0,G361-F361),MAX(0,DATE(2026,12,31)-F361))</f>
        <v/>
      </c>
      <c r="K361" s="8">
        <f>IF(H361="Paid",0,E361)</f>
        <v/>
      </c>
      <c r="L361" s="2">
        <f>IF(J361=0,"Current",IF(J361&lt;=30,"1-30 Days",IF(J361&lt;=60,"31-60 Days",IF(J361&lt;=90,"61-90 Days","90+ Days"))))</f>
        <v/>
      </c>
      <c r="M361" s="8">
        <f>IF(Raw_Data!K361="Yes",Raw_Data!F361*Raw_Data!L361,0)</f>
        <v/>
      </c>
      <c r="N361" s="2">
        <f>IF(H361&lt;&gt;"Paid","Outstanding",IF(J361=0,"On Time","Late"))</f>
        <v/>
      </c>
    </row>
    <row r="362">
      <c r="A362" s="2">
        <f>Raw_Data!A362</f>
        <v/>
      </c>
      <c r="B362" s="7">
        <f>Raw_Data!B362</f>
        <v/>
      </c>
      <c r="C362" s="2">
        <f>Raw_Data!C362</f>
        <v/>
      </c>
      <c r="D362" s="2">
        <f>Raw_Data!D362</f>
        <v/>
      </c>
      <c r="E362" s="8">
        <f>Raw_Data!F362</f>
        <v/>
      </c>
      <c r="F362" s="7">
        <f>Raw_Data!H362</f>
        <v/>
      </c>
      <c r="G362" s="7">
        <f>Raw_Data!I362</f>
        <v/>
      </c>
      <c r="H362" s="2">
        <f>Raw_Data!J362</f>
        <v/>
      </c>
      <c r="I362" s="2">
        <f>IF(G362="",0,G362-B362)</f>
        <v/>
      </c>
      <c r="J362" s="2">
        <f>IF(H362="Paid",MAX(0,G362-F362),MAX(0,DATE(2026,12,31)-F362))</f>
        <v/>
      </c>
      <c r="K362" s="8">
        <f>IF(H362="Paid",0,E362)</f>
        <v/>
      </c>
      <c r="L362" s="2">
        <f>IF(J362=0,"Current",IF(J362&lt;=30,"1-30 Days",IF(J362&lt;=60,"31-60 Days",IF(J362&lt;=90,"61-90 Days","90+ Days"))))</f>
        <v/>
      </c>
      <c r="M362" s="8">
        <f>IF(Raw_Data!K362="Yes",Raw_Data!F362*Raw_Data!L362,0)</f>
        <v/>
      </c>
      <c r="N362" s="2">
        <f>IF(H362&lt;&gt;"Paid","Outstanding",IF(J362=0,"On Time","Late"))</f>
        <v/>
      </c>
    </row>
    <row r="363">
      <c r="A363" s="2">
        <f>Raw_Data!A363</f>
        <v/>
      </c>
      <c r="B363" s="7">
        <f>Raw_Data!B363</f>
        <v/>
      </c>
      <c r="C363" s="2">
        <f>Raw_Data!C363</f>
        <v/>
      </c>
      <c r="D363" s="2">
        <f>Raw_Data!D363</f>
        <v/>
      </c>
      <c r="E363" s="8">
        <f>Raw_Data!F363</f>
        <v/>
      </c>
      <c r="F363" s="7">
        <f>Raw_Data!H363</f>
        <v/>
      </c>
      <c r="G363" s="7">
        <f>Raw_Data!I363</f>
        <v/>
      </c>
      <c r="H363" s="2">
        <f>Raw_Data!J363</f>
        <v/>
      </c>
      <c r="I363" s="2">
        <f>IF(G363="",0,G363-B363)</f>
        <v/>
      </c>
      <c r="J363" s="2">
        <f>IF(H363="Paid",MAX(0,G363-F363),MAX(0,DATE(2026,12,31)-F363))</f>
        <v/>
      </c>
      <c r="K363" s="8">
        <f>IF(H363="Paid",0,E363)</f>
        <v/>
      </c>
      <c r="L363" s="2">
        <f>IF(J363=0,"Current",IF(J363&lt;=30,"1-30 Days",IF(J363&lt;=60,"31-60 Days",IF(J363&lt;=90,"61-90 Days","90+ Days"))))</f>
        <v/>
      </c>
      <c r="M363" s="8">
        <f>IF(Raw_Data!K363="Yes",Raw_Data!F363*Raw_Data!L363,0)</f>
        <v/>
      </c>
      <c r="N363" s="2">
        <f>IF(H363&lt;&gt;"Paid","Outstanding",IF(J363=0,"On Time","Late"))</f>
        <v/>
      </c>
    </row>
    <row r="364">
      <c r="A364" s="2">
        <f>Raw_Data!A364</f>
        <v/>
      </c>
      <c r="B364" s="7">
        <f>Raw_Data!B364</f>
        <v/>
      </c>
      <c r="C364" s="2">
        <f>Raw_Data!C364</f>
        <v/>
      </c>
      <c r="D364" s="2">
        <f>Raw_Data!D364</f>
        <v/>
      </c>
      <c r="E364" s="8">
        <f>Raw_Data!F364</f>
        <v/>
      </c>
      <c r="F364" s="7">
        <f>Raw_Data!H364</f>
        <v/>
      </c>
      <c r="G364" s="7">
        <f>Raw_Data!I364</f>
        <v/>
      </c>
      <c r="H364" s="2">
        <f>Raw_Data!J364</f>
        <v/>
      </c>
      <c r="I364" s="2">
        <f>IF(G364="",0,G364-B364)</f>
        <v/>
      </c>
      <c r="J364" s="2">
        <f>IF(H364="Paid",MAX(0,G364-F364),MAX(0,DATE(2026,12,31)-F364))</f>
        <v/>
      </c>
      <c r="K364" s="8">
        <f>IF(H364="Paid",0,E364)</f>
        <v/>
      </c>
      <c r="L364" s="2">
        <f>IF(J364=0,"Current",IF(J364&lt;=30,"1-30 Days",IF(J364&lt;=60,"31-60 Days",IF(J364&lt;=90,"61-90 Days","90+ Days"))))</f>
        <v/>
      </c>
      <c r="M364" s="8">
        <f>IF(Raw_Data!K364="Yes",Raw_Data!F364*Raw_Data!L364,0)</f>
        <v/>
      </c>
      <c r="N364" s="2">
        <f>IF(H364&lt;&gt;"Paid","Outstanding",IF(J364=0,"On Time","Late"))</f>
        <v/>
      </c>
    </row>
    <row r="365">
      <c r="A365" s="2">
        <f>Raw_Data!A365</f>
        <v/>
      </c>
      <c r="B365" s="7">
        <f>Raw_Data!B365</f>
        <v/>
      </c>
      <c r="C365" s="2">
        <f>Raw_Data!C365</f>
        <v/>
      </c>
      <c r="D365" s="2">
        <f>Raw_Data!D365</f>
        <v/>
      </c>
      <c r="E365" s="8">
        <f>Raw_Data!F365</f>
        <v/>
      </c>
      <c r="F365" s="7">
        <f>Raw_Data!H365</f>
        <v/>
      </c>
      <c r="G365" s="7">
        <f>Raw_Data!I365</f>
        <v/>
      </c>
      <c r="H365" s="2">
        <f>Raw_Data!J365</f>
        <v/>
      </c>
      <c r="I365" s="2">
        <f>IF(G365="",0,G365-B365)</f>
        <v/>
      </c>
      <c r="J365" s="2">
        <f>IF(H365="Paid",MAX(0,G365-F365),MAX(0,DATE(2026,12,31)-F365))</f>
        <v/>
      </c>
      <c r="K365" s="8">
        <f>IF(H365="Paid",0,E365)</f>
        <v/>
      </c>
      <c r="L365" s="2">
        <f>IF(J365=0,"Current",IF(J365&lt;=30,"1-30 Days",IF(J365&lt;=60,"31-60 Days",IF(J365&lt;=90,"61-90 Days","90+ Days"))))</f>
        <v/>
      </c>
      <c r="M365" s="8">
        <f>IF(Raw_Data!K365="Yes",Raw_Data!F365*Raw_Data!L365,0)</f>
        <v/>
      </c>
      <c r="N365" s="2">
        <f>IF(H365&lt;&gt;"Paid","Outstanding",IF(J365=0,"On Time","Late"))</f>
        <v/>
      </c>
    </row>
    <row r="366">
      <c r="A366" s="2">
        <f>Raw_Data!A366</f>
        <v/>
      </c>
      <c r="B366" s="7">
        <f>Raw_Data!B366</f>
        <v/>
      </c>
      <c r="C366" s="2">
        <f>Raw_Data!C366</f>
        <v/>
      </c>
      <c r="D366" s="2">
        <f>Raw_Data!D366</f>
        <v/>
      </c>
      <c r="E366" s="8">
        <f>Raw_Data!F366</f>
        <v/>
      </c>
      <c r="F366" s="7">
        <f>Raw_Data!H366</f>
        <v/>
      </c>
      <c r="G366" s="7">
        <f>Raw_Data!I366</f>
        <v/>
      </c>
      <c r="H366" s="2">
        <f>Raw_Data!J366</f>
        <v/>
      </c>
      <c r="I366" s="2">
        <f>IF(G366="",0,G366-B366)</f>
        <v/>
      </c>
      <c r="J366" s="2">
        <f>IF(H366="Paid",MAX(0,G366-F366),MAX(0,DATE(2026,12,31)-F366))</f>
        <v/>
      </c>
      <c r="K366" s="8">
        <f>IF(H366="Paid",0,E366)</f>
        <v/>
      </c>
      <c r="L366" s="2">
        <f>IF(J366=0,"Current",IF(J366&lt;=30,"1-30 Days",IF(J366&lt;=60,"31-60 Days",IF(J366&lt;=90,"61-90 Days","90+ Days"))))</f>
        <v/>
      </c>
      <c r="M366" s="8">
        <f>IF(Raw_Data!K366="Yes",Raw_Data!F366*Raw_Data!L366,0)</f>
        <v/>
      </c>
      <c r="N366" s="2">
        <f>IF(H366&lt;&gt;"Paid","Outstanding",IF(J366=0,"On Time","Late"))</f>
        <v/>
      </c>
    </row>
    <row r="367">
      <c r="A367" s="2">
        <f>Raw_Data!A367</f>
        <v/>
      </c>
      <c r="B367" s="7">
        <f>Raw_Data!B367</f>
        <v/>
      </c>
      <c r="C367" s="2">
        <f>Raw_Data!C367</f>
        <v/>
      </c>
      <c r="D367" s="2">
        <f>Raw_Data!D367</f>
        <v/>
      </c>
      <c r="E367" s="8">
        <f>Raw_Data!F367</f>
        <v/>
      </c>
      <c r="F367" s="7">
        <f>Raw_Data!H367</f>
        <v/>
      </c>
      <c r="G367" s="7">
        <f>Raw_Data!I367</f>
        <v/>
      </c>
      <c r="H367" s="2">
        <f>Raw_Data!J367</f>
        <v/>
      </c>
      <c r="I367" s="2">
        <f>IF(G367="",0,G367-B367)</f>
        <v/>
      </c>
      <c r="J367" s="2">
        <f>IF(H367="Paid",MAX(0,G367-F367),MAX(0,DATE(2026,12,31)-F367))</f>
        <v/>
      </c>
      <c r="K367" s="8">
        <f>IF(H367="Paid",0,E367)</f>
        <v/>
      </c>
      <c r="L367" s="2">
        <f>IF(J367=0,"Current",IF(J367&lt;=30,"1-30 Days",IF(J367&lt;=60,"31-60 Days",IF(J367&lt;=90,"61-90 Days","90+ Days"))))</f>
        <v/>
      </c>
      <c r="M367" s="8">
        <f>IF(Raw_Data!K367="Yes",Raw_Data!F367*Raw_Data!L367,0)</f>
        <v/>
      </c>
      <c r="N367" s="2">
        <f>IF(H367&lt;&gt;"Paid","Outstanding",IF(J367=0,"On Time","Late"))</f>
        <v/>
      </c>
    </row>
    <row r="368">
      <c r="A368" s="2">
        <f>Raw_Data!A368</f>
        <v/>
      </c>
      <c r="B368" s="7">
        <f>Raw_Data!B368</f>
        <v/>
      </c>
      <c r="C368" s="2">
        <f>Raw_Data!C368</f>
        <v/>
      </c>
      <c r="D368" s="2">
        <f>Raw_Data!D368</f>
        <v/>
      </c>
      <c r="E368" s="8">
        <f>Raw_Data!F368</f>
        <v/>
      </c>
      <c r="F368" s="7">
        <f>Raw_Data!H368</f>
        <v/>
      </c>
      <c r="G368" s="7">
        <f>Raw_Data!I368</f>
        <v/>
      </c>
      <c r="H368" s="2">
        <f>Raw_Data!J368</f>
        <v/>
      </c>
      <c r="I368" s="2">
        <f>IF(G368="",0,G368-B368)</f>
        <v/>
      </c>
      <c r="J368" s="2">
        <f>IF(H368="Paid",MAX(0,G368-F368),MAX(0,DATE(2026,12,31)-F368))</f>
        <v/>
      </c>
      <c r="K368" s="8">
        <f>IF(H368="Paid",0,E368)</f>
        <v/>
      </c>
      <c r="L368" s="2">
        <f>IF(J368=0,"Current",IF(J368&lt;=30,"1-30 Days",IF(J368&lt;=60,"31-60 Days",IF(J368&lt;=90,"61-90 Days","90+ Days"))))</f>
        <v/>
      </c>
      <c r="M368" s="8">
        <f>IF(Raw_Data!K368="Yes",Raw_Data!F368*Raw_Data!L368,0)</f>
        <v/>
      </c>
      <c r="N368" s="2">
        <f>IF(H368&lt;&gt;"Paid","Outstanding",IF(J368=0,"On Time","Late"))</f>
        <v/>
      </c>
    </row>
    <row r="369">
      <c r="A369" s="2">
        <f>Raw_Data!A369</f>
        <v/>
      </c>
      <c r="B369" s="7">
        <f>Raw_Data!B369</f>
        <v/>
      </c>
      <c r="C369" s="2">
        <f>Raw_Data!C369</f>
        <v/>
      </c>
      <c r="D369" s="2">
        <f>Raw_Data!D369</f>
        <v/>
      </c>
      <c r="E369" s="8">
        <f>Raw_Data!F369</f>
        <v/>
      </c>
      <c r="F369" s="7">
        <f>Raw_Data!H369</f>
        <v/>
      </c>
      <c r="G369" s="7">
        <f>Raw_Data!I369</f>
        <v/>
      </c>
      <c r="H369" s="2">
        <f>Raw_Data!J369</f>
        <v/>
      </c>
      <c r="I369" s="2">
        <f>IF(G369="",0,G369-B369)</f>
        <v/>
      </c>
      <c r="J369" s="2">
        <f>IF(H369="Paid",MAX(0,G369-F369),MAX(0,DATE(2026,12,31)-F369))</f>
        <v/>
      </c>
      <c r="K369" s="8">
        <f>IF(H369="Paid",0,E369)</f>
        <v/>
      </c>
      <c r="L369" s="2">
        <f>IF(J369=0,"Current",IF(J369&lt;=30,"1-30 Days",IF(J369&lt;=60,"31-60 Days",IF(J369&lt;=90,"61-90 Days","90+ Days"))))</f>
        <v/>
      </c>
      <c r="M369" s="8">
        <f>IF(Raw_Data!K369="Yes",Raw_Data!F369*Raw_Data!L369,0)</f>
        <v/>
      </c>
      <c r="N369" s="2">
        <f>IF(H369&lt;&gt;"Paid","Outstanding",IF(J369=0,"On Time","Late"))</f>
        <v/>
      </c>
    </row>
    <row r="370">
      <c r="A370" s="2">
        <f>Raw_Data!A370</f>
        <v/>
      </c>
      <c r="B370" s="7">
        <f>Raw_Data!B370</f>
        <v/>
      </c>
      <c r="C370" s="2">
        <f>Raw_Data!C370</f>
        <v/>
      </c>
      <c r="D370" s="2">
        <f>Raw_Data!D370</f>
        <v/>
      </c>
      <c r="E370" s="8">
        <f>Raw_Data!F370</f>
        <v/>
      </c>
      <c r="F370" s="7">
        <f>Raw_Data!H370</f>
        <v/>
      </c>
      <c r="G370" s="7">
        <f>Raw_Data!I370</f>
        <v/>
      </c>
      <c r="H370" s="2">
        <f>Raw_Data!J370</f>
        <v/>
      </c>
      <c r="I370" s="2">
        <f>IF(G370="",0,G370-B370)</f>
        <v/>
      </c>
      <c r="J370" s="2">
        <f>IF(H370="Paid",MAX(0,G370-F370),MAX(0,DATE(2026,12,31)-F370))</f>
        <v/>
      </c>
      <c r="K370" s="8">
        <f>IF(H370="Paid",0,E370)</f>
        <v/>
      </c>
      <c r="L370" s="2">
        <f>IF(J370=0,"Current",IF(J370&lt;=30,"1-30 Days",IF(J370&lt;=60,"31-60 Days",IF(J370&lt;=90,"61-90 Days","90+ Days"))))</f>
        <v/>
      </c>
      <c r="M370" s="8">
        <f>IF(Raw_Data!K370="Yes",Raw_Data!F370*Raw_Data!L370,0)</f>
        <v/>
      </c>
      <c r="N370" s="2">
        <f>IF(H370&lt;&gt;"Paid","Outstanding",IF(J370=0,"On Time","Late"))</f>
        <v/>
      </c>
    </row>
    <row r="371">
      <c r="A371" s="2">
        <f>Raw_Data!A371</f>
        <v/>
      </c>
      <c r="B371" s="7">
        <f>Raw_Data!B371</f>
        <v/>
      </c>
      <c r="C371" s="2">
        <f>Raw_Data!C371</f>
        <v/>
      </c>
      <c r="D371" s="2">
        <f>Raw_Data!D371</f>
        <v/>
      </c>
      <c r="E371" s="8">
        <f>Raw_Data!F371</f>
        <v/>
      </c>
      <c r="F371" s="7">
        <f>Raw_Data!H371</f>
        <v/>
      </c>
      <c r="G371" s="7">
        <f>Raw_Data!I371</f>
        <v/>
      </c>
      <c r="H371" s="2">
        <f>Raw_Data!J371</f>
        <v/>
      </c>
      <c r="I371" s="2">
        <f>IF(G371="",0,G371-B371)</f>
        <v/>
      </c>
      <c r="J371" s="2">
        <f>IF(H371="Paid",MAX(0,G371-F371),MAX(0,DATE(2026,12,31)-F371))</f>
        <v/>
      </c>
      <c r="K371" s="8">
        <f>IF(H371="Paid",0,E371)</f>
        <v/>
      </c>
      <c r="L371" s="2">
        <f>IF(J371=0,"Current",IF(J371&lt;=30,"1-30 Days",IF(J371&lt;=60,"31-60 Days",IF(J371&lt;=90,"61-90 Days","90+ Days"))))</f>
        <v/>
      </c>
      <c r="M371" s="8">
        <f>IF(Raw_Data!K371="Yes",Raw_Data!F371*Raw_Data!L371,0)</f>
        <v/>
      </c>
      <c r="N371" s="2">
        <f>IF(H371&lt;&gt;"Paid","Outstanding",IF(J371=0,"On Time","Late"))</f>
        <v/>
      </c>
    </row>
    <row r="372">
      <c r="A372" s="2">
        <f>Raw_Data!A372</f>
        <v/>
      </c>
      <c r="B372" s="7">
        <f>Raw_Data!B372</f>
        <v/>
      </c>
      <c r="C372" s="2">
        <f>Raw_Data!C372</f>
        <v/>
      </c>
      <c r="D372" s="2">
        <f>Raw_Data!D372</f>
        <v/>
      </c>
      <c r="E372" s="8">
        <f>Raw_Data!F372</f>
        <v/>
      </c>
      <c r="F372" s="7">
        <f>Raw_Data!H372</f>
        <v/>
      </c>
      <c r="G372" s="7">
        <f>Raw_Data!I372</f>
        <v/>
      </c>
      <c r="H372" s="2">
        <f>Raw_Data!J372</f>
        <v/>
      </c>
      <c r="I372" s="2">
        <f>IF(G372="",0,G372-B372)</f>
        <v/>
      </c>
      <c r="J372" s="2">
        <f>IF(H372="Paid",MAX(0,G372-F372),MAX(0,DATE(2026,12,31)-F372))</f>
        <v/>
      </c>
      <c r="K372" s="8">
        <f>IF(H372="Paid",0,E372)</f>
        <v/>
      </c>
      <c r="L372" s="2">
        <f>IF(J372=0,"Current",IF(J372&lt;=30,"1-30 Days",IF(J372&lt;=60,"31-60 Days",IF(J372&lt;=90,"61-90 Days","90+ Days"))))</f>
        <v/>
      </c>
      <c r="M372" s="8">
        <f>IF(Raw_Data!K372="Yes",Raw_Data!F372*Raw_Data!L372,0)</f>
        <v/>
      </c>
      <c r="N372" s="2">
        <f>IF(H372&lt;&gt;"Paid","Outstanding",IF(J372=0,"On Time","Late"))</f>
        <v/>
      </c>
    </row>
    <row r="373">
      <c r="A373" s="2">
        <f>Raw_Data!A373</f>
        <v/>
      </c>
      <c r="B373" s="7">
        <f>Raw_Data!B373</f>
        <v/>
      </c>
      <c r="C373" s="2">
        <f>Raw_Data!C373</f>
        <v/>
      </c>
      <c r="D373" s="2">
        <f>Raw_Data!D373</f>
        <v/>
      </c>
      <c r="E373" s="8">
        <f>Raw_Data!F373</f>
        <v/>
      </c>
      <c r="F373" s="7">
        <f>Raw_Data!H373</f>
        <v/>
      </c>
      <c r="G373" s="7">
        <f>Raw_Data!I373</f>
        <v/>
      </c>
      <c r="H373" s="2">
        <f>Raw_Data!J373</f>
        <v/>
      </c>
      <c r="I373" s="2">
        <f>IF(G373="",0,G373-B373)</f>
        <v/>
      </c>
      <c r="J373" s="2">
        <f>IF(H373="Paid",MAX(0,G373-F373),MAX(0,DATE(2026,12,31)-F373))</f>
        <v/>
      </c>
      <c r="K373" s="8">
        <f>IF(H373="Paid",0,E373)</f>
        <v/>
      </c>
      <c r="L373" s="2">
        <f>IF(J373=0,"Current",IF(J373&lt;=30,"1-30 Days",IF(J373&lt;=60,"31-60 Days",IF(J373&lt;=90,"61-90 Days","90+ Days"))))</f>
        <v/>
      </c>
      <c r="M373" s="8">
        <f>IF(Raw_Data!K373="Yes",Raw_Data!F373*Raw_Data!L373,0)</f>
        <v/>
      </c>
      <c r="N373" s="2">
        <f>IF(H373&lt;&gt;"Paid","Outstanding",IF(J373=0,"On Time","Late"))</f>
        <v/>
      </c>
    </row>
    <row r="374">
      <c r="A374" s="2">
        <f>Raw_Data!A374</f>
        <v/>
      </c>
      <c r="B374" s="7">
        <f>Raw_Data!B374</f>
        <v/>
      </c>
      <c r="C374" s="2">
        <f>Raw_Data!C374</f>
        <v/>
      </c>
      <c r="D374" s="2">
        <f>Raw_Data!D374</f>
        <v/>
      </c>
      <c r="E374" s="8">
        <f>Raw_Data!F374</f>
        <v/>
      </c>
      <c r="F374" s="7">
        <f>Raw_Data!H374</f>
        <v/>
      </c>
      <c r="G374" s="7">
        <f>Raw_Data!I374</f>
        <v/>
      </c>
      <c r="H374" s="2">
        <f>Raw_Data!J374</f>
        <v/>
      </c>
      <c r="I374" s="2">
        <f>IF(G374="",0,G374-B374)</f>
        <v/>
      </c>
      <c r="J374" s="2">
        <f>IF(H374="Paid",MAX(0,G374-F374),MAX(0,DATE(2026,12,31)-F374))</f>
        <v/>
      </c>
      <c r="K374" s="8">
        <f>IF(H374="Paid",0,E374)</f>
        <v/>
      </c>
      <c r="L374" s="2">
        <f>IF(J374=0,"Current",IF(J374&lt;=30,"1-30 Days",IF(J374&lt;=60,"31-60 Days",IF(J374&lt;=90,"61-90 Days","90+ Days"))))</f>
        <v/>
      </c>
      <c r="M374" s="8">
        <f>IF(Raw_Data!K374="Yes",Raw_Data!F374*Raw_Data!L374,0)</f>
        <v/>
      </c>
      <c r="N374" s="2">
        <f>IF(H374&lt;&gt;"Paid","Outstanding",IF(J374=0,"On Time","Late"))</f>
        <v/>
      </c>
    </row>
    <row r="375">
      <c r="A375" s="2">
        <f>Raw_Data!A375</f>
        <v/>
      </c>
      <c r="B375" s="7">
        <f>Raw_Data!B375</f>
        <v/>
      </c>
      <c r="C375" s="2">
        <f>Raw_Data!C375</f>
        <v/>
      </c>
      <c r="D375" s="2">
        <f>Raw_Data!D375</f>
        <v/>
      </c>
      <c r="E375" s="8">
        <f>Raw_Data!F375</f>
        <v/>
      </c>
      <c r="F375" s="7">
        <f>Raw_Data!H375</f>
        <v/>
      </c>
      <c r="G375" s="7">
        <f>Raw_Data!I375</f>
        <v/>
      </c>
      <c r="H375" s="2">
        <f>Raw_Data!J375</f>
        <v/>
      </c>
      <c r="I375" s="2">
        <f>IF(G375="",0,G375-B375)</f>
        <v/>
      </c>
      <c r="J375" s="2">
        <f>IF(H375="Paid",MAX(0,G375-F375),MAX(0,DATE(2026,12,31)-F375))</f>
        <v/>
      </c>
      <c r="K375" s="8">
        <f>IF(H375="Paid",0,E375)</f>
        <v/>
      </c>
      <c r="L375" s="2">
        <f>IF(J375=0,"Current",IF(J375&lt;=30,"1-30 Days",IF(J375&lt;=60,"31-60 Days",IF(J375&lt;=90,"61-90 Days","90+ Days"))))</f>
        <v/>
      </c>
      <c r="M375" s="8">
        <f>IF(Raw_Data!K375="Yes",Raw_Data!F375*Raw_Data!L375,0)</f>
        <v/>
      </c>
      <c r="N375" s="2">
        <f>IF(H375&lt;&gt;"Paid","Outstanding",IF(J375=0,"On Time","Late"))</f>
        <v/>
      </c>
    </row>
    <row r="376">
      <c r="A376" s="2">
        <f>Raw_Data!A376</f>
        <v/>
      </c>
      <c r="B376" s="7">
        <f>Raw_Data!B376</f>
        <v/>
      </c>
      <c r="C376" s="2">
        <f>Raw_Data!C376</f>
        <v/>
      </c>
      <c r="D376" s="2">
        <f>Raw_Data!D376</f>
        <v/>
      </c>
      <c r="E376" s="8">
        <f>Raw_Data!F376</f>
        <v/>
      </c>
      <c r="F376" s="7">
        <f>Raw_Data!H376</f>
        <v/>
      </c>
      <c r="G376" s="7">
        <f>Raw_Data!I376</f>
        <v/>
      </c>
      <c r="H376" s="2">
        <f>Raw_Data!J376</f>
        <v/>
      </c>
      <c r="I376" s="2">
        <f>IF(G376="",0,G376-B376)</f>
        <v/>
      </c>
      <c r="J376" s="2">
        <f>IF(H376="Paid",MAX(0,G376-F376),MAX(0,DATE(2026,12,31)-F376))</f>
        <v/>
      </c>
      <c r="K376" s="8">
        <f>IF(H376="Paid",0,E376)</f>
        <v/>
      </c>
      <c r="L376" s="2">
        <f>IF(J376=0,"Current",IF(J376&lt;=30,"1-30 Days",IF(J376&lt;=60,"31-60 Days",IF(J376&lt;=90,"61-90 Days","90+ Days"))))</f>
        <v/>
      </c>
      <c r="M376" s="8">
        <f>IF(Raw_Data!K376="Yes",Raw_Data!F376*Raw_Data!L376,0)</f>
        <v/>
      </c>
      <c r="N376" s="2">
        <f>IF(H376&lt;&gt;"Paid","Outstanding",IF(J376=0,"On Time","Late"))</f>
        <v/>
      </c>
    </row>
    <row r="377">
      <c r="A377" s="2">
        <f>Raw_Data!A377</f>
        <v/>
      </c>
      <c r="B377" s="7">
        <f>Raw_Data!B377</f>
        <v/>
      </c>
      <c r="C377" s="2">
        <f>Raw_Data!C377</f>
        <v/>
      </c>
      <c r="D377" s="2">
        <f>Raw_Data!D377</f>
        <v/>
      </c>
      <c r="E377" s="8">
        <f>Raw_Data!F377</f>
        <v/>
      </c>
      <c r="F377" s="7">
        <f>Raw_Data!H377</f>
        <v/>
      </c>
      <c r="G377" s="7">
        <f>Raw_Data!I377</f>
        <v/>
      </c>
      <c r="H377" s="2">
        <f>Raw_Data!J377</f>
        <v/>
      </c>
      <c r="I377" s="2">
        <f>IF(G377="",0,G377-B377)</f>
        <v/>
      </c>
      <c r="J377" s="2">
        <f>IF(H377="Paid",MAX(0,G377-F377),MAX(0,DATE(2026,12,31)-F377))</f>
        <v/>
      </c>
      <c r="K377" s="8">
        <f>IF(H377="Paid",0,E377)</f>
        <v/>
      </c>
      <c r="L377" s="2">
        <f>IF(J377=0,"Current",IF(J377&lt;=30,"1-30 Days",IF(J377&lt;=60,"31-60 Days",IF(J377&lt;=90,"61-90 Days","90+ Days"))))</f>
        <v/>
      </c>
      <c r="M377" s="8">
        <f>IF(Raw_Data!K377="Yes",Raw_Data!F377*Raw_Data!L377,0)</f>
        <v/>
      </c>
      <c r="N377" s="2">
        <f>IF(H377&lt;&gt;"Paid","Outstanding",IF(J377=0,"On Time","Late"))</f>
        <v/>
      </c>
    </row>
    <row r="378">
      <c r="A378" s="2">
        <f>Raw_Data!A378</f>
        <v/>
      </c>
      <c r="B378" s="7">
        <f>Raw_Data!B378</f>
        <v/>
      </c>
      <c r="C378" s="2">
        <f>Raw_Data!C378</f>
        <v/>
      </c>
      <c r="D378" s="2">
        <f>Raw_Data!D378</f>
        <v/>
      </c>
      <c r="E378" s="8">
        <f>Raw_Data!F378</f>
        <v/>
      </c>
      <c r="F378" s="7">
        <f>Raw_Data!H378</f>
        <v/>
      </c>
      <c r="G378" s="7">
        <f>Raw_Data!I378</f>
        <v/>
      </c>
      <c r="H378" s="2">
        <f>Raw_Data!J378</f>
        <v/>
      </c>
      <c r="I378" s="2">
        <f>IF(G378="",0,G378-B378)</f>
        <v/>
      </c>
      <c r="J378" s="2">
        <f>IF(H378="Paid",MAX(0,G378-F378),MAX(0,DATE(2026,12,31)-F378))</f>
        <v/>
      </c>
      <c r="K378" s="8">
        <f>IF(H378="Paid",0,E378)</f>
        <v/>
      </c>
      <c r="L378" s="2">
        <f>IF(J378=0,"Current",IF(J378&lt;=30,"1-30 Days",IF(J378&lt;=60,"31-60 Days",IF(J378&lt;=90,"61-90 Days","90+ Days"))))</f>
        <v/>
      </c>
      <c r="M378" s="8">
        <f>IF(Raw_Data!K378="Yes",Raw_Data!F378*Raw_Data!L378,0)</f>
        <v/>
      </c>
      <c r="N378" s="2">
        <f>IF(H378&lt;&gt;"Paid","Outstanding",IF(J378=0,"On Time","Late"))</f>
        <v/>
      </c>
    </row>
    <row r="379">
      <c r="A379" s="2">
        <f>Raw_Data!A379</f>
        <v/>
      </c>
      <c r="B379" s="7">
        <f>Raw_Data!B379</f>
        <v/>
      </c>
      <c r="C379" s="2">
        <f>Raw_Data!C379</f>
        <v/>
      </c>
      <c r="D379" s="2">
        <f>Raw_Data!D379</f>
        <v/>
      </c>
      <c r="E379" s="8">
        <f>Raw_Data!F379</f>
        <v/>
      </c>
      <c r="F379" s="7">
        <f>Raw_Data!H379</f>
        <v/>
      </c>
      <c r="G379" s="7">
        <f>Raw_Data!I379</f>
        <v/>
      </c>
      <c r="H379" s="2">
        <f>Raw_Data!J379</f>
        <v/>
      </c>
      <c r="I379" s="2">
        <f>IF(G379="",0,G379-B379)</f>
        <v/>
      </c>
      <c r="J379" s="2">
        <f>IF(H379="Paid",MAX(0,G379-F379),MAX(0,DATE(2026,12,31)-F379))</f>
        <v/>
      </c>
      <c r="K379" s="8">
        <f>IF(H379="Paid",0,E379)</f>
        <v/>
      </c>
      <c r="L379" s="2">
        <f>IF(J379=0,"Current",IF(J379&lt;=30,"1-30 Days",IF(J379&lt;=60,"31-60 Days",IF(J379&lt;=90,"61-90 Days","90+ Days"))))</f>
        <v/>
      </c>
      <c r="M379" s="8">
        <f>IF(Raw_Data!K379="Yes",Raw_Data!F379*Raw_Data!L379,0)</f>
        <v/>
      </c>
      <c r="N379" s="2">
        <f>IF(H379&lt;&gt;"Paid","Outstanding",IF(J379=0,"On Time","Late"))</f>
        <v/>
      </c>
    </row>
    <row r="380">
      <c r="A380" s="2">
        <f>Raw_Data!A380</f>
        <v/>
      </c>
      <c r="B380" s="7">
        <f>Raw_Data!B380</f>
        <v/>
      </c>
      <c r="C380" s="2">
        <f>Raw_Data!C380</f>
        <v/>
      </c>
      <c r="D380" s="2">
        <f>Raw_Data!D380</f>
        <v/>
      </c>
      <c r="E380" s="8">
        <f>Raw_Data!F380</f>
        <v/>
      </c>
      <c r="F380" s="7">
        <f>Raw_Data!H380</f>
        <v/>
      </c>
      <c r="G380" s="7">
        <f>Raw_Data!I380</f>
        <v/>
      </c>
      <c r="H380" s="2">
        <f>Raw_Data!J380</f>
        <v/>
      </c>
      <c r="I380" s="2">
        <f>IF(G380="",0,G380-B380)</f>
        <v/>
      </c>
      <c r="J380" s="2">
        <f>IF(H380="Paid",MAX(0,G380-F380),MAX(0,DATE(2026,12,31)-F380))</f>
        <v/>
      </c>
      <c r="K380" s="8">
        <f>IF(H380="Paid",0,E380)</f>
        <v/>
      </c>
      <c r="L380" s="2">
        <f>IF(J380=0,"Current",IF(J380&lt;=30,"1-30 Days",IF(J380&lt;=60,"31-60 Days",IF(J380&lt;=90,"61-90 Days","90+ Days"))))</f>
        <v/>
      </c>
      <c r="M380" s="8">
        <f>IF(Raw_Data!K380="Yes",Raw_Data!F380*Raw_Data!L380,0)</f>
        <v/>
      </c>
      <c r="N380" s="2">
        <f>IF(H380&lt;&gt;"Paid","Outstanding",IF(J380=0,"On Time","Late"))</f>
        <v/>
      </c>
    </row>
    <row r="381">
      <c r="A381" s="2">
        <f>Raw_Data!A381</f>
        <v/>
      </c>
      <c r="B381" s="7">
        <f>Raw_Data!B381</f>
        <v/>
      </c>
      <c r="C381" s="2">
        <f>Raw_Data!C381</f>
        <v/>
      </c>
      <c r="D381" s="2">
        <f>Raw_Data!D381</f>
        <v/>
      </c>
      <c r="E381" s="8">
        <f>Raw_Data!F381</f>
        <v/>
      </c>
      <c r="F381" s="7">
        <f>Raw_Data!H381</f>
        <v/>
      </c>
      <c r="G381" s="7">
        <f>Raw_Data!I381</f>
        <v/>
      </c>
      <c r="H381" s="2">
        <f>Raw_Data!J381</f>
        <v/>
      </c>
      <c r="I381" s="2">
        <f>IF(G381="",0,G381-B381)</f>
        <v/>
      </c>
      <c r="J381" s="2">
        <f>IF(H381="Paid",MAX(0,G381-F381),MAX(0,DATE(2026,12,31)-F381))</f>
        <v/>
      </c>
      <c r="K381" s="8">
        <f>IF(H381="Paid",0,E381)</f>
        <v/>
      </c>
      <c r="L381" s="2">
        <f>IF(J381=0,"Current",IF(J381&lt;=30,"1-30 Days",IF(J381&lt;=60,"31-60 Days",IF(J381&lt;=90,"61-90 Days","90+ Days"))))</f>
        <v/>
      </c>
      <c r="M381" s="8">
        <f>IF(Raw_Data!K381="Yes",Raw_Data!F381*Raw_Data!L381,0)</f>
        <v/>
      </c>
      <c r="N381" s="2">
        <f>IF(H381&lt;&gt;"Paid","Outstanding",IF(J381=0,"On Time","Late"))</f>
        <v/>
      </c>
    </row>
    <row r="382">
      <c r="A382" s="2">
        <f>Raw_Data!A382</f>
        <v/>
      </c>
      <c r="B382" s="7">
        <f>Raw_Data!B382</f>
        <v/>
      </c>
      <c r="C382" s="2">
        <f>Raw_Data!C382</f>
        <v/>
      </c>
      <c r="D382" s="2">
        <f>Raw_Data!D382</f>
        <v/>
      </c>
      <c r="E382" s="8">
        <f>Raw_Data!F382</f>
        <v/>
      </c>
      <c r="F382" s="7">
        <f>Raw_Data!H382</f>
        <v/>
      </c>
      <c r="G382" s="7">
        <f>Raw_Data!I382</f>
        <v/>
      </c>
      <c r="H382" s="2">
        <f>Raw_Data!J382</f>
        <v/>
      </c>
      <c r="I382" s="2">
        <f>IF(G382="",0,G382-B382)</f>
        <v/>
      </c>
      <c r="J382" s="2">
        <f>IF(H382="Paid",MAX(0,G382-F382),MAX(0,DATE(2026,12,31)-F382))</f>
        <v/>
      </c>
      <c r="K382" s="8">
        <f>IF(H382="Paid",0,E382)</f>
        <v/>
      </c>
      <c r="L382" s="2">
        <f>IF(J382=0,"Current",IF(J382&lt;=30,"1-30 Days",IF(J382&lt;=60,"31-60 Days",IF(J382&lt;=90,"61-90 Days","90+ Days"))))</f>
        <v/>
      </c>
      <c r="M382" s="8">
        <f>IF(Raw_Data!K382="Yes",Raw_Data!F382*Raw_Data!L382,0)</f>
        <v/>
      </c>
      <c r="N382" s="2">
        <f>IF(H382&lt;&gt;"Paid","Outstanding",IF(J382=0,"On Time","Late"))</f>
        <v/>
      </c>
    </row>
    <row r="383">
      <c r="A383" s="2">
        <f>Raw_Data!A383</f>
        <v/>
      </c>
      <c r="B383" s="7">
        <f>Raw_Data!B383</f>
        <v/>
      </c>
      <c r="C383" s="2">
        <f>Raw_Data!C383</f>
        <v/>
      </c>
      <c r="D383" s="2">
        <f>Raw_Data!D383</f>
        <v/>
      </c>
      <c r="E383" s="8">
        <f>Raw_Data!F383</f>
        <v/>
      </c>
      <c r="F383" s="7">
        <f>Raw_Data!H383</f>
        <v/>
      </c>
      <c r="G383" s="7">
        <f>Raw_Data!I383</f>
        <v/>
      </c>
      <c r="H383" s="2">
        <f>Raw_Data!J383</f>
        <v/>
      </c>
      <c r="I383" s="2">
        <f>IF(G383="",0,G383-B383)</f>
        <v/>
      </c>
      <c r="J383" s="2">
        <f>IF(H383="Paid",MAX(0,G383-F383),MAX(0,DATE(2026,12,31)-F383))</f>
        <v/>
      </c>
      <c r="K383" s="8">
        <f>IF(H383="Paid",0,E383)</f>
        <v/>
      </c>
      <c r="L383" s="2">
        <f>IF(J383=0,"Current",IF(J383&lt;=30,"1-30 Days",IF(J383&lt;=60,"31-60 Days",IF(J383&lt;=90,"61-90 Days","90+ Days"))))</f>
        <v/>
      </c>
      <c r="M383" s="8">
        <f>IF(Raw_Data!K383="Yes",Raw_Data!F383*Raw_Data!L383,0)</f>
        <v/>
      </c>
      <c r="N383" s="2">
        <f>IF(H383&lt;&gt;"Paid","Outstanding",IF(J383=0,"On Time","Late"))</f>
        <v/>
      </c>
    </row>
    <row r="384">
      <c r="A384" s="2">
        <f>Raw_Data!A384</f>
        <v/>
      </c>
      <c r="B384" s="7">
        <f>Raw_Data!B384</f>
        <v/>
      </c>
      <c r="C384" s="2">
        <f>Raw_Data!C384</f>
        <v/>
      </c>
      <c r="D384" s="2">
        <f>Raw_Data!D384</f>
        <v/>
      </c>
      <c r="E384" s="8">
        <f>Raw_Data!F384</f>
        <v/>
      </c>
      <c r="F384" s="7">
        <f>Raw_Data!H384</f>
        <v/>
      </c>
      <c r="G384" s="7">
        <f>Raw_Data!I384</f>
        <v/>
      </c>
      <c r="H384" s="2">
        <f>Raw_Data!J384</f>
        <v/>
      </c>
      <c r="I384" s="2">
        <f>IF(G384="",0,G384-B384)</f>
        <v/>
      </c>
      <c r="J384" s="2">
        <f>IF(H384="Paid",MAX(0,G384-F384),MAX(0,DATE(2026,12,31)-F384))</f>
        <v/>
      </c>
      <c r="K384" s="8">
        <f>IF(H384="Paid",0,E384)</f>
        <v/>
      </c>
      <c r="L384" s="2">
        <f>IF(J384=0,"Current",IF(J384&lt;=30,"1-30 Days",IF(J384&lt;=60,"31-60 Days",IF(J384&lt;=90,"61-90 Days","90+ Days"))))</f>
        <v/>
      </c>
      <c r="M384" s="8">
        <f>IF(Raw_Data!K384="Yes",Raw_Data!F384*Raw_Data!L384,0)</f>
        <v/>
      </c>
      <c r="N384" s="2">
        <f>IF(H384&lt;&gt;"Paid","Outstanding",IF(J384=0,"On Time","Late"))</f>
        <v/>
      </c>
    </row>
    <row r="385">
      <c r="A385" s="2">
        <f>Raw_Data!A385</f>
        <v/>
      </c>
      <c r="B385" s="7">
        <f>Raw_Data!B385</f>
        <v/>
      </c>
      <c r="C385" s="2">
        <f>Raw_Data!C385</f>
        <v/>
      </c>
      <c r="D385" s="2">
        <f>Raw_Data!D385</f>
        <v/>
      </c>
      <c r="E385" s="8">
        <f>Raw_Data!F385</f>
        <v/>
      </c>
      <c r="F385" s="7">
        <f>Raw_Data!H385</f>
        <v/>
      </c>
      <c r="G385" s="7">
        <f>Raw_Data!I385</f>
        <v/>
      </c>
      <c r="H385" s="2">
        <f>Raw_Data!J385</f>
        <v/>
      </c>
      <c r="I385" s="2">
        <f>IF(G385="",0,G385-B385)</f>
        <v/>
      </c>
      <c r="J385" s="2">
        <f>IF(H385="Paid",MAX(0,G385-F385),MAX(0,DATE(2026,12,31)-F385))</f>
        <v/>
      </c>
      <c r="K385" s="8">
        <f>IF(H385="Paid",0,E385)</f>
        <v/>
      </c>
      <c r="L385" s="2">
        <f>IF(J385=0,"Current",IF(J385&lt;=30,"1-30 Days",IF(J385&lt;=60,"31-60 Days",IF(J385&lt;=90,"61-90 Days","90+ Days"))))</f>
        <v/>
      </c>
      <c r="M385" s="8">
        <f>IF(Raw_Data!K385="Yes",Raw_Data!F385*Raw_Data!L385,0)</f>
        <v/>
      </c>
      <c r="N385" s="2">
        <f>IF(H385&lt;&gt;"Paid","Outstanding",IF(J385=0,"On Time","Late"))</f>
        <v/>
      </c>
    </row>
    <row r="386">
      <c r="A386" s="2">
        <f>Raw_Data!A386</f>
        <v/>
      </c>
      <c r="B386" s="7">
        <f>Raw_Data!B386</f>
        <v/>
      </c>
      <c r="C386" s="2">
        <f>Raw_Data!C386</f>
        <v/>
      </c>
      <c r="D386" s="2">
        <f>Raw_Data!D386</f>
        <v/>
      </c>
      <c r="E386" s="8">
        <f>Raw_Data!F386</f>
        <v/>
      </c>
      <c r="F386" s="7">
        <f>Raw_Data!H386</f>
        <v/>
      </c>
      <c r="G386" s="7">
        <f>Raw_Data!I386</f>
        <v/>
      </c>
      <c r="H386" s="2">
        <f>Raw_Data!J386</f>
        <v/>
      </c>
      <c r="I386" s="2">
        <f>IF(G386="",0,G386-B386)</f>
        <v/>
      </c>
      <c r="J386" s="2">
        <f>IF(H386="Paid",MAX(0,G386-F386),MAX(0,DATE(2026,12,31)-F386))</f>
        <v/>
      </c>
      <c r="K386" s="8">
        <f>IF(H386="Paid",0,E386)</f>
        <v/>
      </c>
      <c r="L386" s="2">
        <f>IF(J386=0,"Current",IF(J386&lt;=30,"1-30 Days",IF(J386&lt;=60,"31-60 Days",IF(J386&lt;=90,"61-90 Days","90+ Days"))))</f>
        <v/>
      </c>
      <c r="M386" s="8">
        <f>IF(Raw_Data!K386="Yes",Raw_Data!F386*Raw_Data!L386,0)</f>
        <v/>
      </c>
      <c r="N386" s="2">
        <f>IF(H386&lt;&gt;"Paid","Outstanding",IF(J386=0,"On Time","Late"))</f>
        <v/>
      </c>
    </row>
    <row r="387">
      <c r="A387" s="2">
        <f>Raw_Data!A387</f>
        <v/>
      </c>
      <c r="B387" s="7">
        <f>Raw_Data!B387</f>
        <v/>
      </c>
      <c r="C387" s="2">
        <f>Raw_Data!C387</f>
        <v/>
      </c>
      <c r="D387" s="2">
        <f>Raw_Data!D387</f>
        <v/>
      </c>
      <c r="E387" s="8">
        <f>Raw_Data!F387</f>
        <v/>
      </c>
      <c r="F387" s="7">
        <f>Raw_Data!H387</f>
        <v/>
      </c>
      <c r="G387" s="7">
        <f>Raw_Data!I387</f>
        <v/>
      </c>
      <c r="H387" s="2">
        <f>Raw_Data!J387</f>
        <v/>
      </c>
      <c r="I387" s="2">
        <f>IF(G387="",0,G387-B387)</f>
        <v/>
      </c>
      <c r="J387" s="2">
        <f>IF(H387="Paid",MAX(0,G387-F387),MAX(0,DATE(2026,12,31)-F387))</f>
        <v/>
      </c>
      <c r="K387" s="8">
        <f>IF(H387="Paid",0,E387)</f>
        <v/>
      </c>
      <c r="L387" s="2">
        <f>IF(J387=0,"Current",IF(J387&lt;=30,"1-30 Days",IF(J387&lt;=60,"31-60 Days",IF(J387&lt;=90,"61-90 Days","90+ Days"))))</f>
        <v/>
      </c>
      <c r="M387" s="8">
        <f>IF(Raw_Data!K387="Yes",Raw_Data!F387*Raw_Data!L387,0)</f>
        <v/>
      </c>
      <c r="N387" s="2">
        <f>IF(H387&lt;&gt;"Paid","Outstanding",IF(J387=0,"On Time","Late"))</f>
        <v/>
      </c>
    </row>
    <row r="388">
      <c r="A388" s="2">
        <f>Raw_Data!A388</f>
        <v/>
      </c>
      <c r="B388" s="7">
        <f>Raw_Data!B388</f>
        <v/>
      </c>
      <c r="C388" s="2">
        <f>Raw_Data!C388</f>
        <v/>
      </c>
      <c r="D388" s="2">
        <f>Raw_Data!D388</f>
        <v/>
      </c>
      <c r="E388" s="8">
        <f>Raw_Data!F388</f>
        <v/>
      </c>
      <c r="F388" s="7">
        <f>Raw_Data!H388</f>
        <v/>
      </c>
      <c r="G388" s="7">
        <f>Raw_Data!I388</f>
        <v/>
      </c>
      <c r="H388" s="2">
        <f>Raw_Data!J388</f>
        <v/>
      </c>
      <c r="I388" s="2">
        <f>IF(G388="",0,G388-B388)</f>
        <v/>
      </c>
      <c r="J388" s="2">
        <f>IF(H388="Paid",MAX(0,G388-F388),MAX(0,DATE(2026,12,31)-F388))</f>
        <v/>
      </c>
      <c r="K388" s="8">
        <f>IF(H388="Paid",0,E388)</f>
        <v/>
      </c>
      <c r="L388" s="2">
        <f>IF(J388=0,"Current",IF(J388&lt;=30,"1-30 Days",IF(J388&lt;=60,"31-60 Days",IF(J388&lt;=90,"61-90 Days","90+ Days"))))</f>
        <v/>
      </c>
      <c r="M388" s="8">
        <f>IF(Raw_Data!K388="Yes",Raw_Data!F388*Raw_Data!L388,0)</f>
        <v/>
      </c>
      <c r="N388" s="2">
        <f>IF(H388&lt;&gt;"Paid","Outstanding",IF(J388=0,"On Time","Late"))</f>
        <v/>
      </c>
    </row>
    <row r="389">
      <c r="A389" s="2">
        <f>Raw_Data!A389</f>
        <v/>
      </c>
      <c r="B389" s="7">
        <f>Raw_Data!B389</f>
        <v/>
      </c>
      <c r="C389" s="2">
        <f>Raw_Data!C389</f>
        <v/>
      </c>
      <c r="D389" s="2">
        <f>Raw_Data!D389</f>
        <v/>
      </c>
      <c r="E389" s="8">
        <f>Raw_Data!F389</f>
        <v/>
      </c>
      <c r="F389" s="7">
        <f>Raw_Data!H389</f>
        <v/>
      </c>
      <c r="G389" s="7">
        <f>Raw_Data!I389</f>
        <v/>
      </c>
      <c r="H389" s="2">
        <f>Raw_Data!J389</f>
        <v/>
      </c>
      <c r="I389" s="2">
        <f>IF(G389="",0,G389-B389)</f>
        <v/>
      </c>
      <c r="J389" s="2">
        <f>IF(H389="Paid",MAX(0,G389-F389),MAX(0,DATE(2026,12,31)-F389))</f>
        <v/>
      </c>
      <c r="K389" s="8">
        <f>IF(H389="Paid",0,E389)</f>
        <v/>
      </c>
      <c r="L389" s="2">
        <f>IF(J389=0,"Current",IF(J389&lt;=30,"1-30 Days",IF(J389&lt;=60,"31-60 Days",IF(J389&lt;=90,"61-90 Days","90+ Days"))))</f>
        <v/>
      </c>
      <c r="M389" s="8">
        <f>IF(Raw_Data!K389="Yes",Raw_Data!F389*Raw_Data!L389,0)</f>
        <v/>
      </c>
      <c r="N389" s="2">
        <f>IF(H389&lt;&gt;"Paid","Outstanding",IF(J389=0,"On Time","Late"))</f>
        <v/>
      </c>
    </row>
    <row r="390">
      <c r="A390" s="2">
        <f>Raw_Data!A390</f>
        <v/>
      </c>
      <c r="B390" s="7">
        <f>Raw_Data!B390</f>
        <v/>
      </c>
      <c r="C390" s="2">
        <f>Raw_Data!C390</f>
        <v/>
      </c>
      <c r="D390" s="2">
        <f>Raw_Data!D390</f>
        <v/>
      </c>
      <c r="E390" s="8">
        <f>Raw_Data!F390</f>
        <v/>
      </c>
      <c r="F390" s="7">
        <f>Raw_Data!H390</f>
        <v/>
      </c>
      <c r="G390" s="7">
        <f>Raw_Data!I390</f>
        <v/>
      </c>
      <c r="H390" s="2">
        <f>Raw_Data!J390</f>
        <v/>
      </c>
      <c r="I390" s="2">
        <f>IF(G390="",0,G390-B390)</f>
        <v/>
      </c>
      <c r="J390" s="2">
        <f>IF(H390="Paid",MAX(0,G390-F390),MAX(0,DATE(2026,12,31)-F390))</f>
        <v/>
      </c>
      <c r="K390" s="8">
        <f>IF(H390="Paid",0,E390)</f>
        <v/>
      </c>
      <c r="L390" s="2">
        <f>IF(J390=0,"Current",IF(J390&lt;=30,"1-30 Days",IF(J390&lt;=60,"31-60 Days",IF(J390&lt;=90,"61-90 Days","90+ Days"))))</f>
        <v/>
      </c>
      <c r="M390" s="8">
        <f>IF(Raw_Data!K390="Yes",Raw_Data!F390*Raw_Data!L390,0)</f>
        <v/>
      </c>
      <c r="N390" s="2">
        <f>IF(H390&lt;&gt;"Paid","Outstanding",IF(J390=0,"On Time","Late"))</f>
        <v/>
      </c>
    </row>
    <row r="391">
      <c r="A391" s="2">
        <f>Raw_Data!A391</f>
        <v/>
      </c>
      <c r="B391" s="7">
        <f>Raw_Data!B391</f>
        <v/>
      </c>
      <c r="C391" s="2">
        <f>Raw_Data!C391</f>
        <v/>
      </c>
      <c r="D391" s="2">
        <f>Raw_Data!D391</f>
        <v/>
      </c>
      <c r="E391" s="8">
        <f>Raw_Data!F391</f>
        <v/>
      </c>
      <c r="F391" s="7">
        <f>Raw_Data!H391</f>
        <v/>
      </c>
      <c r="G391" s="7">
        <f>Raw_Data!I391</f>
        <v/>
      </c>
      <c r="H391" s="2">
        <f>Raw_Data!J391</f>
        <v/>
      </c>
      <c r="I391" s="2">
        <f>IF(G391="",0,G391-B391)</f>
        <v/>
      </c>
      <c r="J391" s="2">
        <f>IF(H391="Paid",MAX(0,G391-F391),MAX(0,DATE(2026,12,31)-F391))</f>
        <v/>
      </c>
      <c r="K391" s="8">
        <f>IF(H391="Paid",0,E391)</f>
        <v/>
      </c>
      <c r="L391" s="2">
        <f>IF(J391=0,"Current",IF(J391&lt;=30,"1-30 Days",IF(J391&lt;=60,"31-60 Days",IF(J391&lt;=90,"61-90 Days","90+ Days"))))</f>
        <v/>
      </c>
      <c r="M391" s="8">
        <f>IF(Raw_Data!K391="Yes",Raw_Data!F391*Raw_Data!L391,0)</f>
        <v/>
      </c>
      <c r="N391" s="2">
        <f>IF(H391&lt;&gt;"Paid","Outstanding",IF(J391=0,"On Time","Late"))</f>
        <v/>
      </c>
    </row>
    <row r="392">
      <c r="A392" s="2">
        <f>Raw_Data!A392</f>
        <v/>
      </c>
      <c r="B392" s="7">
        <f>Raw_Data!B392</f>
        <v/>
      </c>
      <c r="C392" s="2">
        <f>Raw_Data!C392</f>
        <v/>
      </c>
      <c r="D392" s="2">
        <f>Raw_Data!D392</f>
        <v/>
      </c>
      <c r="E392" s="8">
        <f>Raw_Data!F392</f>
        <v/>
      </c>
      <c r="F392" s="7">
        <f>Raw_Data!H392</f>
        <v/>
      </c>
      <c r="G392" s="7">
        <f>Raw_Data!I392</f>
        <v/>
      </c>
      <c r="H392" s="2">
        <f>Raw_Data!J392</f>
        <v/>
      </c>
      <c r="I392" s="2">
        <f>IF(G392="",0,G392-B392)</f>
        <v/>
      </c>
      <c r="J392" s="2">
        <f>IF(H392="Paid",MAX(0,G392-F392),MAX(0,DATE(2026,12,31)-F392))</f>
        <v/>
      </c>
      <c r="K392" s="8">
        <f>IF(H392="Paid",0,E392)</f>
        <v/>
      </c>
      <c r="L392" s="2">
        <f>IF(J392=0,"Current",IF(J392&lt;=30,"1-30 Days",IF(J392&lt;=60,"31-60 Days",IF(J392&lt;=90,"61-90 Days","90+ Days"))))</f>
        <v/>
      </c>
      <c r="M392" s="8">
        <f>IF(Raw_Data!K392="Yes",Raw_Data!F392*Raw_Data!L392,0)</f>
        <v/>
      </c>
      <c r="N392" s="2">
        <f>IF(H392&lt;&gt;"Paid","Outstanding",IF(J392=0,"On Time","Late"))</f>
        <v/>
      </c>
    </row>
    <row r="393">
      <c r="A393" s="2">
        <f>Raw_Data!A393</f>
        <v/>
      </c>
      <c r="B393" s="7">
        <f>Raw_Data!B393</f>
        <v/>
      </c>
      <c r="C393" s="2">
        <f>Raw_Data!C393</f>
        <v/>
      </c>
      <c r="D393" s="2">
        <f>Raw_Data!D393</f>
        <v/>
      </c>
      <c r="E393" s="8">
        <f>Raw_Data!F393</f>
        <v/>
      </c>
      <c r="F393" s="7">
        <f>Raw_Data!H393</f>
        <v/>
      </c>
      <c r="G393" s="7">
        <f>Raw_Data!I393</f>
        <v/>
      </c>
      <c r="H393" s="2">
        <f>Raw_Data!J393</f>
        <v/>
      </c>
      <c r="I393" s="2">
        <f>IF(G393="",0,G393-B393)</f>
        <v/>
      </c>
      <c r="J393" s="2">
        <f>IF(H393="Paid",MAX(0,G393-F393),MAX(0,DATE(2026,12,31)-F393))</f>
        <v/>
      </c>
      <c r="K393" s="8">
        <f>IF(H393="Paid",0,E393)</f>
        <v/>
      </c>
      <c r="L393" s="2">
        <f>IF(J393=0,"Current",IF(J393&lt;=30,"1-30 Days",IF(J393&lt;=60,"31-60 Days",IF(J393&lt;=90,"61-90 Days","90+ Days"))))</f>
        <v/>
      </c>
      <c r="M393" s="8">
        <f>IF(Raw_Data!K393="Yes",Raw_Data!F393*Raw_Data!L393,0)</f>
        <v/>
      </c>
      <c r="N393" s="2">
        <f>IF(H393&lt;&gt;"Paid","Outstanding",IF(J393=0,"On Time","Late"))</f>
        <v/>
      </c>
    </row>
    <row r="394">
      <c r="A394" s="2">
        <f>Raw_Data!A394</f>
        <v/>
      </c>
      <c r="B394" s="7">
        <f>Raw_Data!B394</f>
        <v/>
      </c>
      <c r="C394" s="2">
        <f>Raw_Data!C394</f>
        <v/>
      </c>
      <c r="D394" s="2">
        <f>Raw_Data!D394</f>
        <v/>
      </c>
      <c r="E394" s="8">
        <f>Raw_Data!F394</f>
        <v/>
      </c>
      <c r="F394" s="7">
        <f>Raw_Data!H394</f>
        <v/>
      </c>
      <c r="G394" s="7">
        <f>Raw_Data!I394</f>
        <v/>
      </c>
      <c r="H394" s="2">
        <f>Raw_Data!J394</f>
        <v/>
      </c>
      <c r="I394" s="2">
        <f>IF(G394="",0,G394-B394)</f>
        <v/>
      </c>
      <c r="J394" s="2">
        <f>IF(H394="Paid",MAX(0,G394-F394),MAX(0,DATE(2026,12,31)-F394))</f>
        <v/>
      </c>
      <c r="K394" s="8">
        <f>IF(H394="Paid",0,E394)</f>
        <v/>
      </c>
      <c r="L394" s="2">
        <f>IF(J394=0,"Current",IF(J394&lt;=30,"1-30 Days",IF(J394&lt;=60,"31-60 Days",IF(J394&lt;=90,"61-90 Days","90+ Days"))))</f>
        <v/>
      </c>
      <c r="M394" s="8">
        <f>IF(Raw_Data!K394="Yes",Raw_Data!F394*Raw_Data!L394,0)</f>
        <v/>
      </c>
      <c r="N394" s="2">
        <f>IF(H394&lt;&gt;"Paid","Outstanding",IF(J394=0,"On Time","Late"))</f>
        <v/>
      </c>
    </row>
    <row r="395">
      <c r="A395" s="2">
        <f>Raw_Data!A395</f>
        <v/>
      </c>
      <c r="B395" s="7">
        <f>Raw_Data!B395</f>
        <v/>
      </c>
      <c r="C395" s="2">
        <f>Raw_Data!C395</f>
        <v/>
      </c>
      <c r="D395" s="2">
        <f>Raw_Data!D395</f>
        <v/>
      </c>
      <c r="E395" s="8">
        <f>Raw_Data!F395</f>
        <v/>
      </c>
      <c r="F395" s="7">
        <f>Raw_Data!H395</f>
        <v/>
      </c>
      <c r="G395" s="7">
        <f>Raw_Data!I395</f>
        <v/>
      </c>
      <c r="H395" s="2">
        <f>Raw_Data!J395</f>
        <v/>
      </c>
      <c r="I395" s="2">
        <f>IF(G395="",0,G395-B395)</f>
        <v/>
      </c>
      <c r="J395" s="2">
        <f>IF(H395="Paid",MAX(0,G395-F395),MAX(0,DATE(2026,12,31)-F395))</f>
        <v/>
      </c>
      <c r="K395" s="8">
        <f>IF(H395="Paid",0,E395)</f>
        <v/>
      </c>
      <c r="L395" s="2">
        <f>IF(J395=0,"Current",IF(J395&lt;=30,"1-30 Days",IF(J395&lt;=60,"31-60 Days",IF(J395&lt;=90,"61-90 Days","90+ Days"))))</f>
        <v/>
      </c>
      <c r="M395" s="8">
        <f>IF(Raw_Data!K395="Yes",Raw_Data!F395*Raw_Data!L395,0)</f>
        <v/>
      </c>
      <c r="N395" s="2">
        <f>IF(H395&lt;&gt;"Paid","Outstanding",IF(J395=0,"On Time","Late"))</f>
        <v/>
      </c>
    </row>
    <row r="396">
      <c r="A396" s="2">
        <f>Raw_Data!A396</f>
        <v/>
      </c>
      <c r="B396" s="7">
        <f>Raw_Data!B396</f>
        <v/>
      </c>
      <c r="C396" s="2">
        <f>Raw_Data!C396</f>
        <v/>
      </c>
      <c r="D396" s="2">
        <f>Raw_Data!D396</f>
        <v/>
      </c>
      <c r="E396" s="8">
        <f>Raw_Data!F396</f>
        <v/>
      </c>
      <c r="F396" s="7">
        <f>Raw_Data!H396</f>
        <v/>
      </c>
      <c r="G396" s="7">
        <f>Raw_Data!I396</f>
        <v/>
      </c>
      <c r="H396" s="2">
        <f>Raw_Data!J396</f>
        <v/>
      </c>
      <c r="I396" s="2">
        <f>IF(G396="",0,G396-B396)</f>
        <v/>
      </c>
      <c r="J396" s="2">
        <f>IF(H396="Paid",MAX(0,G396-F396),MAX(0,DATE(2026,12,31)-F396))</f>
        <v/>
      </c>
      <c r="K396" s="8">
        <f>IF(H396="Paid",0,E396)</f>
        <v/>
      </c>
      <c r="L396" s="2">
        <f>IF(J396=0,"Current",IF(J396&lt;=30,"1-30 Days",IF(J396&lt;=60,"31-60 Days",IF(J396&lt;=90,"61-90 Days","90+ Days"))))</f>
        <v/>
      </c>
      <c r="M396" s="8">
        <f>IF(Raw_Data!K396="Yes",Raw_Data!F396*Raw_Data!L396,0)</f>
        <v/>
      </c>
      <c r="N396" s="2">
        <f>IF(H396&lt;&gt;"Paid","Outstanding",IF(J396=0,"On Time","Late"))</f>
        <v/>
      </c>
    </row>
    <row r="397">
      <c r="A397" s="2">
        <f>Raw_Data!A397</f>
        <v/>
      </c>
      <c r="B397" s="7">
        <f>Raw_Data!B397</f>
        <v/>
      </c>
      <c r="C397" s="2">
        <f>Raw_Data!C397</f>
        <v/>
      </c>
      <c r="D397" s="2">
        <f>Raw_Data!D397</f>
        <v/>
      </c>
      <c r="E397" s="8">
        <f>Raw_Data!F397</f>
        <v/>
      </c>
      <c r="F397" s="7">
        <f>Raw_Data!H397</f>
        <v/>
      </c>
      <c r="G397" s="7">
        <f>Raw_Data!I397</f>
        <v/>
      </c>
      <c r="H397" s="2">
        <f>Raw_Data!J397</f>
        <v/>
      </c>
      <c r="I397" s="2">
        <f>IF(G397="",0,G397-B397)</f>
        <v/>
      </c>
      <c r="J397" s="2">
        <f>IF(H397="Paid",MAX(0,G397-F397),MAX(0,DATE(2026,12,31)-F397))</f>
        <v/>
      </c>
      <c r="K397" s="8">
        <f>IF(H397="Paid",0,E397)</f>
        <v/>
      </c>
      <c r="L397" s="2">
        <f>IF(J397=0,"Current",IF(J397&lt;=30,"1-30 Days",IF(J397&lt;=60,"31-60 Days",IF(J397&lt;=90,"61-90 Days","90+ Days"))))</f>
        <v/>
      </c>
      <c r="M397" s="8">
        <f>IF(Raw_Data!K397="Yes",Raw_Data!F397*Raw_Data!L397,0)</f>
        <v/>
      </c>
      <c r="N397" s="2">
        <f>IF(H397&lt;&gt;"Paid","Outstanding",IF(J397=0,"On Time","Late"))</f>
        <v/>
      </c>
    </row>
    <row r="398">
      <c r="A398" s="2">
        <f>Raw_Data!A398</f>
        <v/>
      </c>
      <c r="B398" s="7">
        <f>Raw_Data!B398</f>
        <v/>
      </c>
      <c r="C398" s="2">
        <f>Raw_Data!C398</f>
        <v/>
      </c>
      <c r="D398" s="2">
        <f>Raw_Data!D398</f>
        <v/>
      </c>
      <c r="E398" s="8">
        <f>Raw_Data!F398</f>
        <v/>
      </c>
      <c r="F398" s="7">
        <f>Raw_Data!H398</f>
        <v/>
      </c>
      <c r="G398" s="7">
        <f>Raw_Data!I398</f>
        <v/>
      </c>
      <c r="H398" s="2">
        <f>Raw_Data!J398</f>
        <v/>
      </c>
      <c r="I398" s="2">
        <f>IF(G398="",0,G398-B398)</f>
        <v/>
      </c>
      <c r="J398" s="2">
        <f>IF(H398="Paid",MAX(0,G398-F398),MAX(0,DATE(2026,12,31)-F398))</f>
        <v/>
      </c>
      <c r="K398" s="8">
        <f>IF(H398="Paid",0,E398)</f>
        <v/>
      </c>
      <c r="L398" s="2">
        <f>IF(J398=0,"Current",IF(J398&lt;=30,"1-30 Days",IF(J398&lt;=60,"31-60 Days",IF(J398&lt;=90,"61-90 Days","90+ Days"))))</f>
        <v/>
      </c>
      <c r="M398" s="8">
        <f>IF(Raw_Data!K398="Yes",Raw_Data!F398*Raw_Data!L398,0)</f>
        <v/>
      </c>
      <c r="N398" s="2">
        <f>IF(H398&lt;&gt;"Paid","Outstanding",IF(J398=0,"On Time","Late"))</f>
        <v/>
      </c>
    </row>
    <row r="399">
      <c r="A399" s="2">
        <f>Raw_Data!A399</f>
        <v/>
      </c>
      <c r="B399" s="7">
        <f>Raw_Data!B399</f>
        <v/>
      </c>
      <c r="C399" s="2">
        <f>Raw_Data!C399</f>
        <v/>
      </c>
      <c r="D399" s="2">
        <f>Raw_Data!D399</f>
        <v/>
      </c>
      <c r="E399" s="8">
        <f>Raw_Data!F399</f>
        <v/>
      </c>
      <c r="F399" s="7">
        <f>Raw_Data!H399</f>
        <v/>
      </c>
      <c r="G399" s="7">
        <f>Raw_Data!I399</f>
        <v/>
      </c>
      <c r="H399" s="2">
        <f>Raw_Data!J399</f>
        <v/>
      </c>
      <c r="I399" s="2">
        <f>IF(G399="",0,G399-B399)</f>
        <v/>
      </c>
      <c r="J399" s="2">
        <f>IF(H399="Paid",MAX(0,G399-F399),MAX(0,DATE(2026,12,31)-F399))</f>
        <v/>
      </c>
      <c r="K399" s="8">
        <f>IF(H399="Paid",0,E399)</f>
        <v/>
      </c>
      <c r="L399" s="2">
        <f>IF(J399=0,"Current",IF(J399&lt;=30,"1-30 Days",IF(J399&lt;=60,"31-60 Days",IF(J399&lt;=90,"61-90 Days","90+ Days"))))</f>
        <v/>
      </c>
      <c r="M399" s="8">
        <f>IF(Raw_Data!K399="Yes",Raw_Data!F399*Raw_Data!L399,0)</f>
        <v/>
      </c>
      <c r="N399" s="2">
        <f>IF(H399&lt;&gt;"Paid","Outstanding",IF(J399=0,"On Time","Late"))</f>
        <v/>
      </c>
    </row>
    <row r="400">
      <c r="A400" s="2">
        <f>Raw_Data!A400</f>
        <v/>
      </c>
      <c r="B400" s="7">
        <f>Raw_Data!B400</f>
        <v/>
      </c>
      <c r="C400" s="2">
        <f>Raw_Data!C400</f>
        <v/>
      </c>
      <c r="D400" s="2">
        <f>Raw_Data!D400</f>
        <v/>
      </c>
      <c r="E400" s="8">
        <f>Raw_Data!F400</f>
        <v/>
      </c>
      <c r="F400" s="7">
        <f>Raw_Data!H400</f>
        <v/>
      </c>
      <c r="G400" s="7">
        <f>Raw_Data!I400</f>
        <v/>
      </c>
      <c r="H400" s="2">
        <f>Raw_Data!J400</f>
        <v/>
      </c>
      <c r="I400" s="2">
        <f>IF(G400="",0,G400-B400)</f>
        <v/>
      </c>
      <c r="J400" s="2">
        <f>IF(H400="Paid",MAX(0,G400-F400),MAX(0,DATE(2026,12,31)-F400))</f>
        <v/>
      </c>
      <c r="K400" s="8">
        <f>IF(H400="Paid",0,E400)</f>
        <v/>
      </c>
      <c r="L400" s="2">
        <f>IF(J400=0,"Current",IF(J400&lt;=30,"1-30 Days",IF(J400&lt;=60,"31-60 Days",IF(J400&lt;=90,"61-90 Days","90+ Days"))))</f>
        <v/>
      </c>
      <c r="M400" s="8">
        <f>IF(Raw_Data!K400="Yes",Raw_Data!F400*Raw_Data!L400,0)</f>
        <v/>
      </c>
      <c r="N400" s="2">
        <f>IF(H400&lt;&gt;"Paid","Outstanding",IF(J400=0,"On Time","Late"))</f>
        <v/>
      </c>
    </row>
    <row r="401">
      <c r="A401" s="2">
        <f>Raw_Data!A401</f>
        <v/>
      </c>
      <c r="B401" s="7">
        <f>Raw_Data!B401</f>
        <v/>
      </c>
      <c r="C401" s="2">
        <f>Raw_Data!C401</f>
        <v/>
      </c>
      <c r="D401" s="2">
        <f>Raw_Data!D401</f>
        <v/>
      </c>
      <c r="E401" s="8">
        <f>Raw_Data!F401</f>
        <v/>
      </c>
      <c r="F401" s="7">
        <f>Raw_Data!H401</f>
        <v/>
      </c>
      <c r="G401" s="7">
        <f>Raw_Data!I401</f>
        <v/>
      </c>
      <c r="H401" s="2">
        <f>Raw_Data!J401</f>
        <v/>
      </c>
      <c r="I401" s="2">
        <f>IF(G401="",0,G401-B401)</f>
        <v/>
      </c>
      <c r="J401" s="2">
        <f>IF(H401="Paid",MAX(0,G401-F401),MAX(0,DATE(2026,12,31)-F401))</f>
        <v/>
      </c>
      <c r="K401" s="8">
        <f>IF(H401="Paid",0,E401)</f>
        <v/>
      </c>
      <c r="L401" s="2">
        <f>IF(J401=0,"Current",IF(J401&lt;=30,"1-30 Days",IF(J401&lt;=60,"31-60 Days",IF(J401&lt;=90,"61-90 Days","90+ Days"))))</f>
        <v/>
      </c>
      <c r="M401" s="8">
        <f>IF(Raw_Data!K401="Yes",Raw_Data!F401*Raw_Data!L401,0)</f>
        <v/>
      </c>
      <c r="N401" s="2">
        <f>IF(H401&lt;&gt;"Paid","Outstanding",IF(J401=0,"On Time","Late"))</f>
        <v/>
      </c>
    </row>
    <row r="402">
      <c r="A402" s="2">
        <f>Raw_Data!A402</f>
        <v/>
      </c>
      <c r="B402" s="7">
        <f>Raw_Data!B402</f>
        <v/>
      </c>
      <c r="C402" s="2">
        <f>Raw_Data!C402</f>
        <v/>
      </c>
      <c r="D402" s="2">
        <f>Raw_Data!D402</f>
        <v/>
      </c>
      <c r="E402" s="8">
        <f>Raw_Data!F402</f>
        <v/>
      </c>
      <c r="F402" s="7">
        <f>Raw_Data!H402</f>
        <v/>
      </c>
      <c r="G402" s="7">
        <f>Raw_Data!I402</f>
        <v/>
      </c>
      <c r="H402" s="2">
        <f>Raw_Data!J402</f>
        <v/>
      </c>
      <c r="I402" s="2">
        <f>IF(G402="",0,G402-B402)</f>
        <v/>
      </c>
      <c r="J402" s="2">
        <f>IF(H402="Paid",MAX(0,G402-F402),MAX(0,DATE(2026,12,31)-F402))</f>
        <v/>
      </c>
      <c r="K402" s="8">
        <f>IF(H402="Paid",0,E402)</f>
        <v/>
      </c>
      <c r="L402" s="2">
        <f>IF(J402=0,"Current",IF(J402&lt;=30,"1-30 Days",IF(J402&lt;=60,"31-60 Days",IF(J402&lt;=90,"61-90 Days","90+ Days"))))</f>
        <v/>
      </c>
      <c r="M402" s="8">
        <f>IF(Raw_Data!K402="Yes",Raw_Data!F402*Raw_Data!L402,0)</f>
        <v/>
      </c>
      <c r="N402" s="2">
        <f>IF(H402&lt;&gt;"Paid","Outstanding",IF(J402=0,"On Time","Late"))</f>
        <v/>
      </c>
    </row>
    <row r="403">
      <c r="A403" s="2">
        <f>Raw_Data!A403</f>
        <v/>
      </c>
      <c r="B403" s="7">
        <f>Raw_Data!B403</f>
        <v/>
      </c>
      <c r="C403" s="2">
        <f>Raw_Data!C403</f>
        <v/>
      </c>
      <c r="D403" s="2">
        <f>Raw_Data!D403</f>
        <v/>
      </c>
      <c r="E403" s="8">
        <f>Raw_Data!F403</f>
        <v/>
      </c>
      <c r="F403" s="7">
        <f>Raw_Data!H403</f>
        <v/>
      </c>
      <c r="G403" s="7">
        <f>Raw_Data!I403</f>
        <v/>
      </c>
      <c r="H403" s="2">
        <f>Raw_Data!J403</f>
        <v/>
      </c>
      <c r="I403" s="2">
        <f>IF(G403="",0,G403-B403)</f>
        <v/>
      </c>
      <c r="J403" s="2">
        <f>IF(H403="Paid",MAX(0,G403-F403),MAX(0,DATE(2026,12,31)-F403))</f>
        <v/>
      </c>
      <c r="K403" s="8">
        <f>IF(H403="Paid",0,E403)</f>
        <v/>
      </c>
      <c r="L403" s="2">
        <f>IF(J403=0,"Current",IF(J403&lt;=30,"1-30 Days",IF(J403&lt;=60,"31-60 Days",IF(J403&lt;=90,"61-90 Days","90+ Days"))))</f>
        <v/>
      </c>
      <c r="M403" s="8">
        <f>IF(Raw_Data!K403="Yes",Raw_Data!F403*Raw_Data!L403,0)</f>
        <v/>
      </c>
      <c r="N403" s="2">
        <f>IF(H403&lt;&gt;"Paid","Outstanding",IF(J403=0,"On Time","Late"))</f>
        <v/>
      </c>
    </row>
    <row r="404">
      <c r="A404" s="2">
        <f>Raw_Data!A404</f>
        <v/>
      </c>
      <c r="B404" s="7">
        <f>Raw_Data!B404</f>
        <v/>
      </c>
      <c r="C404" s="2">
        <f>Raw_Data!C404</f>
        <v/>
      </c>
      <c r="D404" s="2">
        <f>Raw_Data!D404</f>
        <v/>
      </c>
      <c r="E404" s="8">
        <f>Raw_Data!F404</f>
        <v/>
      </c>
      <c r="F404" s="7">
        <f>Raw_Data!H404</f>
        <v/>
      </c>
      <c r="G404" s="7">
        <f>Raw_Data!I404</f>
        <v/>
      </c>
      <c r="H404" s="2">
        <f>Raw_Data!J404</f>
        <v/>
      </c>
      <c r="I404" s="2">
        <f>IF(G404="",0,G404-B404)</f>
        <v/>
      </c>
      <c r="J404" s="2">
        <f>IF(H404="Paid",MAX(0,G404-F404),MAX(0,DATE(2026,12,31)-F404))</f>
        <v/>
      </c>
      <c r="K404" s="8">
        <f>IF(H404="Paid",0,E404)</f>
        <v/>
      </c>
      <c r="L404" s="2">
        <f>IF(J404=0,"Current",IF(J404&lt;=30,"1-30 Days",IF(J404&lt;=60,"31-60 Days",IF(J404&lt;=90,"61-90 Days","90+ Days"))))</f>
        <v/>
      </c>
      <c r="M404" s="8">
        <f>IF(Raw_Data!K404="Yes",Raw_Data!F404*Raw_Data!L404,0)</f>
        <v/>
      </c>
      <c r="N404" s="2">
        <f>IF(H404&lt;&gt;"Paid","Outstanding",IF(J404=0,"On Time","Late"))</f>
        <v/>
      </c>
    </row>
    <row r="405">
      <c r="A405" s="2">
        <f>Raw_Data!A405</f>
        <v/>
      </c>
      <c r="B405" s="7">
        <f>Raw_Data!B405</f>
        <v/>
      </c>
      <c r="C405" s="2">
        <f>Raw_Data!C405</f>
        <v/>
      </c>
      <c r="D405" s="2">
        <f>Raw_Data!D405</f>
        <v/>
      </c>
      <c r="E405" s="8">
        <f>Raw_Data!F405</f>
        <v/>
      </c>
      <c r="F405" s="7">
        <f>Raw_Data!H405</f>
        <v/>
      </c>
      <c r="G405" s="7">
        <f>Raw_Data!I405</f>
        <v/>
      </c>
      <c r="H405" s="2">
        <f>Raw_Data!J405</f>
        <v/>
      </c>
      <c r="I405" s="2">
        <f>IF(G405="",0,G405-B405)</f>
        <v/>
      </c>
      <c r="J405" s="2">
        <f>IF(H405="Paid",MAX(0,G405-F405),MAX(0,DATE(2026,12,31)-F405))</f>
        <v/>
      </c>
      <c r="K405" s="8">
        <f>IF(H405="Paid",0,E405)</f>
        <v/>
      </c>
      <c r="L405" s="2">
        <f>IF(J405=0,"Current",IF(J405&lt;=30,"1-30 Days",IF(J405&lt;=60,"31-60 Days",IF(J405&lt;=90,"61-90 Days","90+ Days"))))</f>
        <v/>
      </c>
      <c r="M405" s="8">
        <f>IF(Raw_Data!K405="Yes",Raw_Data!F405*Raw_Data!L405,0)</f>
        <v/>
      </c>
      <c r="N405" s="2">
        <f>IF(H405&lt;&gt;"Paid","Outstanding",IF(J405=0,"On Time","Late"))</f>
        <v/>
      </c>
    </row>
    <row r="406">
      <c r="A406" s="2">
        <f>Raw_Data!A406</f>
        <v/>
      </c>
      <c r="B406" s="7">
        <f>Raw_Data!B406</f>
        <v/>
      </c>
      <c r="C406" s="2">
        <f>Raw_Data!C406</f>
        <v/>
      </c>
      <c r="D406" s="2">
        <f>Raw_Data!D406</f>
        <v/>
      </c>
      <c r="E406" s="8">
        <f>Raw_Data!F406</f>
        <v/>
      </c>
      <c r="F406" s="7">
        <f>Raw_Data!H406</f>
        <v/>
      </c>
      <c r="G406" s="7">
        <f>Raw_Data!I406</f>
        <v/>
      </c>
      <c r="H406" s="2">
        <f>Raw_Data!J406</f>
        <v/>
      </c>
      <c r="I406" s="2">
        <f>IF(G406="",0,G406-B406)</f>
        <v/>
      </c>
      <c r="J406" s="2">
        <f>IF(H406="Paid",MAX(0,G406-F406),MAX(0,DATE(2026,12,31)-F406))</f>
        <v/>
      </c>
      <c r="K406" s="8">
        <f>IF(H406="Paid",0,E406)</f>
        <v/>
      </c>
      <c r="L406" s="2">
        <f>IF(J406=0,"Current",IF(J406&lt;=30,"1-30 Days",IF(J406&lt;=60,"31-60 Days",IF(J406&lt;=90,"61-90 Days","90+ Days"))))</f>
        <v/>
      </c>
      <c r="M406" s="8">
        <f>IF(Raw_Data!K406="Yes",Raw_Data!F406*Raw_Data!L406,0)</f>
        <v/>
      </c>
      <c r="N406" s="2">
        <f>IF(H406&lt;&gt;"Paid","Outstanding",IF(J406=0,"On Time","Late"))</f>
        <v/>
      </c>
    </row>
    <row r="407">
      <c r="A407" s="2">
        <f>Raw_Data!A407</f>
        <v/>
      </c>
      <c r="B407" s="7">
        <f>Raw_Data!B407</f>
        <v/>
      </c>
      <c r="C407" s="2">
        <f>Raw_Data!C407</f>
        <v/>
      </c>
      <c r="D407" s="2">
        <f>Raw_Data!D407</f>
        <v/>
      </c>
      <c r="E407" s="8">
        <f>Raw_Data!F407</f>
        <v/>
      </c>
      <c r="F407" s="7">
        <f>Raw_Data!H407</f>
        <v/>
      </c>
      <c r="G407" s="7">
        <f>Raw_Data!I407</f>
        <v/>
      </c>
      <c r="H407" s="2">
        <f>Raw_Data!J407</f>
        <v/>
      </c>
      <c r="I407" s="2">
        <f>IF(G407="",0,G407-B407)</f>
        <v/>
      </c>
      <c r="J407" s="2">
        <f>IF(H407="Paid",MAX(0,G407-F407),MAX(0,DATE(2026,12,31)-F407))</f>
        <v/>
      </c>
      <c r="K407" s="8">
        <f>IF(H407="Paid",0,E407)</f>
        <v/>
      </c>
      <c r="L407" s="2">
        <f>IF(J407=0,"Current",IF(J407&lt;=30,"1-30 Days",IF(J407&lt;=60,"31-60 Days",IF(J407&lt;=90,"61-90 Days","90+ Days"))))</f>
        <v/>
      </c>
      <c r="M407" s="8">
        <f>IF(Raw_Data!K407="Yes",Raw_Data!F407*Raw_Data!L407,0)</f>
        <v/>
      </c>
      <c r="N407" s="2">
        <f>IF(H407&lt;&gt;"Paid","Outstanding",IF(J407=0,"On Time","Late"))</f>
        <v/>
      </c>
    </row>
    <row r="408">
      <c r="A408" s="2">
        <f>Raw_Data!A408</f>
        <v/>
      </c>
      <c r="B408" s="7">
        <f>Raw_Data!B408</f>
        <v/>
      </c>
      <c r="C408" s="2">
        <f>Raw_Data!C408</f>
        <v/>
      </c>
      <c r="D408" s="2">
        <f>Raw_Data!D408</f>
        <v/>
      </c>
      <c r="E408" s="8">
        <f>Raw_Data!F408</f>
        <v/>
      </c>
      <c r="F408" s="7">
        <f>Raw_Data!H408</f>
        <v/>
      </c>
      <c r="G408" s="7">
        <f>Raw_Data!I408</f>
        <v/>
      </c>
      <c r="H408" s="2">
        <f>Raw_Data!J408</f>
        <v/>
      </c>
      <c r="I408" s="2">
        <f>IF(G408="",0,G408-B408)</f>
        <v/>
      </c>
      <c r="J408" s="2">
        <f>IF(H408="Paid",MAX(0,G408-F408),MAX(0,DATE(2026,12,31)-F408))</f>
        <v/>
      </c>
      <c r="K408" s="8">
        <f>IF(H408="Paid",0,E408)</f>
        <v/>
      </c>
      <c r="L408" s="2">
        <f>IF(J408=0,"Current",IF(J408&lt;=30,"1-30 Days",IF(J408&lt;=60,"31-60 Days",IF(J408&lt;=90,"61-90 Days","90+ Days"))))</f>
        <v/>
      </c>
      <c r="M408" s="8">
        <f>IF(Raw_Data!K408="Yes",Raw_Data!F408*Raw_Data!L408,0)</f>
        <v/>
      </c>
      <c r="N408" s="2">
        <f>IF(H408&lt;&gt;"Paid","Outstanding",IF(J408=0,"On Time","Late"))</f>
        <v/>
      </c>
    </row>
    <row r="409">
      <c r="A409" s="2">
        <f>Raw_Data!A409</f>
        <v/>
      </c>
      <c r="B409" s="7">
        <f>Raw_Data!B409</f>
        <v/>
      </c>
      <c r="C409" s="2">
        <f>Raw_Data!C409</f>
        <v/>
      </c>
      <c r="D409" s="2">
        <f>Raw_Data!D409</f>
        <v/>
      </c>
      <c r="E409" s="8">
        <f>Raw_Data!F409</f>
        <v/>
      </c>
      <c r="F409" s="7">
        <f>Raw_Data!H409</f>
        <v/>
      </c>
      <c r="G409" s="7">
        <f>Raw_Data!I409</f>
        <v/>
      </c>
      <c r="H409" s="2">
        <f>Raw_Data!J409</f>
        <v/>
      </c>
      <c r="I409" s="2">
        <f>IF(G409="",0,G409-B409)</f>
        <v/>
      </c>
      <c r="J409" s="2">
        <f>IF(H409="Paid",MAX(0,G409-F409),MAX(0,DATE(2026,12,31)-F409))</f>
        <v/>
      </c>
      <c r="K409" s="8">
        <f>IF(H409="Paid",0,E409)</f>
        <v/>
      </c>
      <c r="L409" s="2">
        <f>IF(J409=0,"Current",IF(J409&lt;=30,"1-30 Days",IF(J409&lt;=60,"31-60 Days",IF(J409&lt;=90,"61-90 Days","90+ Days"))))</f>
        <v/>
      </c>
      <c r="M409" s="8">
        <f>IF(Raw_Data!K409="Yes",Raw_Data!F409*Raw_Data!L409,0)</f>
        <v/>
      </c>
      <c r="N409" s="2">
        <f>IF(H409&lt;&gt;"Paid","Outstanding",IF(J409=0,"On Time","Late"))</f>
        <v/>
      </c>
    </row>
    <row r="410">
      <c r="A410" s="2">
        <f>Raw_Data!A410</f>
        <v/>
      </c>
      <c r="B410" s="7">
        <f>Raw_Data!B410</f>
        <v/>
      </c>
      <c r="C410" s="2">
        <f>Raw_Data!C410</f>
        <v/>
      </c>
      <c r="D410" s="2">
        <f>Raw_Data!D410</f>
        <v/>
      </c>
      <c r="E410" s="8">
        <f>Raw_Data!F410</f>
        <v/>
      </c>
      <c r="F410" s="7">
        <f>Raw_Data!H410</f>
        <v/>
      </c>
      <c r="G410" s="7">
        <f>Raw_Data!I410</f>
        <v/>
      </c>
      <c r="H410" s="2">
        <f>Raw_Data!J410</f>
        <v/>
      </c>
      <c r="I410" s="2">
        <f>IF(G410="",0,G410-B410)</f>
        <v/>
      </c>
      <c r="J410" s="2">
        <f>IF(H410="Paid",MAX(0,G410-F410),MAX(0,DATE(2026,12,31)-F410))</f>
        <v/>
      </c>
      <c r="K410" s="8">
        <f>IF(H410="Paid",0,E410)</f>
        <v/>
      </c>
      <c r="L410" s="2">
        <f>IF(J410=0,"Current",IF(J410&lt;=30,"1-30 Days",IF(J410&lt;=60,"31-60 Days",IF(J410&lt;=90,"61-90 Days","90+ Days"))))</f>
        <v/>
      </c>
      <c r="M410" s="8">
        <f>IF(Raw_Data!K410="Yes",Raw_Data!F410*Raw_Data!L410,0)</f>
        <v/>
      </c>
      <c r="N410" s="2">
        <f>IF(H410&lt;&gt;"Paid","Outstanding",IF(J410=0,"On Time","Late"))</f>
        <v/>
      </c>
    </row>
    <row r="411">
      <c r="A411" s="2">
        <f>Raw_Data!A411</f>
        <v/>
      </c>
      <c r="B411" s="7">
        <f>Raw_Data!B411</f>
        <v/>
      </c>
      <c r="C411" s="2">
        <f>Raw_Data!C411</f>
        <v/>
      </c>
      <c r="D411" s="2">
        <f>Raw_Data!D411</f>
        <v/>
      </c>
      <c r="E411" s="8">
        <f>Raw_Data!F411</f>
        <v/>
      </c>
      <c r="F411" s="7">
        <f>Raw_Data!H411</f>
        <v/>
      </c>
      <c r="G411" s="7">
        <f>Raw_Data!I411</f>
        <v/>
      </c>
      <c r="H411" s="2">
        <f>Raw_Data!J411</f>
        <v/>
      </c>
      <c r="I411" s="2">
        <f>IF(G411="",0,G411-B411)</f>
        <v/>
      </c>
      <c r="J411" s="2">
        <f>IF(H411="Paid",MAX(0,G411-F411),MAX(0,DATE(2026,12,31)-F411))</f>
        <v/>
      </c>
      <c r="K411" s="8">
        <f>IF(H411="Paid",0,E411)</f>
        <v/>
      </c>
      <c r="L411" s="2">
        <f>IF(J411=0,"Current",IF(J411&lt;=30,"1-30 Days",IF(J411&lt;=60,"31-60 Days",IF(J411&lt;=90,"61-90 Days","90+ Days"))))</f>
        <v/>
      </c>
      <c r="M411" s="8">
        <f>IF(Raw_Data!K411="Yes",Raw_Data!F411*Raw_Data!L411,0)</f>
        <v/>
      </c>
      <c r="N411" s="2">
        <f>IF(H411&lt;&gt;"Paid","Outstanding",IF(J411=0,"On Time","Late"))</f>
        <v/>
      </c>
    </row>
    <row r="412">
      <c r="A412" s="2">
        <f>Raw_Data!A412</f>
        <v/>
      </c>
      <c r="B412" s="7">
        <f>Raw_Data!B412</f>
        <v/>
      </c>
      <c r="C412" s="2">
        <f>Raw_Data!C412</f>
        <v/>
      </c>
      <c r="D412" s="2">
        <f>Raw_Data!D412</f>
        <v/>
      </c>
      <c r="E412" s="8">
        <f>Raw_Data!F412</f>
        <v/>
      </c>
      <c r="F412" s="7">
        <f>Raw_Data!H412</f>
        <v/>
      </c>
      <c r="G412" s="7">
        <f>Raw_Data!I412</f>
        <v/>
      </c>
      <c r="H412" s="2">
        <f>Raw_Data!J412</f>
        <v/>
      </c>
      <c r="I412" s="2">
        <f>IF(G412="",0,G412-B412)</f>
        <v/>
      </c>
      <c r="J412" s="2">
        <f>IF(H412="Paid",MAX(0,G412-F412),MAX(0,DATE(2026,12,31)-F412))</f>
        <v/>
      </c>
      <c r="K412" s="8">
        <f>IF(H412="Paid",0,E412)</f>
        <v/>
      </c>
      <c r="L412" s="2">
        <f>IF(J412=0,"Current",IF(J412&lt;=30,"1-30 Days",IF(J412&lt;=60,"31-60 Days",IF(J412&lt;=90,"61-90 Days","90+ Days"))))</f>
        <v/>
      </c>
      <c r="M412" s="8">
        <f>IF(Raw_Data!K412="Yes",Raw_Data!F412*Raw_Data!L412,0)</f>
        <v/>
      </c>
      <c r="N412" s="2">
        <f>IF(H412&lt;&gt;"Paid","Outstanding",IF(J412=0,"On Time","Late"))</f>
        <v/>
      </c>
    </row>
    <row r="413">
      <c r="A413" s="2">
        <f>Raw_Data!A413</f>
        <v/>
      </c>
      <c r="B413" s="7">
        <f>Raw_Data!B413</f>
        <v/>
      </c>
      <c r="C413" s="2">
        <f>Raw_Data!C413</f>
        <v/>
      </c>
      <c r="D413" s="2">
        <f>Raw_Data!D413</f>
        <v/>
      </c>
      <c r="E413" s="8">
        <f>Raw_Data!F413</f>
        <v/>
      </c>
      <c r="F413" s="7">
        <f>Raw_Data!H413</f>
        <v/>
      </c>
      <c r="G413" s="7">
        <f>Raw_Data!I413</f>
        <v/>
      </c>
      <c r="H413" s="2">
        <f>Raw_Data!J413</f>
        <v/>
      </c>
      <c r="I413" s="2">
        <f>IF(G413="",0,G413-B413)</f>
        <v/>
      </c>
      <c r="J413" s="2">
        <f>IF(H413="Paid",MAX(0,G413-F413),MAX(0,DATE(2026,12,31)-F413))</f>
        <v/>
      </c>
      <c r="K413" s="8">
        <f>IF(H413="Paid",0,E413)</f>
        <v/>
      </c>
      <c r="L413" s="2">
        <f>IF(J413=0,"Current",IF(J413&lt;=30,"1-30 Days",IF(J413&lt;=60,"31-60 Days",IF(J413&lt;=90,"61-90 Days","90+ Days"))))</f>
        <v/>
      </c>
      <c r="M413" s="8">
        <f>IF(Raw_Data!K413="Yes",Raw_Data!F413*Raw_Data!L413,0)</f>
        <v/>
      </c>
      <c r="N413" s="2">
        <f>IF(H413&lt;&gt;"Paid","Outstanding",IF(J413=0,"On Time","Late"))</f>
        <v/>
      </c>
    </row>
    <row r="414">
      <c r="A414" s="2">
        <f>Raw_Data!A414</f>
        <v/>
      </c>
      <c r="B414" s="7">
        <f>Raw_Data!B414</f>
        <v/>
      </c>
      <c r="C414" s="2">
        <f>Raw_Data!C414</f>
        <v/>
      </c>
      <c r="D414" s="2">
        <f>Raw_Data!D414</f>
        <v/>
      </c>
      <c r="E414" s="8">
        <f>Raw_Data!F414</f>
        <v/>
      </c>
      <c r="F414" s="7">
        <f>Raw_Data!H414</f>
        <v/>
      </c>
      <c r="G414" s="7">
        <f>Raw_Data!I414</f>
        <v/>
      </c>
      <c r="H414" s="2">
        <f>Raw_Data!J414</f>
        <v/>
      </c>
      <c r="I414" s="2">
        <f>IF(G414="",0,G414-B414)</f>
        <v/>
      </c>
      <c r="J414" s="2">
        <f>IF(H414="Paid",MAX(0,G414-F414),MAX(0,DATE(2026,12,31)-F414))</f>
        <v/>
      </c>
      <c r="K414" s="8">
        <f>IF(H414="Paid",0,E414)</f>
        <v/>
      </c>
      <c r="L414" s="2">
        <f>IF(J414=0,"Current",IF(J414&lt;=30,"1-30 Days",IF(J414&lt;=60,"31-60 Days",IF(J414&lt;=90,"61-90 Days","90+ Days"))))</f>
        <v/>
      </c>
      <c r="M414" s="8">
        <f>IF(Raw_Data!K414="Yes",Raw_Data!F414*Raw_Data!L414,0)</f>
        <v/>
      </c>
      <c r="N414" s="2">
        <f>IF(H414&lt;&gt;"Paid","Outstanding",IF(J414=0,"On Time","Late"))</f>
        <v/>
      </c>
    </row>
    <row r="415">
      <c r="A415" s="2">
        <f>Raw_Data!A415</f>
        <v/>
      </c>
      <c r="B415" s="7">
        <f>Raw_Data!B415</f>
        <v/>
      </c>
      <c r="C415" s="2">
        <f>Raw_Data!C415</f>
        <v/>
      </c>
      <c r="D415" s="2">
        <f>Raw_Data!D415</f>
        <v/>
      </c>
      <c r="E415" s="8">
        <f>Raw_Data!F415</f>
        <v/>
      </c>
      <c r="F415" s="7">
        <f>Raw_Data!H415</f>
        <v/>
      </c>
      <c r="G415" s="7">
        <f>Raw_Data!I415</f>
        <v/>
      </c>
      <c r="H415" s="2">
        <f>Raw_Data!J415</f>
        <v/>
      </c>
      <c r="I415" s="2">
        <f>IF(G415="",0,G415-B415)</f>
        <v/>
      </c>
      <c r="J415" s="2">
        <f>IF(H415="Paid",MAX(0,G415-F415),MAX(0,DATE(2026,12,31)-F415))</f>
        <v/>
      </c>
      <c r="K415" s="8">
        <f>IF(H415="Paid",0,E415)</f>
        <v/>
      </c>
      <c r="L415" s="2">
        <f>IF(J415=0,"Current",IF(J415&lt;=30,"1-30 Days",IF(J415&lt;=60,"31-60 Days",IF(J415&lt;=90,"61-90 Days","90+ Days"))))</f>
        <v/>
      </c>
      <c r="M415" s="8">
        <f>IF(Raw_Data!K415="Yes",Raw_Data!F415*Raw_Data!L415,0)</f>
        <v/>
      </c>
      <c r="N415" s="2">
        <f>IF(H415&lt;&gt;"Paid","Outstanding",IF(J415=0,"On Time","Late"))</f>
        <v/>
      </c>
    </row>
    <row r="416">
      <c r="A416" s="2">
        <f>Raw_Data!A416</f>
        <v/>
      </c>
      <c r="B416" s="7">
        <f>Raw_Data!B416</f>
        <v/>
      </c>
      <c r="C416" s="2">
        <f>Raw_Data!C416</f>
        <v/>
      </c>
      <c r="D416" s="2">
        <f>Raw_Data!D416</f>
        <v/>
      </c>
      <c r="E416" s="8">
        <f>Raw_Data!F416</f>
        <v/>
      </c>
      <c r="F416" s="7">
        <f>Raw_Data!H416</f>
        <v/>
      </c>
      <c r="G416" s="7">
        <f>Raw_Data!I416</f>
        <v/>
      </c>
      <c r="H416" s="2">
        <f>Raw_Data!J416</f>
        <v/>
      </c>
      <c r="I416" s="2">
        <f>IF(G416="",0,G416-B416)</f>
        <v/>
      </c>
      <c r="J416" s="2">
        <f>IF(H416="Paid",MAX(0,G416-F416),MAX(0,DATE(2026,12,31)-F416))</f>
        <v/>
      </c>
      <c r="K416" s="8">
        <f>IF(H416="Paid",0,E416)</f>
        <v/>
      </c>
      <c r="L416" s="2">
        <f>IF(J416=0,"Current",IF(J416&lt;=30,"1-30 Days",IF(J416&lt;=60,"31-60 Days",IF(J416&lt;=90,"61-90 Days","90+ Days"))))</f>
        <v/>
      </c>
      <c r="M416" s="8">
        <f>IF(Raw_Data!K416="Yes",Raw_Data!F416*Raw_Data!L416,0)</f>
        <v/>
      </c>
      <c r="N416" s="2">
        <f>IF(H416&lt;&gt;"Paid","Outstanding",IF(J416=0,"On Time","Late"))</f>
        <v/>
      </c>
    </row>
    <row r="417">
      <c r="A417" s="2">
        <f>Raw_Data!A417</f>
        <v/>
      </c>
      <c r="B417" s="7">
        <f>Raw_Data!B417</f>
        <v/>
      </c>
      <c r="C417" s="2">
        <f>Raw_Data!C417</f>
        <v/>
      </c>
      <c r="D417" s="2">
        <f>Raw_Data!D417</f>
        <v/>
      </c>
      <c r="E417" s="8">
        <f>Raw_Data!F417</f>
        <v/>
      </c>
      <c r="F417" s="7">
        <f>Raw_Data!H417</f>
        <v/>
      </c>
      <c r="G417" s="7">
        <f>Raw_Data!I417</f>
        <v/>
      </c>
      <c r="H417" s="2">
        <f>Raw_Data!J417</f>
        <v/>
      </c>
      <c r="I417" s="2">
        <f>IF(G417="",0,G417-B417)</f>
        <v/>
      </c>
      <c r="J417" s="2">
        <f>IF(H417="Paid",MAX(0,G417-F417),MAX(0,DATE(2026,12,31)-F417))</f>
        <v/>
      </c>
      <c r="K417" s="8">
        <f>IF(H417="Paid",0,E417)</f>
        <v/>
      </c>
      <c r="L417" s="2">
        <f>IF(J417=0,"Current",IF(J417&lt;=30,"1-30 Days",IF(J417&lt;=60,"31-60 Days",IF(J417&lt;=90,"61-90 Days","90+ Days"))))</f>
        <v/>
      </c>
      <c r="M417" s="8">
        <f>IF(Raw_Data!K417="Yes",Raw_Data!F417*Raw_Data!L417,0)</f>
        <v/>
      </c>
      <c r="N417" s="2">
        <f>IF(H417&lt;&gt;"Paid","Outstanding",IF(J417=0,"On Time","Late"))</f>
        <v/>
      </c>
    </row>
    <row r="418">
      <c r="A418" s="2">
        <f>Raw_Data!A418</f>
        <v/>
      </c>
      <c r="B418" s="7">
        <f>Raw_Data!B418</f>
        <v/>
      </c>
      <c r="C418" s="2">
        <f>Raw_Data!C418</f>
        <v/>
      </c>
      <c r="D418" s="2">
        <f>Raw_Data!D418</f>
        <v/>
      </c>
      <c r="E418" s="8">
        <f>Raw_Data!F418</f>
        <v/>
      </c>
      <c r="F418" s="7">
        <f>Raw_Data!H418</f>
        <v/>
      </c>
      <c r="G418" s="7">
        <f>Raw_Data!I418</f>
        <v/>
      </c>
      <c r="H418" s="2">
        <f>Raw_Data!J418</f>
        <v/>
      </c>
      <c r="I418" s="2">
        <f>IF(G418="",0,G418-B418)</f>
        <v/>
      </c>
      <c r="J418" s="2">
        <f>IF(H418="Paid",MAX(0,G418-F418),MAX(0,DATE(2026,12,31)-F418))</f>
        <v/>
      </c>
      <c r="K418" s="8">
        <f>IF(H418="Paid",0,E418)</f>
        <v/>
      </c>
      <c r="L418" s="2">
        <f>IF(J418=0,"Current",IF(J418&lt;=30,"1-30 Days",IF(J418&lt;=60,"31-60 Days",IF(J418&lt;=90,"61-90 Days","90+ Days"))))</f>
        <v/>
      </c>
      <c r="M418" s="8">
        <f>IF(Raw_Data!K418="Yes",Raw_Data!F418*Raw_Data!L418,0)</f>
        <v/>
      </c>
      <c r="N418" s="2">
        <f>IF(H418&lt;&gt;"Paid","Outstanding",IF(J418=0,"On Time","Late"))</f>
        <v/>
      </c>
    </row>
    <row r="419">
      <c r="A419" s="2">
        <f>Raw_Data!A419</f>
        <v/>
      </c>
      <c r="B419" s="7">
        <f>Raw_Data!B419</f>
        <v/>
      </c>
      <c r="C419" s="2">
        <f>Raw_Data!C419</f>
        <v/>
      </c>
      <c r="D419" s="2">
        <f>Raw_Data!D419</f>
        <v/>
      </c>
      <c r="E419" s="8">
        <f>Raw_Data!F419</f>
        <v/>
      </c>
      <c r="F419" s="7">
        <f>Raw_Data!H419</f>
        <v/>
      </c>
      <c r="G419" s="7">
        <f>Raw_Data!I419</f>
        <v/>
      </c>
      <c r="H419" s="2">
        <f>Raw_Data!J419</f>
        <v/>
      </c>
      <c r="I419" s="2">
        <f>IF(G419="",0,G419-B419)</f>
        <v/>
      </c>
      <c r="J419" s="2">
        <f>IF(H419="Paid",MAX(0,G419-F419),MAX(0,DATE(2026,12,31)-F419))</f>
        <v/>
      </c>
      <c r="K419" s="8">
        <f>IF(H419="Paid",0,E419)</f>
        <v/>
      </c>
      <c r="L419" s="2">
        <f>IF(J419=0,"Current",IF(J419&lt;=30,"1-30 Days",IF(J419&lt;=60,"31-60 Days",IF(J419&lt;=90,"61-90 Days","90+ Days"))))</f>
        <v/>
      </c>
      <c r="M419" s="8">
        <f>IF(Raw_Data!K419="Yes",Raw_Data!F419*Raw_Data!L419,0)</f>
        <v/>
      </c>
      <c r="N419" s="2">
        <f>IF(H419&lt;&gt;"Paid","Outstanding",IF(J419=0,"On Time","Late"))</f>
        <v/>
      </c>
    </row>
    <row r="420">
      <c r="A420" s="2">
        <f>Raw_Data!A420</f>
        <v/>
      </c>
      <c r="B420" s="7">
        <f>Raw_Data!B420</f>
        <v/>
      </c>
      <c r="C420" s="2">
        <f>Raw_Data!C420</f>
        <v/>
      </c>
      <c r="D420" s="2">
        <f>Raw_Data!D420</f>
        <v/>
      </c>
      <c r="E420" s="8">
        <f>Raw_Data!F420</f>
        <v/>
      </c>
      <c r="F420" s="7">
        <f>Raw_Data!H420</f>
        <v/>
      </c>
      <c r="G420" s="7">
        <f>Raw_Data!I420</f>
        <v/>
      </c>
      <c r="H420" s="2">
        <f>Raw_Data!J420</f>
        <v/>
      </c>
      <c r="I420" s="2">
        <f>IF(G420="",0,G420-B420)</f>
        <v/>
      </c>
      <c r="J420" s="2">
        <f>IF(H420="Paid",MAX(0,G420-F420),MAX(0,DATE(2026,12,31)-F420))</f>
        <v/>
      </c>
      <c r="K420" s="8">
        <f>IF(H420="Paid",0,E420)</f>
        <v/>
      </c>
      <c r="L420" s="2">
        <f>IF(J420=0,"Current",IF(J420&lt;=30,"1-30 Days",IF(J420&lt;=60,"31-60 Days",IF(J420&lt;=90,"61-90 Days","90+ Days"))))</f>
        <v/>
      </c>
      <c r="M420" s="8">
        <f>IF(Raw_Data!K420="Yes",Raw_Data!F420*Raw_Data!L420,0)</f>
        <v/>
      </c>
      <c r="N420" s="2">
        <f>IF(H420&lt;&gt;"Paid","Outstanding",IF(J420=0,"On Time","Late"))</f>
        <v/>
      </c>
    </row>
    <row r="421">
      <c r="A421" s="2">
        <f>Raw_Data!A421</f>
        <v/>
      </c>
      <c r="B421" s="7">
        <f>Raw_Data!B421</f>
        <v/>
      </c>
      <c r="C421" s="2">
        <f>Raw_Data!C421</f>
        <v/>
      </c>
      <c r="D421" s="2">
        <f>Raw_Data!D421</f>
        <v/>
      </c>
      <c r="E421" s="8">
        <f>Raw_Data!F421</f>
        <v/>
      </c>
      <c r="F421" s="7">
        <f>Raw_Data!H421</f>
        <v/>
      </c>
      <c r="G421" s="7">
        <f>Raw_Data!I421</f>
        <v/>
      </c>
      <c r="H421" s="2">
        <f>Raw_Data!J421</f>
        <v/>
      </c>
      <c r="I421" s="2">
        <f>IF(G421="",0,G421-B421)</f>
        <v/>
      </c>
      <c r="J421" s="2">
        <f>IF(H421="Paid",MAX(0,G421-F421),MAX(0,DATE(2026,12,31)-F421))</f>
        <v/>
      </c>
      <c r="K421" s="8">
        <f>IF(H421="Paid",0,E421)</f>
        <v/>
      </c>
      <c r="L421" s="2">
        <f>IF(J421=0,"Current",IF(J421&lt;=30,"1-30 Days",IF(J421&lt;=60,"31-60 Days",IF(J421&lt;=90,"61-90 Days","90+ Days"))))</f>
        <v/>
      </c>
      <c r="M421" s="8">
        <f>IF(Raw_Data!K421="Yes",Raw_Data!F421*Raw_Data!L421,0)</f>
        <v/>
      </c>
      <c r="N421" s="2">
        <f>IF(H421&lt;&gt;"Paid","Outstanding",IF(J421=0,"On Time","Late"))</f>
        <v/>
      </c>
    </row>
    <row r="422">
      <c r="A422" s="2">
        <f>Raw_Data!A422</f>
        <v/>
      </c>
      <c r="B422" s="7">
        <f>Raw_Data!B422</f>
        <v/>
      </c>
      <c r="C422" s="2">
        <f>Raw_Data!C422</f>
        <v/>
      </c>
      <c r="D422" s="2">
        <f>Raw_Data!D422</f>
        <v/>
      </c>
      <c r="E422" s="8">
        <f>Raw_Data!F422</f>
        <v/>
      </c>
      <c r="F422" s="7">
        <f>Raw_Data!H422</f>
        <v/>
      </c>
      <c r="G422" s="7">
        <f>Raw_Data!I422</f>
        <v/>
      </c>
      <c r="H422" s="2">
        <f>Raw_Data!J422</f>
        <v/>
      </c>
      <c r="I422" s="2">
        <f>IF(G422="",0,G422-B422)</f>
        <v/>
      </c>
      <c r="J422" s="2">
        <f>IF(H422="Paid",MAX(0,G422-F422),MAX(0,DATE(2026,12,31)-F422))</f>
        <v/>
      </c>
      <c r="K422" s="8">
        <f>IF(H422="Paid",0,E422)</f>
        <v/>
      </c>
      <c r="L422" s="2">
        <f>IF(J422=0,"Current",IF(J422&lt;=30,"1-30 Days",IF(J422&lt;=60,"31-60 Days",IF(J422&lt;=90,"61-90 Days","90+ Days"))))</f>
        <v/>
      </c>
      <c r="M422" s="8">
        <f>IF(Raw_Data!K422="Yes",Raw_Data!F422*Raw_Data!L422,0)</f>
        <v/>
      </c>
      <c r="N422" s="2">
        <f>IF(H422&lt;&gt;"Paid","Outstanding",IF(J422=0,"On Time","Late"))</f>
        <v/>
      </c>
    </row>
    <row r="423">
      <c r="A423" s="2">
        <f>Raw_Data!A423</f>
        <v/>
      </c>
      <c r="B423" s="7">
        <f>Raw_Data!B423</f>
        <v/>
      </c>
      <c r="C423" s="2">
        <f>Raw_Data!C423</f>
        <v/>
      </c>
      <c r="D423" s="2">
        <f>Raw_Data!D423</f>
        <v/>
      </c>
      <c r="E423" s="8">
        <f>Raw_Data!F423</f>
        <v/>
      </c>
      <c r="F423" s="7">
        <f>Raw_Data!H423</f>
        <v/>
      </c>
      <c r="G423" s="7">
        <f>Raw_Data!I423</f>
        <v/>
      </c>
      <c r="H423" s="2">
        <f>Raw_Data!J423</f>
        <v/>
      </c>
      <c r="I423" s="2">
        <f>IF(G423="",0,G423-B423)</f>
        <v/>
      </c>
      <c r="J423" s="2">
        <f>IF(H423="Paid",MAX(0,G423-F423),MAX(0,DATE(2026,12,31)-F423))</f>
        <v/>
      </c>
      <c r="K423" s="8">
        <f>IF(H423="Paid",0,E423)</f>
        <v/>
      </c>
      <c r="L423" s="2">
        <f>IF(J423=0,"Current",IF(J423&lt;=30,"1-30 Days",IF(J423&lt;=60,"31-60 Days",IF(J423&lt;=90,"61-90 Days","90+ Days"))))</f>
        <v/>
      </c>
      <c r="M423" s="8">
        <f>IF(Raw_Data!K423="Yes",Raw_Data!F423*Raw_Data!L423,0)</f>
        <v/>
      </c>
      <c r="N423" s="2">
        <f>IF(H423&lt;&gt;"Paid","Outstanding",IF(J423=0,"On Time","Late"))</f>
        <v/>
      </c>
    </row>
    <row r="424">
      <c r="A424" s="2">
        <f>Raw_Data!A424</f>
        <v/>
      </c>
      <c r="B424" s="7">
        <f>Raw_Data!B424</f>
        <v/>
      </c>
      <c r="C424" s="2">
        <f>Raw_Data!C424</f>
        <v/>
      </c>
      <c r="D424" s="2">
        <f>Raw_Data!D424</f>
        <v/>
      </c>
      <c r="E424" s="8">
        <f>Raw_Data!F424</f>
        <v/>
      </c>
      <c r="F424" s="7">
        <f>Raw_Data!H424</f>
        <v/>
      </c>
      <c r="G424" s="7">
        <f>Raw_Data!I424</f>
        <v/>
      </c>
      <c r="H424" s="2">
        <f>Raw_Data!J424</f>
        <v/>
      </c>
      <c r="I424" s="2">
        <f>IF(G424="",0,G424-B424)</f>
        <v/>
      </c>
      <c r="J424" s="2">
        <f>IF(H424="Paid",MAX(0,G424-F424),MAX(0,DATE(2026,12,31)-F424))</f>
        <v/>
      </c>
      <c r="K424" s="8">
        <f>IF(H424="Paid",0,E424)</f>
        <v/>
      </c>
      <c r="L424" s="2">
        <f>IF(J424=0,"Current",IF(J424&lt;=30,"1-30 Days",IF(J424&lt;=60,"31-60 Days",IF(J424&lt;=90,"61-90 Days","90+ Days"))))</f>
        <v/>
      </c>
      <c r="M424" s="8">
        <f>IF(Raw_Data!K424="Yes",Raw_Data!F424*Raw_Data!L424,0)</f>
        <v/>
      </c>
      <c r="N424" s="2">
        <f>IF(H424&lt;&gt;"Paid","Outstanding",IF(J424=0,"On Time","Late"))</f>
        <v/>
      </c>
    </row>
    <row r="425">
      <c r="A425" s="2">
        <f>Raw_Data!A425</f>
        <v/>
      </c>
      <c r="B425" s="7">
        <f>Raw_Data!B425</f>
        <v/>
      </c>
      <c r="C425" s="2">
        <f>Raw_Data!C425</f>
        <v/>
      </c>
      <c r="D425" s="2">
        <f>Raw_Data!D425</f>
        <v/>
      </c>
      <c r="E425" s="8">
        <f>Raw_Data!F425</f>
        <v/>
      </c>
      <c r="F425" s="7">
        <f>Raw_Data!H425</f>
        <v/>
      </c>
      <c r="G425" s="7">
        <f>Raw_Data!I425</f>
        <v/>
      </c>
      <c r="H425" s="2">
        <f>Raw_Data!J425</f>
        <v/>
      </c>
      <c r="I425" s="2">
        <f>IF(G425="",0,G425-B425)</f>
        <v/>
      </c>
      <c r="J425" s="2">
        <f>IF(H425="Paid",MAX(0,G425-F425),MAX(0,DATE(2026,12,31)-F425))</f>
        <v/>
      </c>
      <c r="K425" s="8">
        <f>IF(H425="Paid",0,E425)</f>
        <v/>
      </c>
      <c r="L425" s="2">
        <f>IF(J425=0,"Current",IF(J425&lt;=30,"1-30 Days",IF(J425&lt;=60,"31-60 Days",IF(J425&lt;=90,"61-90 Days","90+ Days"))))</f>
        <v/>
      </c>
      <c r="M425" s="8">
        <f>IF(Raw_Data!K425="Yes",Raw_Data!F425*Raw_Data!L425,0)</f>
        <v/>
      </c>
      <c r="N425" s="2">
        <f>IF(H425&lt;&gt;"Paid","Outstanding",IF(J425=0,"On Time","Late"))</f>
        <v/>
      </c>
    </row>
    <row r="426">
      <c r="A426" s="2">
        <f>Raw_Data!A426</f>
        <v/>
      </c>
      <c r="B426" s="7">
        <f>Raw_Data!B426</f>
        <v/>
      </c>
      <c r="C426" s="2">
        <f>Raw_Data!C426</f>
        <v/>
      </c>
      <c r="D426" s="2">
        <f>Raw_Data!D426</f>
        <v/>
      </c>
      <c r="E426" s="8">
        <f>Raw_Data!F426</f>
        <v/>
      </c>
      <c r="F426" s="7">
        <f>Raw_Data!H426</f>
        <v/>
      </c>
      <c r="G426" s="7">
        <f>Raw_Data!I426</f>
        <v/>
      </c>
      <c r="H426" s="2">
        <f>Raw_Data!J426</f>
        <v/>
      </c>
      <c r="I426" s="2">
        <f>IF(G426="",0,G426-B426)</f>
        <v/>
      </c>
      <c r="J426" s="2">
        <f>IF(H426="Paid",MAX(0,G426-F426),MAX(0,DATE(2026,12,31)-F426))</f>
        <v/>
      </c>
      <c r="K426" s="8">
        <f>IF(H426="Paid",0,E426)</f>
        <v/>
      </c>
      <c r="L426" s="2">
        <f>IF(J426=0,"Current",IF(J426&lt;=30,"1-30 Days",IF(J426&lt;=60,"31-60 Days",IF(J426&lt;=90,"61-90 Days","90+ Days"))))</f>
        <v/>
      </c>
      <c r="M426" s="8">
        <f>IF(Raw_Data!K426="Yes",Raw_Data!F426*Raw_Data!L426,0)</f>
        <v/>
      </c>
      <c r="N426" s="2">
        <f>IF(H426&lt;&gt;"Paid","Outstanding",IF(J426=0,"On Time","Late"))</f>
        <v/>
      </c>
    </row>
    <row r="427">
      <c r="A427" s="2">
        <f>Raw_Data!A427</f>
        <v/>
      </c>
      <c r="B427" s="7">
        <f>Raw_Data!B427</f>
        <v/>
      </c>
      <c r="C427" s="2">
        <f>Raw_Data!C427</f>
        <v/>
      </c>
      <c r="D427" s="2">
        <f>Raw_Data!D427</f>
        <v/>
      </c>
      <c r="E427" s="8">
        <f>Raw_Data!F427</f>
        <v/>
      </c>
      <c r="F427" s="7">
        <f>Raw_Data!H427</f>
        <v/>
      </c>
      <c r="G427" s="7">
        <f>Raw_Data!I427</f>
        <v/>
      </c>
      <c r="H427" s="2">
        <f>Raw_Data!J427</f>
        <v/>
      </c>
      <c r="I427" s="2">
        <f>IF(G427="",0,G427-B427)</f>
        <v/>
      </c>
      <c r="J427" s="2">
        <f>IF(H427="Paid",MAX(0,G427-F427),MAX(0,DATE(2026,12,31)-F427))</f>
        <v/>
      </c>
      <c r="K427" s="8">
        <f>IF(H427="Paid",0,E427)</f>
        <v/>
      </c>
      <c r="L427" s="2">
        <f>IF(J427=0,"Current",IF(J427&lt;=30,"1-30 Days",IF(J427&lt;=60,"31-60 Days",IF(J427&lt;=90,"61-90 Days","90+ Days"))))</f>
        <v/>
      </c>
      <c r="M427" s="8">
        <f>IF(Raw_Data!K427="Yes",Raw_Data!F427*Raw_Data!L427,0)</f>
        <v/>
      </c>
      <c r="N427" s="2">
        <f>IF(H427&lt;&gt;"Paid","Outstanding",IF(J427=0,"On Time","Late"))</f>
        <v/>
      </c>
    </row>
    <row r="428">
      <c r="A428" s="2">
        <f>Raw_Data!A428</f>
        <v/>
      </c>
      <c r="B428" s="7">
        <f>Raw_Data!B428</f>
        <v/>
      </c>
      <c r="C428" s="2">
        <f>Raw_Data!C428</f>
        <v/>
      </c>
      <c r="D428" s="2">
        <f>Raw_Data!D428</f>
        <v/>
      </c>
      <c r="E428" s="8">
        <f>Raw_Data!F428</f>
        <v/>
      </c>
      <c r="F428" s="7">
        <f>Raw_Data!H428</f>
        <v/>
      </c>
      <c r="G428" s="7">
        <f>Raw_Data!I428</f>
        <v/>
      </c>
      <c r="H428" s="2">
        <f>Raw_Data!J428</f>
        <v/>
      </c>
      <c r="I428" s="2">
        <f>IF(G428="",0,G428-B428)</f>
        <v/>
      </c>
      <c r="J428" s="2">
        <f>IF(H428="Paid",MAX(0,G428-F428),MAX(0,DATE(2026,12,31)-F428))</f>
        <v/>
      </c>
      <c r="K428" s="8">
        <f>IF(H428="Paid",0,E428)</f>
        <v/>
      </c>
      <c r="L428" s="2">
        <f>IF(J428=0,"Current",IF(J428&lt;=30,"1-30 Days",IF(J428&lt;=60,"31-60 Days",IF(J428&lt;=90,"61-90 Days","90+ Days"))))</f>
        <v/>
      </c>
      <c r="M428" s="8">
        <f>IF(Raw_Data!K428="Yes",Raw_Data!F428*Raw_Data!L428,0)</f>
        <v/>
      </c>
      <c r="N428" s="2">
        <f>IF(H428&lt;&gt;"Paid","Outstanding",IF(J428=0,"On Time","Late"))</f>
        <v/>
      </c>
    </row>
    <row r="429">
      <c r="A429" s="2">
        <f>Raw_Data!A429</f>
        <v/>
      </c>
      <c r="B429" s="7">
        <f>Raw_Data!B429</f>
        <v/>
      </c>
      <c r="C429" s="2">
        <f>Raw_Data!C429</f>
        <v/>
      </c>
      <c r="D429" s="2">
        <f>Raw_Data!D429</f>
        <v/>
      </c>
      <c r="E429" s="8">
        <f>Raw_Data!F429</f>
        <v/>
      </c>
      <c r="F429" s="7">
        <f>Raw_Data!H429</f>
        <v/>
      </c>
      <c r="G429" s="7">
        <f>Raw_Data!I429</f>
        <v/>
      </c>
      <c r="H429" s="2">
        <f>Raw_Data!J429</f>
        <v/>
      </c>
      <c r="I429" s="2">
        <f>IF(G429="",0,G429-B429)</f>
        <v/>
      </c>
      <c r="J429" s="2">
        <f>IF(H429="Paid",MAX(0,G429-F429),MAX(0,DATE(2026,12,31)-F429))</f>
        <v/>
      </c>
      <c r="K429" s="8">
        <f>IF(H429="Paid",0,E429)</f>
        <v/>
      </c>
      <c r="L429" s="2">
        <f>IF(J429=0,"Current",IF(J429&lt;=30,"1-30 Days",IF(J429&lt;=60,"31-60 Days",IF(J429&lt;=90,"61-90 Days","90+ Days"))))</f>
        <v/>
      </c>
      <c r="M429" s="8">
        <f>IF(Raw_Data!K429="Yes",Raw_Data!F429*Raw_Data!L429,0)</f>
        <v/>
      </c>
      <c r="N429" s="2">
        <f>IF(H429&lt;&gt;"Paid","Outstanding",IF(J429=0,"On Time","Late"))</f>
        <v/>
      </c>
    </row>
    <row r="430">
      <c r="A430" s="2">
        <f>Raw_Data!A430</f>
        <v/>
      </c>
      <c r="B430" s="7">
        <f>Raw_Data!B430</f>
        <v/>
      </c>
      <c r="C430" s="2">
        <f>Raw_Data!C430</f>
        <v/>
      </c>
      <c r="D430" s="2">
        <f>Raw_Data!D430</f>
        <v/>
      </c>
      <c r="E430" s="8">
        <f>Raw_Data!F430</f>
        <v/>
      </c>
      <c r="F430" s="7">
        <f>Raw_Data!H430</f>
        <v/>
      </c>
      <c r="G430" s="7">
        <f>Raw_Data!I430</f>
        <v/>
      </c>
      <c r="H430" s="2">
        <f>Raw_Data!J430</f>
        <v/>
      </c>
      <c r="I430" s="2">
        <f>IF(G430="",0,G430-B430)</f>
        <v/>
      </c>
      <c r="J430" s="2">
        <f>IF(H430="Paid",MAX(0,G430-F430),MAX(0,DATE(2026,12,31)-F430))</f>
        <v/>
      </c>
      <c r="K430" s="8">
        <f>IF(H430="Paid",0,E430)</f>
        <v/>
      </c>
      <c r="L430" s="2">
        <f>IF(J430=0,"Current",IF(J430&lt;=30,"1-30 Days",IF(J430&lt;=60,"31-60 Days",IF(J430&lt;=90,"61-90 Days","90+ Days"))))</f>
        <v/>
      </c>
      <c r="M430" s="8">
        <f>IF(Raw_Data!K430="Yes",Raw_Data!F430*Raw_Data!L430,0)</f>
        <v/>
      </c>
      <c r="N430" s="2">
        <f>IF(H430&lt;&gt;"Paid","Outstanding",IF(J430=0,"On Time","Late"))</f>
        <v/>
      </c>
    </row>
    <row r="431">
      <c r="A431" s="2">
        <f>Raw_Data!A431</f>
        <v/>
      </c>
      <c r="B431" s="7">
        <f>Raw_Data!B431</f>
        <v/>
      </c>
      <c r="C431" s="2">
        <f>Raw_Data!C431</f>
        <v/>
      </c>
      <c r="D431" s="2">
        <f>Raw_Data!D431</f>
        <v/>
      </c>
      <c r="E431" s="8">
        <f>Raw_Data!F431</f>
        <v/>
      </c>
      <c r="F431" s="7">
        <f>Raw_Data!H431</f>
        <v/>
      </c>
      <c r="G431" s="7">
        <f>Raw_Data!I431</f>
        <v/>
      </c>
      <c r="H431" s="2">
        <f>Raw_Data!J431</f>
        <v/>
      </c>
      <c r="I431" s="2">
        <f>IF(G431="",0,G431-B431)</f>
        <v/>
      </c>
      <c r="J431" s="2">
        <f>IF(H431="Paid",MAX(0,G431-F431),MAX(0,DATE(2026,12,31)-F431))</f>
        <v/>
      </c>
      <c r="K431" s="8">
        <f>IF(H431="Paid",0,E431)</f>
        <v/>
      </c>
      <c r="L431" s="2">
        <f>IF(J431=0,"Current",IF(J431&lt;=30,"1-30 Days",IF(J431&lt;=60,"31-60 Days",IF(J431&lt;=90,"61-90 Days","90+ Days"))))</f>
        <v/>
      </c>
      <c r="M431" s="8">
        <f>IF(Raw_Data!K431="Yes",Raw_Data!F431*Raw_Data!L431,0)</f>
        <v/>
      </c>
      <c r="N431" s="2">
        <f>IF(H431&lt;&gt;"Paid","Outstanding",IF(J431=0,"On Time","Late"))</f>
        <v/>
      </c>
    </row>
    <row r="432">
      <c r="A432" s="2">
        <f>Raw_Data!A432</f>
        <v/>
      </c>
      <c r="B432" s="7">
        <f>Raw_Data!B432</f>
        <v/>
      </c>
      <c r="C432" s="2">
        <f>Raw_Data!C432</f>
        <v/>
      </c>
      <c r="D432" s="2">
        <f>Raw_Data!D432</f>
        <v/>
      </c>
      <c r="E432" s="8">
        <f>Raw_Data!F432</f>
        <v/>
      </c>
      <c r="F432" s="7">
        <f>Raw_Data!H432</f>
        <v/>
      </c>
      <c r="G432" s="7">
        <f>Raw_Data!I432</f>
        <v/>
      </c>
      <c r="H432" s="2">
        <f>Raw_Data!J432</f>
        <v/>
      </c>
      <c r="I432" s="2">
        <f>IF(G432="",0,G432-B432)</f>
        <v/>
      </c>
      <c r="J432" s="2">
        <f>IF(H432="Paid",MAX(0,G432-F432),MAX(0,DATE(2026,12,31)-F432))</f>
        <v/>
      </c>
      <c r="K432" s="8">
        <f>IF(H432="Paid",0,E432)</f>
        <v/>
      </c>
      <c r="L432" s="2">
        <f>IF(J432=0,"Current",IF(J432&lt;=30,"1-30 Days",IF(J432&lt;=60,"31-60 Days",IF(J432&lt;=90,"61-90 Days","90+ Days"))))</f>
        <v/>
      </c>
      <c r="M432" s="8">
        <f>IF(Raw_Data!K432="Yes",Raw_Data!F432*Raw_Data!L432,0)</f>
        <v/>
      </c>
      <c r="N432" s="2">
        <f>IF(H432&lt;&gt;"Paid","Outstanding",IF(J432=0,"On Time","Late"))</f>
        <v/>
      </c>
    </row>
    <row r="433">
      <c r="A433" s="2">
        <f>Raw_Data!A433</f>
        <v/>
      </c>
      <c r="B433" s="7">
        <f>Raw_Data!B433</f>
        <v/>
      </c>
      <c r="C433" s="2">
        <f>Raw_Data!C433</f>
        <v/>
      </c>
      <c r="D433" s="2">
        <f>Raw_Data!D433</f>
        <v/>
      </c>
      <c r="E433" s="8">
        <f>Raw_Data!F433</f>
        <v/>
      </c>
      <c r="F433" s="7">
        <f>Raw_Data!H433</f>
        <v/>
      </c>
      <c r="G433" s="7">
        <f>Raw_Data!I433</f>
        <v/>
      </c>
      <c r="H433" s="2">
        <f>Raw_Data!J433</f>
        <v/>
      </c>
      <c r="I433" s="2">
        <f>IF(G433="",0,G433-B433)</f>
        <v/>
      </c>
      <c r="J433" s="2">
        <f>IF(H433="Paid",MAX(0,G433-F433),MAX(0,DATE(2026,12,31)-F433))</f>
        <v/>
      </c>
      <c r="K433" s="8">
        <f>IF(H433="Paid",0,E433)</f>
        <v/>
      </c>
      <c r="L433" s="2">
        <f>IF(J433=0,"Current",IF(J433&lt;=30,"1-30 Days",IF(J433&lt;=60,"31-60 Days",IF(J433&lt;=90,"61-90 Days","90+ Days"))))</f>
        <v/>
      </c>
      <c r="M433" s="8">
        <f>IF(Raw_Data!K433="Yes",Raw_Data!F433*Raw_Data!L433,0)</f>
        <v/>
      </c>
      <c r="N433" s="2">
        <f>IF(H433&lt;&gt;"Paid","Outstanding",IF(J433=0,"On Time","Late"))</f>
        <v/>
      </c>
    </row>
    <row r="434">
      <c r="A434" s="2">
        <f>Raw_Data!A434</f>
        <v/>
      </c>
      <c r="B434" s="7">
        <f>Raw_Data!B434</f>
        <v/>
      </c>
      <c r="C434" s="2">
        <f>Raw_Data!C434</f>
        <v/>
      </c>
      <c r="D434" s="2">
        <f>Raw_Data!D434</f>
        <v/>
      </c>
      <c r="E434" s="8">
        <f>Raw_Data!F434</f>
        <v/>
      </c>
      <c r="F434" s="7">
        <f>Raw_Data!H434</f>
        <v/>
      </c>
      <c r="G434" s="7">
        <f>Raw_Data!I434</f>
        <v/>
      </c>
      <c r="H434" s="2">
        <f>Raw_Data!J434</f>
        <v/>
      </c>
      <c r="I434" s="2">
        <f>IF(G434="",0,G434-B434)</f>
        <v/>
      </c>
      <c r="J434" s="2">
        <f>IF(H434="Paid",MAX(0,G434-F434),MAX(0,DATE(2026,12,31)-F434))</f>
        <v/>
      </c>
      <c r="K434" s="8">
        <f>IF(H434="Paid",0,E434)</f>
        <v/>
      </c>
      <c r="L434" s="2">
        <f>IF(J434=0,"Current",IF(J434&lt;=30,"1-30 Days",IF(J434&lt;=60,"31-60 Days",IF(J434&lt;=90,"61-90 Days","90+ Days"))))</f>
        <v/>
      </c>
      <c r="M434" s="8">
        <f>IF(Raw_Data!K434="Yes",Raw_Data!F434*Raw_Data!L434,0)</f>
        <v/>
      </c>
      <c r="N434" s="2">
        <f>IF(H434&lt;&gt;"Paid","Outstanding",IF(J434=0,"On Time","Late"))</f>
        <v/>
      </c>
    </row>
    <row r="435">
      <c r="A435" s="2">
        <f>Raw_Data!A435</f>
        <v/>
      </c>
      <c r="B435" s="7">
        <f>Raw_Data!B435</f>
        <v/>
      </c>
      <c r="C435" s="2">
        <f>Raw_Data!C435</f>
        <v/>
      </c>
      <c r="D435" s="2">
        <f>Raw_Data!D435</f>
        <v/>
      </c>
      <c r="E435" s="8">
        <f>Raw_Data!F435</f>
        <v/>
      </c>
      <c r="F435" s="7">
        <f>Raw_Data!H435</f>
        <v/>
      </c>
      <c r="G435" s="7">
        <f>Raw_Data!I435</f>
        <v/>
      </c>
      <c r="H435" s="2">
        <f>Raw_Data!J435</f>
        <v/>
      </c>
      <c r="I435" s="2">
        <f>IF(G435="",0,G435-B435)</f>
        <v/>
      </c>
      <c r="J435" s="2">
        <f>IF(H435="Paid",MAX(0,G435-F435),MAX(0,DATE(2026,12,31)-F435))</f>
        <v/>
      </c>
      <c r="K435" s="8">
        <f>IF(H435="Paid",0,E435)</f>
        <v/>
      </c>
      <c r="L435" s="2">
        <f>IF(J435=0,"Current",IF(J435&lt;=30,"1-30 Days",IF(J435&lt;=60,"31-60 Days",IF(J435&lt;=90,"61-90 Days","90+ Days"))))</f>
        <v/>
      </c>
      <c r="M435" s="8">
        <f>IF(Raw_Data!K435="Yes",Raw_Data!F435*Raw_Data!L435,0)</f>
        <v/>
      </c>
      <c r="N435" s="2">
        <f>IF(H435&lt;&gt;"Paid","Outstanding",IF(J435=0,"On Time","Late"))</f>
        <v/>
      </c>
    </row>
    <row r="436">
      <c r="A436" s="2">
        <f>Raw_Data!A436</f>
        <v/>
      </c>
      <c r="B436" s="7">
        <f>Raw_Data!B436</f>
        <v/>
      </c>
      <c r="C436" s="2">
        <f>Raw_Data!C436</f>
        <v/>
      </c>
      <c r="D436" s="2">
        <f>Raw_Data!D436</f>
        <v/>
      </c>
      <c r="E436" s="8">
        <f>Raw_Data!F436</f>
        <v/>
      </c>
      <c r="F436" s="7">
        <f>Raw_Data!H436</f>
        <v/>
      </c>
      <c r="G436" s="7">
        <f>Raw_Data!I436</f>
        <v/>
      </c>
      <c r="H436" s="2">
        <f>Raw_Data!J436</f>
        <v/>
      </c>
      <c r="I436" s="2">
        <f>IF(G436="",0,G436-B436)</f>
        <v/>
      </c>
      <c r="J436" s="2">
        <f>IF(H436="Paid",MAX(0,G436-F436),MAX(0,DATE(2026,12,31)-F436))</f>
        <v/>
      </c>
      <c r="K436" s="8">
        <f>IF(H436="Paid",0,E436)</f>
        <v/>
      </c>
      <c r="L436" s="2">
        <f>IF(J436=0,"Current",IF(J436&lt;=30,"1-30 Days",IF(J436&lt;=60,"31-60 Days",IF(J436&lt;=90,"61-90 Days","90+ Days"))))</f>
        <v/>
      </c>
      <c r="M436" s="8">
        <f>IF(Raw_Data!K436="Yes",Raw_Data!F436*Raw_Data!L436,0)</f>
        <v/>
      </c>
      <c r="N436" s="2">
        <f>IF(H436&lt;&gt;"Paid","Outstanding",IF(J436=0,"On Time","Late"))</f>
        <v/>
      </c>
    </row>
    <row r="437">
      <c r="A437" s="2">
        <f>Raw_Data!A437</f>
        <v/>
      </c>
      <c r="B437" s="7">
        <f>Raw_Data!B437</f>
        <v/>
      </c>
      <c r="C437" s="2">
        <f>Raw_Data!C437</f>
        <v/>
      </c>
      <c r="D437" s="2">
        <f>Raw_Data!D437</f>
        <v/>
      </c>
      <c r="E437" s="8">
        <f>Raw_Data!F437</f>
        <v/>
      </c>
      <c r="F437" s="7">
        <f>Raw_Data!H437</f>
        <v/>
      </c>
      <c r="G437" s="7">
        <f>Raw_Data!I437</f>
        <v/>
      </c>
      <c r="H437" s="2">
        <f>Raw_Data!J437</f>
        <v/>
      </c>
      <c r="I437" s="2">
        <f>IF(G437="",0,G437-B437)</f>
        <v/>
      </c>
      <c r="J437" s="2">
        <f>IF(H437="Paid",MAX(0,G437-F437),MAX(0,DATE(2026,12,31)-F437))</f>
        <v/>
      </c>
      <c r="K437" s="8">
        <f>IF(H437="Paid",0,E437)</f>
        <v/>
      </c>
      <c r="L437" s="2">
        <f>IF(J437=0,"Current",IF(J437&lt;=30,"1-30 Days",IF(J437&lt;=60,"31-60 Days",IF(J437&lt;=90,"61-90 Days","90+ Days"))))</f>
        <v/>
      </c>
      <c r="M437" s="8">
        <f>IF(Raw_Data!K437="Yes",Raw_Data!F437*Raw_Data!L437,0)</f>
        <v/>
      </c>
      <c r="N437" s="2">
        <f>IF(H437&lt;&gt;"Paid","Outstanding",IF(J437=0,"On Time","Late"))</f>
        <v/>
      </c>
    </row>
    <row r="438">
      <c r="A438" s="2">
        <f>Raw_Data!A438</f>
        <v/>
      </c>
      <c r="B438" s="7">
        <f>Raw_Data!B438</f>
        <v/>
      </c>
      <c r="C438" s="2">
        <f>Raw_Data!C438</f>
        <v/>
      </c>
      <c r="D438" s="2">
        <f>Raw_Data!D438</f>
        <v/>
      </c>
      <c r="E438" s="8">
        <f>Raw_Data!F438</f>
        <v/>
      </c>
      <c r="F438" s="7">
        <f>Raw_Data!H438</f>
        <v/>
      </c>
      <c r="G438" s="7">
        <f>Raw_Data!I438</f>
        <v/>
      </c>
      <c r="H438" s="2">
        <f>Raw_Data!J438</f>
        <v/>
      </c>
      <c r="I438" s="2">
        <f>IF(G438="",0,G438-B438)</f>
        <v/>
      </c>
      <c r="J438" s="2">
        <f>IF(H438="Paid",MAX(0,G438-F438),MAX(0,DATE(2026,12,31)-F438))</f>
        <v/>
      </c>
      <c r="K438" s="8">
        <f>IF(H438="Paid",0,E438)</f>
        <v/>
      </c>
      <c r="L438" s="2">
        <f>IF(J438=0,"Current",IF(J438&lt;=30,"1-30 Days",IF(J438&lt;=60,"31-60 Days",IF(J438&lt;=90,"61-90 Days","90+ Days"))))</f>
        <v/>
      </c>
      <c r="M438" s="8">
        <f>IF(Raw_Data!K438="Yes",Raw_Data!F438*Raw_Data!L438,0)</f>
        <v/>
      </c>
      <c r="N438" s="2">
        <f>IF(H438&lt;&gt;"Paid","Outstanding",IF(J438=0,"On Time","Late"))</f>
        <v/>
      </c>
    </row>
    <row r="439">
      <c r="A439" s="2">
        <f>Raw_Data!A439</f>
        <v/>
      </c>
      <c r="B439" s="7">
        <f>Raw_Data!B439</f>
        <v/>
      </c>
      <c r="C439" s="2">
        <f>Raw_Data!C439</f>
        <v/>
      </c>
      <c r="D439" s="2">
        <f>Raw_Data!D439</f>
        <v/>
      </c>
      <c r="E439" s="8">
        <f>Raw_Data!F439</f>
        <v/>
      </c>
      <c r="F439" s="7">
        <f>Raw_Data!H439</f>
        <v/>
      </c>
      <c r="G439" s="7">
        <f>Raw_Data!I439</f>
        <v/>
      </c>
      <c r="H439" s="2">
        <f>Raw_Data!J439</f>
        <v/>
      </c>
      <c r="I439" s="2">
        <f>IF(G439="",0,G439-B439)</f>
        <v/>
      </c>
      <c r="J439" s="2">
        <f>IF(H439="Paid",MAX(0,G439-F439),MAX(0,DATE(2026,12,31)-F439))</f>
        <v/>
      </c>
      <c r="K439" s="8">
        <f>IF(H439="Paid",0,E439)</f>
        <v/>
      </c>
      <c r="L439" s="2">
        <f>IF(J439=0,"Current",IF(J439&lt;=30,"1-30 Days",IF(J439&lt;=60,"31-60 Days",IF(J439&lt;=90,"61-90 Days","90+ Days"))))</f>
        <v/>
      </c>
      <c r="M439" s="8">
        <f>IF(Raw_Data!K439="Yes",Raw_Data!F439*Raw_Data!L439,0)</f>
        <v/>
      </c>
      <c r="N439" s="2">
        <f>IF(H439&lt;&gt;"Paid","Outstanding",IF(J439=0,"On Time","Late"))</f>
        <v/>
      </c>
    </row>
    <row r="440">
      <c r="A440" s="2">
        <f>Raw_Data!A440</f>
        <v/>
      </c>
      <c r="B440" s="7">
        <f>Raw_Data!B440</f>
        <v/>
      </c>
      <c r="C440" s="2">
        <f>Raw_Data!C440</f>
        <v/>
      </c>
      <c r="D440" s="2">
        <f>Raw_Data!D440</f>
        <v/>
      </c>
      <c r="E440" s="8">
        <f>Raw_Data!F440</f>
        <v/>
      </c>
      <c r="F440" s="7">
        <f>Raw_Data!H440</f>
        <v/>
      </c>
      <c r="G440" s="7">
        <f>Raw_Data!I440</f>
        <v/>
      </c>
      <c r="H440" s="2">
        <f>Raw_Data!J440</f>
        <v/>
      </c>
      <c r="I440" s="2">
        <f>IF(G440="",0,G440-B440)</f>
        <v/>
      </c>
      <c r="J440" s="2">
        <f>IF(H440="Paid",MAX(0,G440-F440),MAX(0,DATE(2026,12,31)-F440))</f>
        <v/>
      </c>
      <c r="K440" s="8">
        <f>IF(H440="Paid",0,E440)</f>
        <v/>
      </c>
      <c r="L440" s="2">
        <f>IF(J440=0,"Current",IF(J440&lt;=30,"1-30 Days",IF(J440&lt;=60,"31-60 Days",IF(J440&lt;=90,"61-90 Days","90+ Days"))))</f>
        <v/>
      </c>
      <c r="M440" s="8">
        <f>IF(Raw_Data!K440="Yes",Raw_Data!F440*Raw_Data!L440,0)</f>
        <v/>
      </c>
      <c r="N440" s="2">
        <f>IF(H440&lt;&gt;"Paid","Outstanding",IF(J440=0,"On Time","Late"))</f>
        <v/>
      </c>
    </row>
    <row r="441">
      <c r="A441" s="2">
        <f>Raw_Data!A441</f>
        <v/>
      </c>
      <c r="B441" s="7">
        <f>Raw_Data!B441</f>
        <v/>
      </c>
      <c r="C441" s="2">
        <f>Raw_Data!C441</f>
        <v/>
      </c>
      <c r="D441" s="2">
        <f>Raw_Data!D441</f>
        <v/>
      </c>
      <c r="E441" s="8">
        <f>Raw_Data!F441</f>
        <v/>
      </c>
      <c r="F441" s="7">
        <f>Raw_Data!H441</f>
        <v/>
      </c>
      <c r="G441" s="7">
        <f>Raw_Data!I441</f>
        <v/>
      </c>
      <c r="H441" s="2">
        <f>Raw_Data!J441</f>
        <v/>
      </c>
      <c r="I441" s="2">
        <f>IF(G441="",0,G441-B441)</f>
        <v/>
      </c>
      <c r="J441" s="2">
        <f>IF(H441="Paid",MAX(0,G441-F441),MAX(0,DATE(2026,12,31)-F441))</f>
        <v/>
      </c>
      <c r="K441" s="8">
        <f>IF(H441="Paid",0,E441)</f>
        <v/>
      </c>
      <c r="L441" s="2">
        <f>IF(J441=0,"Current",IF(J441&lt;=30,"1-30 Days",IF(J441&lt;=60,"31-60 Days",IF(J441&lt;=90,"61-90 Days","90+ Days"))))</f>
        <v/>
      </c>
      <c r="M441" s="8">
        <f>IF(Raw_Data!K441="Yes",Raw_Data!F441*Raw_Data!L441,0)</f>
        <v/>
      </c>
      <c r="N441" s="2">
        <f>IF(H441&lt;&gt;"Paid","Outstanding",IF(J441=0,"On Time","Late"))</f>
        <v/>
      </c>
    </row>
    <row r="442">
      <c r="A442" s="2">
        <f>Raw_Data!A442</f>
        <v/>
      </c>
      <c r="B442" s="7">
        <f>Raw_Data!B442</f>
        <v/>
      </c>
      <c r="C442" s="2">
        <f>Raw_Data!C442</f>
        <v/>
      </c>
      <c r="D442" s="2">
        <f>Raw_Data!D442</f>
        <v/>
      </c>
      <c r="E442" s="8">
        <f>Raw_Data!F442</f>
        <v/>
      </c>
      <c r="F442" s="7">
        <f>Raw_Data!H442</f>
        <v/>
      </c>
      <c r="G442" s="7">
        <f>Raw_Data!I442</f>
        <v/>
      </c>
      <c r="H442" s="2">
        <f>Raw_Data!J442</f>
        <v/>
      </c>
      <c r="I442" s="2">
        <f>IF(G442="",0,G442-B442)</f>
        <v/>
      </c>
      <c r="J442" s="2">
        <f>IF(H442="Paid",MAX(0,G442-F442),MAX(0,DATE(2026,12,31)-F442))</f>
        <v/>
      </c>
      <c r="K442" s="8">
        <f>IF(H442="Paid",0,E442)</f>
        <v/>
      </c>
      <c r="L442" s="2">
        <f>IF(J442=0,"Current",IF(J442&lt;=30,"1-30 Days",IF(J442&lt;=60,"31-60 Days",IF(J442&lt;=90,"61-90 Days","90+ Days"))))</f>
        <v/>
      </c>
      <c r="M442" s="8">
        <f>IF(Raw_Data!K442="Yes",Raw_Data!F442*Raw_Data!L442,0)</f>
        <v/>
      </c>
      <c r="N442" s="2">
        <f>IF(H442&lt;&gt;"Paid","Outstanding",IF(J442=0,"On Time","Late"))</f>
        <v/>
      </c>
    </row>
    <row r="443">
      <c r="A443" s="2">
        <f>Raw_Data!A443</f>
        <v/>
      </c>
      <c r="B443" s="7">
        <f>Raw_Data!B443</f>
        <v/>
      </c>
      <c r="C443" s="2">
        <f>Raw_Data!C443</f>
        <v/>
      </c>
      <c r="D443" s="2">
        <f>Raw_Data!D443</f>
        <v/>
      </c>
      <c r="E443" s="8">
        <f>Raw_Data!F443</f>
        <v/>
      </c>
      <c r="F443" s="7">
        <f>Raw_Data!H443</f>
        <v/>
      </c>
      <c r="G443" s="7">
        <f>Raw_Data!I443</f>
        <v/>
      </c>
      <c r="H443" s="2">
        <f>Raw_Data!J443</f>
        <v/>
      </c>
      <c r="I443" s="2">
        <f>IF(G443="",0,G443-B443)</f>
        <v/>
      </c>
      <c r="J443" s="2">
        <f>IF(H443="Paid",MAX(0,G443-F443),MAX(0,DATE(2026,12,31)-F443))</f>
        <v/>
      </c>
      <c r="K443" s="8">
        <f>IF(H443="Paid",0,E443)</f>
        <v/>
      </c>
      <c r="L443" s="2">
        <f>IF(J443=0,"Current",IF(J443&lt;=30,"1-30 Days",IF(J443&lt;=60,"31-60 Days",IF(J443&lt;=90,"61-90 Days","90+ Days"))))</f>
        <v/>
      </c>
      <c r="M443" s="8">
        <f>IF(Raw_Data!K443="Yes",Raw_Data!F443*Raw_Data!L443,0)</f>
        <v/>
      </c>
      <c r="N443" s="2">
        <f>IF(H443&lt;&gt;"Paid","Outstanding",IF(J443=0,"On Time","Late"))</f>
        <v/>
      </c>
    </row>
    <row r="444">
      <c r="A444" s="2">
        <f>Raw_Data!A444</f>
        <v/>
      </c>
      <c r="B444" s="7">
        <f>Raw_Data!B444</f>
        <v/>
      </c>
      <c r="C444" s="2">
        <f>Raw_Data!C444</f>
        <v/>
      </c>
      <c r="D444" s="2">
        <f>Raw_Data!D444</f>
        <v/>
      </c>
      <c r="E444" s="8">
        <f>Raw_Data!F444</f>
        <v/>
      </c>
      <c r="F444" s="7">
        <f>Raw_Data!H444</f>
        <v/>
      </c>
      <c r="G444" s="7">
        <f>Raw_Data!I444</f>
        <v/>
      </c>
      <c r="H444" s="2">
        <f>Raw_Data!J444</f>
        <v/>
      </c>
      <c r="I444" s="2">
        <f>IF(G444="",0,G444-B444)</f>
        <v/>
      </c>
      <c r="J444" s="2">
        <f>IF(H444="Paid",MAX(0,G444-F444),MAX(0,DATE(2026,12,31)-F444))</f>
        <v/>
      </c>
      <c r="K444" s="8">
        <f>IF(H444="Paid",0,E444)</f>
        <v/>
      </c>
      <c r="L444" s="2">
        <f>IF(J444=0,"Current",IF(J444&lt;=30,"1-30 Days",IF(J444&lt;=60,"31-60 Days",IF(J444&lt;=90,"61-90 Days","90+ Days"))))</f>
        <v/>
      </c>
      <c r="M444" s="8">
        <f>IF(Raw_Data!K444="Yes",Raw_Data!F444*Raw_Data!L444,0)</f>
        <v/>
      </c>
      <c r="N444" s="2">
        <f>IF(H444&lt;&gt;"Paid","Outstanding",IF(J444=0,"On Time","Late"))</f>
        <v/>
      </c>
    </row>
    <row r="445">
      <c r="A445" s="2">
        <f>Raw_Data!A445</f>
        <v/>
      </c>
      <c r="B445" s="7">
        <f>Raw_Data!B445</f>
        <v/>
      </c>
      <c r="C445" s="2">
        <f>Raw_Data!C445</f>
        <v/>
      </c>
      <c r="D445" s="2">
        <f>Raw_Data!D445</f>
        <v/>
      </c>
      <c r="E445" s="8">
        <f>Raw_Data!F445</f>
        <v/>
      </c>
      <c r="F445" s="7">
        <f>Raw_Data!H445</f>
        <v/>
      </c>
      <c r="G445" s="7">
        <f>Raw_Data!I445</f>
        <v/>
      </c>
      <c r="H445" s="2">
        <f>Raw_Data!J445</f>
        <v/>
      </c>
      <c r="I445" s="2">
        <f>IF(G445="",0,G445-B445)</f>
        <v/>
      </c>
      <c r="J445" s="2">
        <f>IF(H445="Paid",MAX(0,G445-F445),MAX(0,DATE(2026,12,31)-F445))</f>
        <v/>
      </c>
      <c r="K445" s="8">
        <f>IF(H445="Paid",0,E445)</f>
        <v/>
      </c>
      <c r="L445" s="2">
        <f>IF(J445=0,"Current",IF(J445&lt;=30,"1-30 Days",IF(J445&lt;=60,"31-60 Days",IF(J445&lt;=90,"61-90 Days","90+ Days"))))</f>
        <v/>
      </c>
      <c r="M445" s="8">
        <f>IF(Raw_Data!K445="Yes",Raw_Data!F445*Raw_Data!L445,0)</f>
        <v/>
      </c>
      <c r="N445" s="2">
        <f>IF(H445&lt;&gt;"Paid","Outstanding",IF(J445=0,"On Time","Late"))</f>
        <v/>
      </c>
    </row>
    <row r="446">
      <c r="A446" s="2">
        <f>Raw_Data!A446</f>
        <v/>
      </c>
      <c r="B446" s="7">
        <f>Raw_Data!B446</f>
        <v/>
      </c>
      <c r="C446" s="2">
        <f>Raw_Data!C446</f>
        <v/>
      </c>
      <c r="D446" s="2">
        <f>Raw_Data!D446</f>
        <v/>
      </c>
      <c r="E446" s="8">
        <f>Raw_Data!F446</f>
        <v/>
      </c>
      <c r="F446" s="7">
        <f>Raw_Data!H446</f>
        <v/>
      </c>
      <c r="G446" s="7">
        <f>Raw_Data!I446</f>
        <v/>
      </c>
      <c r="H446" s="2">
        <f>Raw_Data!J446</f>
        <v/>
      </c>
      <c r="I446" s="2">
        <f>IF(G446="",0,G446-B446)</f>
        <v/>
      </c>
      <c r="J446" s="2">
        <f>IF(H446="Paid",MAX(0,G446-F446),MAX(0,DATE(2026,12,31)-F446))</f>
        <v/>
      </c>
      <c r="K446" s="8">
        <f>IF(H446="Paid",0,E446)</f>
        <v/>
      </c>
      <c r="L446" s="2">
        <f>IF(J446=0,"Current",IF(J446&lt;=30,"1-30 Days",IF(J446&lt;=60,"31-60 Days",IF(J446&lt;=90,"61-90 Days","90+ Days"))))</f>
        <v/>
      </c>
      <c r="M446" s="8">
        <f>IF(Raw_Data!K446="Yes",Raw_Data!F446*Raw_Data!L446,0)</f>
        <v/>
      </c>
      <c r="N446" s="2">
        <f>IF(H446&lt;&gt;"Paid","Outstanding",IF(J446=0,"On Time","Late"))</f>
        <v/>
      </c>
    </row>
    <row r="447">
      <c r="A447" s="2">
        <f>Raw_Data!A447</f>
        <v/>
      </c>
      <c r="B447" s="7">
        <f>Raw_Data!B447</f>
        <v/>
      </c>
      <c r="C447" s="2">
        <f>Raw_Data!C447</f>
        <v/>
      </c>
      <c r="D447" s="2">
        <f>Raw_Data!D447</f>
        <v/>
      </c>
      <c r="E447" s="8">
        <f>Raw_Data!F447</f>
        <v/>
      </c>
      <c r="F447" s="7">
        <f>Raw_Data!H447</f>
        <v/>
      </c>
      <c r="G447" s="7">
        <f>Raw_Data!I447</f>
        <v/>
      </c>
      <c r="H447" s="2">
        <f>Raw_Data!J447</f>
        <v/>
      </c>
      <c r="I447" s="2">
        <f>IF(G447="",0,G447-B447)</f>
        <v/>
      </c>
      <c r="J447" s="2">
        <f>IF(H447="Paid",MAX(0,G447-F447),MAX(0,DATE(2026,12,31)-F447))</f>
        <v/>
      </c>
      <c r="K447" s="8">
        <f>IF(H447="Paid",0,E447)</f>
        <v/>
      </c>
      <c r="L447" s="2">
        <f>IF(J447=0,"Current",IF(J447&lt;=30,"1-30 Days",IF(J447&lt;=60,"31-60 Days",IF(J447&lt;=90,"61-90 Days","90+ Days"))))</f>
        <v/>
      </c>
      <c r="M447" s="8">
        <f>IF(Raw_Data!K447="Yes",Raw_Data!F447*Raw_Data!L447,0)</f>
        <v/>
      </c>
      <c r="N447" s="2">
        <f>IF(H447&lt;&gt;"Paid","Outstanding",IF(J447=0,"On Time","Late"))</f>
        <v/>
      </c>
    </row>
    <row r="448">
      <c r="A448" s="2">
        <f>Raw_Data!A448</f>
        <v/>
      </c>
      <c r="B448" s="7">
        <f>Raw_Data!B448</f>
        <v/>
      </c>
      <c r="C448" s="2">
        <f>Raw_Data!C448</f>
        <v/>
      </c>
      <c r="D448" s="2">
        <f>Raw_Data!D448</f>
        <v/>
      </c>
      <c r="E448" s="8">
        <f>Raw_Data!F448</f>
        <v/>
      </c>
      <c r="F448" s="7">
        <f>Raw_Data!H448</f>
        <v/>
      </c>
      <c r="G448" s="7">
        <f>Raw_Data!I448</f>
        <v/>
      </c>
      <c r="H448" s="2">
        <f>Raw_Data!J448</f>
        <v/>
      </c>
      <c r="I448" s="2">
        <f>IF(G448="",0,G448-B448)</f>
        <v/>
      </c>
      <c r="J448" s="2">
        <f>IF(H448="Paid",MAX(0,G448-F448),MAX(0,DATE(2026,12,31)-F448))</f>
        <v/>
      </c>
      <c r="K448" s="8">
        <f>IF(H448="Paid",0,E448)</f>
        <v/>
      </c>
      <c r="L448" s="2">
        <f>IF(J448=0,"Current",IF(J448&lt;=30,"1-30 Days",IF(J448&lt;=60,"31-60 Days",IF(J448&lt;=90,"61-90 Days","90+ Days"))))</f>
        <v/>
      </c>
      <c r="M448" s="8">
        <f>IF(Raw_Data!K448="Yes",Raw_Data!F448*Raw_Data!L448,0)</f>
        <v/>
      </c>
      <c r="N448" s="2">
        <f>IF(H448&lt;&gt;"Paid","Outstanding",IF(J448=0,"On Time","Late"))</f>
        <v/>
      </c>
    </row>
    <row r="449">
      <c r="A449" s="2">
        <f>Raw_Data!A449</f>
        <v/>
      </c>
      <c r="B449" s="7">
        <f>Raw_Data!B449</f>
        <v/>
      </c>
      <c r="C449" s="2">
        <f>Raw_Data!C449</f>
        <v/>
      </c>
      <c r="D449" s="2">
        <f>Raw_Data!D449</f>
        <v/>
      </c>
      <c r="E449" s="8">
        <f>Raw_Data!F449</f>
        <v/>
      </c>
      <c r="F449" s="7">
        <f>Raw_Data!H449</f>
        <v/>
      </c>
      <c r="G449" s="7">
        <f>Raw_Data!I449</f>
        <v/>
      </c>
      <c r="H449" s="2">
        <f>Raw_Data!J449</f>
        <v/>
      </c>
      <c r="I449" s="2">
        <f>IF(G449="",0,G449-B449)</f>
        <v/>
      </c>
      <c r="J449" s="2">
        <f>IF(H449="Paid",MAX(0,G449-F449),MAX(0,DATE(2026,12,31)-F449))</f>
        <v/>
      </c>
      <c r="K449" s="8">
        <f>IF(H449="Paid",0,E449)</f>
        <v/>
      </c>
      <c r="L449" s="2">
        <f>IF(J449=0,"Current",IF(J449&lt;=30,"1-30 Days",IF(J449&lt;=60,"31-60 Days",IF(J449&lt;=90,"61-90 Days","90+ Days"))))</f>
        <v/>
      </c>
      <c r="M449" s="8">
        <f>IF(Raw_Data!K449="Yes",Raw_Data!F449*Raw_Data!L449,0)</f>
        <v/>
      </c>
      <c r="N449" s="2">
        <f>IF(H449&lt;&gt;"Paid","Outstanding",IF(J449=0,"On Time","Late"))</f>
        <v/>
      </c>
    </row>
    <row r="450">
      <c r="A450" s="2">
        <f>Raw_Data!A450</f>
        <v/>
      </c>
      <c r="B450" s="7">
        <f>Raw_Data!B450</f>
        <v/>
      </c>
      <c r="C450" s="2">
        <f>Raw_Data!C450</f>
        <v/>
      </c>
      <c r="D450" s="2">
        <f>Raw_Data!D450</f>
        <v/>
      </c>
      <c r="E450" s="8">
        <f>Raw_Data!F450</f>
        <v/>
      </c>
      <c r="F450" s="7">
        <f>Raw_Data!H450</f>
        <v/>
      </c>
      <c r="G450" s="7">
        <f>Raw_Data!I450</f>
        <v/>
      </c>
      <c r="H450" s="2">
        <f>Raw_Data!J450</f>
        <v/>
      </c>
      <c r="I450" s="2">
        <f>IF(G450="",0,G450-B450)</f>
        <v/>
      </c>
      <c r="J450" s="2">
        <f>IF(H450="Paid",MAX(0,G450-F450),MAX(0,DATE(2026,12,31)-F450))</f>
        <v/>
      </c>
      <c r="K450" s="8">
        <f>IF(H450="Paid",0,E450)</f>
        <v/>
      </c>
      <c r="L450" s="2">
        <f>IF(J450=0,"Current",IF(J450&lt;=30,"1-30 Days",IF(J450&lt;=60,"31-60 Days",IF(J450&lt;=90,"61-90 Days","90+ Days"))))</f>
        <v/>
      </c>
      <c r="M450" s="8">
        <f>IF(Raw_Data!K450="Yes",Raw_Data!F450*Raw_Data!L450,0)</f>
        <v/>
      </c>
      <c r="N450" s="2">
        <f>IF(H450&lt;&gt;"Paid","Outstanding",IF(J450=0,"On Time","Late"))</f>
        <v/>
      </c>
    </row>
    <row r="451">
      <c r="A451" s="2">
        <f>Raw_Data!A451</f>
        <v/>
      </c>
      <c r="B451" s="7">
        <f>Raw_Data!B451</f>
        <v/>
      </c>
      <c r="C451" s="2">
        <f>Raw_Data!C451</f>
        <v/>
      </c>
      <c r="D451" s="2">
        <f>Raw_Data!D451</f>
        <v/>
      </c>
      <c r="E451" s="8">
        <f>Raw_Data!F451</f>
        <v/>
      </c>
      <c r="F451" s="7">
        <f>Raw_Data!H451</f>
        <v/>
      </c>
      <c r="G451" s="7">
        <f>Raw_Data!I451</f>
        <v/>
      </c>
      <c r="H451" s="2">
        <f>Raw_Data!J451</f>
        <v/>
      </c>
      <c r="I451" s="2">
        <f>IF(G451="",0,G451-B451)</f>
        <v/>
      </c>
      <c r="J451" s="2">
        <f>IF(H451="Paid",MAX(0,G451-F451),MAX(0,DATE(2026,12,31)-F451))</f>
        <v/>
      </c>
      <c r="K451" s="8">
        <f>IF(H451="Paid",0,E451)</f>
        <v/>
      </c>
      <c r="L451" s="2">
        <f>IF(J451=0,"Current",IF(J451&lt;=30,"1-30 Days",IF(J451&lt;=60,"31-60 Days",IF(J451&lt;=90,"61-90 Days","90+ Days"))))</f>
        <v/>
      </c>
      <c r="M451" s="8">
        <f>IF(Raw_Data!K451="Yes",Raw_Data!F451*Raw_Data!L451,0)</f>
        <v/>
      </c>
      <c r="N451" s="2">
        <f>IF(H451&lt;&gt;"Paid","Outstanding",IF(J451=0,"On Time","Late"))</f>
        <v/>
      </c>
    </row>
    <row r="452">
      <c r="A452" s="2">
        <f>Raw_Data!A452</f>
        <v/>
      </c>
      <c r="B452" s="7">
        <f>Raw_Data!B452</f>
        <v/>
      </c>
      <c r="C452" s="2">
        <f>Raw_Data!C452</f>
        <v/>
      </c>
      <c r="D452" s="2">
        <f>Raw_Data!D452</f>
        <v/>
      </c>
      <c r="E452" s="8">
        <f>Raw_Data!F452</f>
        <v/>
      </c>
      <c r="F452" s="7">
        <f>Raw_Data!H452</f>
        <v/>
      </c>
      <c r="G452" s="7">
        <f>Raw_Data!I452</f>
        <v/>
      </c>
      <c r="H452" s="2">
        <f>Raw_Data!J452</f>
        <v/>
      </c>
      <c r="I452" s="2">
        <f>IF(G452="",0,G452-B452)</f>
        <v/>
      </c>
      <c r="J452" s="2">
        <f>IF(H452="Paid",MAX(0,G452-F452),MAX(0,DATE(2026,12,31)-F452))</f>
        <v/>
      </c>
      <c r="K452" s="8">
        <f>IF(H452="Paid",0,E452)</f>
        <v/>
      </c>
      <c r="L452" s="2">
        <f>IF(J452=0,"Current",IF(J452&lt;=30,"1-30 Days",IF(J452&lt;=60,"31-60 Days",IF(J452&lt;=90,"61-90 Days","90+ Days"))))</f>
        <v/>
      </c>
      <c r="M452" s="8">
        <f>IF(Raw_Data!K452="Yes",Raw_Data!F452*Raw_Data!L452,0)</f>
        <v/>
      </c>
      <c r="N452" s="2">
        <f>IF(H452&lt;&gt;"Paid","Outstanding",IF(J452=0,"On Time","Late"))</f>
        <v/>
      </c>
    </row>
    <row r="453">
      <c r="A453" s="2">
        <f>Raw_Data!A453</f>
        <v/>
      </c>
      <c r="B453" s="7">
        <f>Raw_Data!B453</f>
        <v/>
      </c>
      <c r="C453" s="2">
        <f>Raw_Data!C453</f>
        <v/>
      </c>
      <c r="D453" s="2">
        <f>Raw_Data!D453</f>
        <v/>
      </c>
      <c r="E453" s="8">
        <f>Raw_Data!F453</f>
        <v/>
      </c>
      <c r="F453" s="7">
        <f>Raw_Data!H453</f>
        <v/>
      </c>
      <c r="G453" s="7">
        <f>Raw_Data!I453</f>
        <v/>
      </c>
      <c r="H453" s="2">
        <f>Raw_Data!J453</f>
        <v/>
      </c>
      <c r="I453" s="2">
        <f>IF(G453="",0,G453-B453)</f>
        <v/>
      </c>
      <c r="J453" s="2">
        <f>IF(H453="Paid",MAX(0,G453-F453),MAX(0,DATE(2026,12,31)-F453))</f>
        <v/>
      </c>
      <c r="K453" s="8">
        <f>IF(H453="Paid",0,E453)</f>
        <v/>
      </c>
      <c r="L453" s="2">
        <f>IF(J453=0,"Current",IF(J453&lt;=30,"1-30 Days",IF(J453&lt;=60,"31-60 Days",IF(J453&lt;=90,"61-90 Days","90+ Days"))))</f>
        <v/>
      </c>
      <c r="M453" s="8">
        <f>IF(Raw_Data!K453="Yes",Raw_Data!F453*Raw_Data!L453,0)</f>
        <v/>
      </c>
      <c r="N453" s="2">
        <f>IF(H453&lt;&gt;"Paid","Outstanding",IF(J453=0,"On Time","Late"))</f>
        <v/>
      </c>
    </row>
    <row r="454">
      <c r="A454" s="2">
        <f>Raw_Data!A454</f>
        <v/>
      </c>
      <c r="B454" s="7">
        <f>Raw_Data!B454</f>
        <v/>
      </c>
      <c r="C454" s="2">
        <f>Raw_Data!C454</f>
        <v/>
      </c>
      <c r="D454" s="2">
        <f>Raw_Data!D454</f>
        <v/>
      </c>
      <c r="E454" s="8">
        <f>Raw_Data!F454</f>
        <v/>
      </c>
      <c r="F454" s="7">
        <f>Raw_Data!H454</f>
        <v/>
      </c>
      <c r="G454" s="7">
        <f>Raw_Data!I454</f>
        <v/>
      </c>
      <c r="H454" s="2">
        <f>Raw_Data!J454</f>
        <v/>
      </c>
      <c r="I454" s="2">
        <f>IF(G454="",0,G454-B454)</f>
        <v/>
      </c>
      <c r="J454" s="2">
        <f>IF(H454="Paid",MAX(0,G454-F454),MAX(0,DATE(2026,12,31)-F454))</f>
        <v/>
      </c>
      <c r="K454" s="8">
        <f>IF(H454="Paid",0,E454)</f>
        <v/>
      </c>
      <c r="L454" s="2">
        <f>IF(J454=0,"Current",IF(J454&lt;=30,"1-30 Days",IF(J454&lt;=60,"31-60 Days",IF(J454&lt;=90,"61-90 Days","90+ Days"))))</f>
        <v/>
      </c>
      <c r="M454" s="8">
        <f>IF(Raw_Data!K454="Yes",Raw_Data!F454*Raw_Data!L454,0)</f>
        <v/>
      </c>
      <c r="N454" s="2">
        <f>IF(H454&lt;&gt;"Paid","Outstanding",IF(J454=0,"On Time","Late"))</f>
        <v/>
      </c>
    </row>
    <row r="455">
      <c r="A455" s="2">
        <f>Raw_Data!A455</f>
        <v/>
      </c>
      <c r="B455" s="7">
        <f>Raw_Data!B455</f>
        <v/>
      </c>
      <c r="C455" s="2">
        <f>Raw_Data!C455</f>
        <v/>
      </c>
      <c r="D455" s="2">
        <f>Raw_Data!D455</f>
        <v/>
      </c>
      <c r="E455" s="8">
        <f>Raw_Data!F455</f>
        <v/>
      </c>
      <c r="F455" s="7">
        <f>Raw_Data!H455</f>
        <v/>
      </c>
      <c r="G455" s="7">
        <f>Raw_Data!I455</f>
        <v/>
      </c>
      <c r="H455" s="2">
        <f>Raw_Data!J455</f>
        <v/>
      </c>
      <c r="I455" s="2">
        <f>IF(G455="",0,G455-B455)</f>
        <v/>
      </c>
      <c r="J455" s="2">
        <f>IF(H455="Paid",MAX(0,G455-F455),MAX(0,DATE(2026,12,31)-F455))</f>
        <v/>
      </c>
      <c r="K455" s="8">
        <f>IF(H455="Paid",0,E455)</f>
        <v/>
      </c>
      <c r="L455" s="2">
        <f>IF(J455=0,"Current",IF(J455&lt;=30,"1-30 Days",IF(J455&lt;=60,"31-60 Days",IF(J455&lt;=90,"61-90 Days","90+ Days"))))</f>
        <v/>
      </c>
      <c r="M455" s="8">
        <f>IF(Raw_Data!K455="Yes",Raw_Data!F455*Raw_Data!L455,0)</f>
        <v/>
      </c>
      <c r="N455" s="2">
        <f>IF(H455&lt;&gt;"Paid","Outstanding",IF(J455=0,"On Time","Late"))</f>
        <v/>
      </c>
    </row>
    <row r="456">
      <c r="A456" s="2">
        <f>Raw_Data!A456</f>
        <v/>
      </c>
      <c r="B456" s="7">
        <f>Raw_Data!B456</f>
        <v/>
      </c>
      <c r="C456" s="2">
        <f>Raw_Data!C456</f>
        <v/>
      </c>
      <c r="D456" s="2">
        <f>Raw_Data!D456</f>
        <v/>
      </c>
      <c r="E456" s="8">
        <f>Raw_Data!F456</f>
        <v/>
      </c>
      <c r="F456" s="7">
        <f>Raw_Data!H456</f>
        <v/>
      </c>
      <c r="G456" s="7">
        <f>Raw_Data!I456</f>
        <v/>
      </c>
      <c r="H456" s="2">
        <f>Raw_Data!J456</f>
        <v/>
      </c>
      <c r="I456" s="2">
        <f>IF(G456="",0,G456-B456)</f>
        <v/>
      </c>
      <c r="J456" s="2">
        <f>IF(H456="Paid",MAX(0,G456-F456),MAX(0,DATE(2026,12,31)-F456))</f>
        <v/>
      </c>
      <c r="K456" s="8">
        <f>IF(H456="Paid",0,E456)</f>
        <v/>
      </c>
      <c r="L456" s="2">
        <f>IF(J456=0,"Current",IF(J456&lt;=30,"1-30 Days",IF(J456&lt;=60,"31-60 Days",IF(J456&lt;=90,"61-90 Days","90+ Days"))))</f>
        <v/>
      </c>
      <c r="M456" s="8">
        <f>IF(Raw_Data!K456="Yes",Raw_Data!F456*Raw_Data!L456,0)</f>
        <v/>
      </c>
      <c r="N456" s="2">
        <f>IF(H456&lt;&gt;"Paid","Outstanding",IF(J456=0,"On Time","Late"))</f>
        <v/>
      </c>
    </row>
    <row r="457">
      <c r="A457" s="2">
        <f>Raw_Data!A457</f>
        <v/>
      </c>
      <c r="B457" s="7">
        <f>Raw_Data!B457</f>
        <v/>
      </c>
      <c r="C457" s="2">
        <f>Raw_Data!C457</f>
        <v/>
      </c>
      <c r="D457" s="2">
        <f>Raw_Data!D457</f>
        <v/>
      </c>
      <c r="E457" s="8">
        <f>Raw_Data!F457</f>
        <v/>
      </c>
      <c r="F457" s="7">
        <f>Raw_Data!H457</f>
        <v/>
      </c>
      <c r="G457" s="7">
        <f>Raw_Data!I457</f>
        <v/>
      </c>
      <c r="H457" s="2">
        <f>Raw_Data!J457</f>
        <v/>
      </c>
      <c r="I457" s="2">
        <f>IF(G457="",0,G457-B457)</f>
        <v/>
      </c>
      <c r="J457" s="2">
        <f>IF(H457="Paid",MAX(0,G457-F457),MAX(0,DATE(2026,12,31)-F457))</f>
        <v/>
      </c>
      <c r="K457" s="8">
        <f>IF(H457="Paid",0,E457)</f>
        <v/>
      </c>
      <c r="L457" s="2">
        <f>IF(J457=0,"Current",IF(J457&lt;=30,"1-30 Days",IF(J457&lt;=60,"31-60 Days",IF(J457&lt;=90,"61-90 Days","90+ Days"))))</f>
        <v/>
      </c>
      <c r="M457" s="8">
        <f>IF(Raw_Data!K457="Yes",Raw_Data!F457*Raw_Data!L457,0)</f>
        <v/>
      </c>
      <c r="N457" s="2">
        <f>IF(H457&lt;&gt;"Paid","Outstanding",IF(J457=0,"On Time","Late"))</f>
        <v/>
      </c>
    </row>
    <row r="458">
      <c r="A458" s="2">
        <f>Raw_Data!A458</f>
        <v/>
      </c>
      <c r="B458" s="7">
        <f>Raw_Data!B458</f>
        <v/>
      </c>
      <c r="C458" s="2">
        <f>Raw_Data!C458</f>
        <v/>
      </c>
      <c r="D458" s="2">
        <f>Raw_Data!D458</f>
        <v/>
      </c>
      <c r="E458" s="8">
        <f>Raw_Data!F458</f>
        <v/>
      </c>
      <c r="F458" s="7">
        <f>Raw_Data!H458</f>
        <v/>
      </c>
      <c r="G458" s="7">
        <f>Raw_Data!I458</f>
        <v/>
      </c>
      <c r="H458" s="2">
        <f>Raw_Data!J458</f>
        <v/>
      </c>
      <c r="I458" s="2">
        <f>IF(G458="",0,G458-B458)</f>
        <v/>
      </c>
      <c r="J458" s="2">
        <f>IF(H458="Paid",MAX(0,G458-F458),MAX(0,DATE(2026,12,31)-F458))</f>
        <v/>
      </c>
      <c r="K458" s="8">
        <f>IF(H458="Paid",0,E458)</f>
        <v/>
      </c>
      <c r="L458" s="2">
        <f>IF(J458=0,"Current",IF(J458&lt;=30,"1-30 Days",IF(J458&lt;=60,"31-60 Days",IF(J458&lt;=90,"61-90 Days","90+ Days"))))</f>
        <v/>
      </c>
      <c r="M458" s="8">
        <f>IF(Raw_Data!K458="Yes",Raw_Data!F458*Raw_Data!L458,0)</f>
        <v/>
      </c>
      <c r="N458" s="2">
        <f>IF(H458&lt;&gt;"Paid","Outstanding",IF(J458=0,"On Time","Late"))</f>
        <v/>
      </c>
    </row>
    <row r="459">
      <c r="A459" s="2">
        <f>Raw_Data!A459</f>
        <v/>
      </c>
      <c r="B459" s="7">
        <f>Raw_Data!B459</f>
        <v/>
      </c>
      <c r="C459" s="2">
        <f>Raw_Data!C459</f>
        <v/>
      </c>
      <c r="D459" s="2">
        <f>Raw_Data!D459</f>
        <v/>
      </c>
      <c r="E459" s="8">
        <f>Raw_Data!F459</f>
        <v/>
      </c>
      <c r="F459" s="7">
        <f>Raw_Data!H459</f>
        <v/>
      </c>
      <c r="G459" s="7">
        <f>Raw_Data!I459</f>
        <v/>
      </c>
      <c r="H459" s="2">
        <f>Raw_Data!J459</f>
        <v/>
      </c>
      <c r="I459" s="2">
        <f>IF(G459="",0,G459-B459)</f>
        <v/>
      </c>
      <c r="J459" s="2">
        <f>IF(H459="Paid",MAX(0,G459-F459),MAX(0,DATE(2026,12,31)-F459))</f>
        <v/>
      </c>
      <c r="K459" s="8">
        <f>IF(H459="Paid",0,E459)</f>
        <v/>
      </c>
      <c r="L459" s="2">
        <f>IF(J459=0,"Current",IF(J459&lt;=30,"1-30 Days",IF(J459&lt;=60,"31-60 Days",IF(J459&lt;=90,"61-90 Days","90+ Days"))))</f>
        <v/>
      </c>
      <c r="M459" s="8">
        <f>IF(Raw_Data!K459="Yes",Raw_Data!F459*Raw_Data!L459,0)</f>
        <v/>
      </c>
      <c r="N459" s="2">
        <f>IF(H459&lt;&gt;"Paid","Outstanding",IF(J459=0,"On Time","Late"))</f>
        <v/>
      </c>
    </row>
    <row r="460">
      <c r="A460" s="2">
        <f>Raw_Data!A460</f>
        <v/>
      </c>
      <c r="B460" s="7">
        <f>Raw_Data!B460</f>
        <v/>
      </c>
      <c r="C460" s="2">
        <f>Raw_Data!C460</f>
        <v/>
      </c>
      <c r="D460" s="2">
        <f>Raw_Data!D460</f>
        <v/>
      </c>
      <c r="E460" s="8">
        <f>Raw_Data!F460</f>
        <v/>
      </c>
      <c r="F460" s="7">
        <f>Raw_Data!H460</f>
        <v/>
      </c>
      <c r="G460" s="7">
        <f>Raw_Data!I460</f>
        <v/>
      </c>
      <c r="H460" s="2">
        <f>Raw_Data!J460</f>
        <v/>
      </c>
      <c r="I460" s="2">
        <f>IF(G460="",0,G460-B460)</f>
        <v/>
      </c>
      <c r="J460" s="2">
        <f>IF(H460="Paid",MAX(0,G460-F460),MAX(0,DATE(2026,12,31)-F460))</f>
        <v/>
      </c>
      <c r="K460" s="8">
        <f>IF(H460="Paid",0,E460)</f>
        <v/>
      </c>
      <c r="L460" s="2">
        <f>IF(J460=0,"Current",IF(J460&lt;=30,"1-30 Days",IF(J460&lt;=60,"31-60 Days",IF(J460&lt;=90,"61-90 Days","90+ Days"))))</f>
        <v/>
      </c>
      <c r="M460" s="8">
        <f>IF(Raw_Data!K460="Yes",Raw_Data!F460*Raw_Data!L460,0)</f>
        <v/>
      </c>
      <c r="N460" s="2">
        <f>IF(H460&lt;&gt;"Paid","Outstanding",IF(J460=0,"On Time","Late"))</f>
        <v/>
      </c>
    </row>
    <row r="461">
      <c r="A461" s="2">
        <f>Raw_Data!A461</f>
        <v/>
      </c>
      <c r="B461" s="7">
        <f>Raw_Data!B461</f>
        <v/>
      </c>
      <c r="C461" s="2">
        <f>Raw_Data!C461</f>
        <v/>
      </c>
      <c r="D461" s="2">
        <f>Raw_Data!D461</f>
        <v/>
      </c>
      <c r="E461" s="8">
        <f>Raw_Data!F461</f>
        <v/>
      </c>
      <c r="F461" s="7">
        <f>Raw_Data!H461</f>
        <v/>
      </c>
      <c r="G461" s="7">
        <f>Raw_Data!I461</f>
        <v/>
      </c>
      <c r="H461" s="2">
        <f>Raw_Data!J461</f>
        <v/>
      </c>
      <c r="I461" s="2">
        <f>IF(G461="",0,G461-B461)</f>
        <v/>
      </c>
      <c r="J461" s="2">
        <f>IF(H461="Paid",MAX(0,G461-F461),MAX(0,DATE(2026,12,31)-F461))</f>
        <v/>
      </c>
      <c r="K461" s="8">
        <f>IF(H461="Paid",0,E461)</f>
        <v/>
      </c>
      <c r="L461" s="2">
        <f>IF(J461=0,"Current",IF(J461&lt;=30,"1-30 Days",IF(J461&lt;=60,"31-60 Days",IF(J461&lt;=90,"61-90 Days","90+ Days"))))</f>
        <v/>
      </c>
      <c r="M461" s="8">
        <f>IF(Raw_Data!K461="Yes",Raw_Data!F461*Raw_Data!L461,0)</f>
        <v/>
      </c>
      <c r="N461" s="2">
        <f>IF(H461&lt;&gt;"Paid","Outstanding",IF(J461=0,"On Time","Late"))</f>
        <v/>
      </c>
    </row>
    <row r="462">
      <c r="A462" s="2">
        <f>Raw_Data!A462</f>
        <v/>
      </c>
      <c r="B462" s="7">
        <f>Raw_Data!B462</f>
        <v/>
      </c>
      <c r="C462" s="2">
        <f>Raw_Data!C462</f>
        <v/>
      </c>
      <c r="D462" s="2">
        <f>Raw_Data!D462</f>
        <v/>
      </c>
      <c r="E462" s="8">
        <f>Raw_Data!F462</f>
        <v/>
      </c>
      <c r="F462" s="7">
        <f>Raw_Data!H462</f>
        <v/>
      </c>
      <c r="G462" s="7">
        <f>Raw_Data!I462</f>
        <v/>
      </c>
      <c r="H462" s="2">
        <f>Raw_Data!J462</f>
        <v/>
      </c>
      <c r="I462" s="2">
        <f>IF(G462="",0,G462-B462)</f>
        <v/>
      </c>
      <c r="J462" s="2">
        <f>IF(H462="Paid",MAX(0,G462-F462),MAX(0,DATE(2026,12,31)-F462))</f>
        <v/>
      </c>
      <c r="K462" s="8">
        <f>IF(H462="Paid",0,E462)</f>
        <v/>
      </c>
      <c r="L462" s="2">
        <f>IF(J462=0,"Current",IF(J462&lt;=30,"1-30 Days",IF(J462&lt;=60,"31-60 Days",IF(J462&lt;=90,"61-90 Days","90+ Days"))))</f>
        <v/>
      </c>
      <c r="M462" s="8">
        <f>IF(Raw_Data!K462="Yes",Raw_Data!F462*Raw_Data!L462,0)</f>
        <v/>
      </c>
      <c r="N462" s="2">
        <f>IF(H462&lt;&gt;"Paid","Outstanding",IF(J462=0,"On Time","Late"))</f>
        <v/>
      </c>
    </row>
    <row r="463">
      <c r="A463" s="2">
        <f>Raw_Data!A463</f>
        <v/>
      </c>
      <c r="B463" s="7">
        <f>Raw_Data!B463</f>
        <v/>
      </c>
      <c r="C463" s="2">
        <f>Raw_Data!C463</f>
        <v/>
      </c>
      <c r="D463" s="2">
        <f>Raw_Data!D463</f>
        <v/>
      </c>
      <c r="E463" s="8">
        <f>Raw_Data!F463</f>
        <v/>
      </c>
      <c r="F463" s="7">
        <f>Raw_Data!H463</f>
        <v/>
      </c>
      <c r="G463" s="7">
        <f>Raw_Data!I463</f>
        <v/>
      </c>
      <c r="H463" s="2">
        <f>Raw_Data!J463</f>
        <v/>
      </c>
      <c r="I463" s="2">
        <f>IF(G463="",0,G463-B463)</f>
        <v/>
      </c>
      <c r="J463" s="2">
        <f>IF(H463="Paid",MAX(0,G463-F463),MAX(0,DATE(2026,12,31)-F463))</f>
        <v/>
      </c>
      <c r="K463" s="8">
        <f>IF(H463="Paid",0,E463)</f>
        <v/>
      </c>
      <c r="L463" s="2">
        <f>IF(J463=0,"Current",IF(J463&lt;=30,"1-30 Days",IF(J463&lt;=60,"31-60 Days",IF(J463&lt;=90,"61-90 Days","90+ Days"))))</f>
        <v/>
      </c>
      <c r="M463" s="8">
        <f>IF(Raw_Data!K463="Yes",Raw_Data!F463*Raw_Data!L463,0)</f>
        <v/>
      </c>
      <c r="N463" s="2">
        <f>IF(H463&lt;&gt;"Paid","Outstanding",IF(J463=0,"On Time","Late"))</f>
        <v/>
      </c>
    </row>
    <row r="464">
      <c r="A464" s="2">
        <f>Raw_Data!A464</f>
        <v/>
      </c>
      <c r="B464" s="7">
        <f>Raw_Data!B464</f>
        <v/>
      </c>
      <c r="C464" s="2">
        <f>Raw_Data!C464</f>
        <v/>
      </c>
      <c r="D464" s="2">
        <f>Raw_Data!D464</f>
        <v/>
      </c>
      <c r="E464" s="8">
        <f>Raw_Data!F464</f>
        <v/>
      </c>
      <c r="F464" s="7">
        <f>Raw_Data!H464</f>
        <v/>
      </c>
      <c r="G464" s="7">
        <f>Raw_Data!I464</f>
        <v/>
      </c>
      <c r="H464" s="2">
        <f>Raw_Data!J464</f>
        <v/>
      </c>
      <c r="I464" s="2">
        <f>IF(G464="",0,G464-B464)</f>
        <v/>
      </c>
      <c r="J464" s="2">
        <f>IF(H464="Paid",MAX(0,G464-F464),MAX(0,DATE(2026,12,31)-F464))</f>
        <v/>
      </c>
      <c r="K464" s="8">
        <f>IF(H464="Paid",0,E464)</f>
        <v/>
      </c>
      <c r="L464" s="2">
        <f>IF(J464=0,"Current",IF(J464&lt;=30,"1-30 Days",IF(J464&lt;=60,"31-60 Days",IF(J464&lt;=90,"61-90 Days","90+ Days"))))</f>
        <v/>
      </c>
      <c r="M464" s="8">
        <f>IF(Raw_Data!K464="Yes",Raw_Data!F464*Raw_Data!L464,0)</f>
        <v/>
      </c>
      <c r="N464" s="2">
        <f>IF(H464&lt;&gt;"Paid","Outstanding",IF(J464=0,"On Time","Late"))</f>
        <v/>
      </c>
    </row>
    <row r="465">
      <c r="A465" s="2">
        <f>Raw_Data!A465</f>
        <v/>
      </c>
      <c r="B465" s="7">
        <f>Raw_Data!B465</f>
        <v/>
      </c>
      <c r="C465" s="2">
        <f>Raw_Data!C465</f>
        <v/>
      </c>
      <c r="D465" s="2">
        <f>Raw_Data!D465</f>
        <v/>
      </c>
      <c r="E465" s="8">
        <f>Raw_Data!F465</f>
        <v/>
      </c>
      <c r="F465" s="7">
        <f>Raw_Data!H465</f>
        <v/>
      </c>
      <c r="G465" s="7">
        <f>Raw_Data!I465</f>
        <v/>
      </c>
      <c r="H465" s="2">
        <f>Raw_Data!J465</f>
        <v/>
      </c>
      <c r="I465" s="2">
        <f>IF(G465="",0,G465-B465)</f>
        <v/>
      </c>
      <c r="J465" s="2">
        <f>IF(H465="Paid",MAX(0,G465-F465),MAX(0,DATE(2026,12,31)-F465))</f>
        <v/>
      </c>
      <c r="K465" s="8">
        <f>IF(H465="Paid",0,E465)</f>
        <v/>
      </c>
      <c r="L465" s="2">
        <f>IF(J465=0,"Current",IF(J465&lt;=30,"1-30 Days",IF(J465&lt;=60,"31-60 Days",IF(J465&lt;=90,"61-90 Days","90+ Days"))))</f>
        <v/>
      </c>
      <c r="M465" s="8">
        <f>IF(Raw_Data!K465="Yes",Raw_Data!F465*Raw_Data!L465,0)</f>
        <v/>
      </c>
      <c r="N465" s="2">
        <f>IF(H465&lt;&gt;"Paid","Outstanding",IF(J465=0,"On Time","Late"))</f>
        <v/>
      </c>
    </row>
    <row r="466">
      <c r="A466" s="2">
        <f>Raw_Data!A466</f>
        <v/>
      </c>
      <c r="B466" s="7">
        <f>Raw_Data!B466</f>
        <v/>
      </c>
      <c r="C466" s="2">
        <f>Raw_Data!C466</f>
        <v/>
      </c>
      <c r="D466" s="2">
        <f>Raw_Data!D466</f>
        <v/>
      </c>
      <c r="E466" s="8">
        <f>Raw_Data!F466</f>
        <v/>
      </c>
      <c r="F466" s="7">
        <f>Raw_Data!H466</f>
        <v/>
      </c>
      <c r="G466" s="7">
        <f>Raw_Data!I466</f>
        <v/>
      </c>
      <c r="H466" s="2">
        <f>Raw_Data!J466</f>
        <v/>
      </c>
      <c r="I466" s="2">
        <f>IF(G466="",0,G466-B466)</f>
        <v/>
      </c>
      <c r="J466" s="2">
        <f>IF(H466="Paid",MAX(0,G466-F466),MAX(0,DATE(2026,12,31)-F466))</f>
        <v/>
      </c>
      <c r="K466" s="8">
        <f>IF(H466="Paid",0,E466)</f>
        <v/>
      </c>
      <c r="L466" s="2">
        <f>IF(J466=0,"Current",IF(J466&lt;=30,"1-30 Days",IF(J466&lt;=60,"31-60 Days",IF(J466&lt;=90,"61-90 Days","90+ Days"))))</f>
        <v/>
      </c>
      <c r="M466" s="8">
        <f>IF(Raw_Data!K466="Yes",Raw_Data!F466*Raw_Data!L466,0)</f>
        <v/>
      </c>
      <c r="N466" s="2">
        <f>IF(H466&lt;&gt;"Paid","Outstanding",IF(J466=0,"On Time","Late"))</f>
        <v/>
      </c>
    </row>
    <row r="467">
      <c r="A467" s="2">
        <f>Raw_Data!A467</f>
        <v/>
      </c>
      <c r="B467" s="7">
        <f>Raw_Data!B467</f>
        <v/>
      </c>
      <c r="C467" s="2">
        <f>Raw_Data!C467</f>
        <v/>
      </c>
      <c r="D467" s="2">
        <f>Raw_Data!D467</f>
        <v/>
      </c>
      <c r="E467" s="8">
        <f>Raw_Data!F467</f>
        <v/>
      </c>
      <c r="F467" s="7">
        <f>Raw_Data!H467</f>
        <v/>
      </c>
      <c r="G467" s="7">
        <f>Raw_Data!I467</f>
        <v/>
      </c>
      <c r="H467" s="2">
        <f>Raw_Data!J467</f>
        <v/>
      </c>
      <c r="I467" s="2">
        <f>IF(G467="",0,G467-B467)</f>
        <v/>
      </c>
      <c r="J467" s="2">
        <f>IF(H467="Paid",MAX(0,G467-F467),MAX(0,DATE(2026,12,31)-F467))</f>
        <v/>
      </c>
      <c r="K467" s="8">
        <f>IF(H467="Paid",0,E467)</f>
        <v/>
      </c>
      <c r="L467" s="2">
        <f>IF(J467=0,"Current",IF(J467&lt;=30,"1-30 Days",IF(J467&lt;=60,"31-60 Days",IF(J467&lt;=90,"61-90 Days","90+ Days"))))</f>
        <v/>
      </c>
      <c r="M467" s="8">
        <f>IF(Raw_Data!K467="Yes",Raw_Data!F467*Raw_Data!L467,0)</f>
        <v/>
      </c>
      <c r="N467" s="2">
        <f>IF(H467&lt;&gt;"Paid","Outstanding",IF(J467=0,"On Time","Late"))</f>
        <v/>
      </c>
    </row>
    <row r="468">
      <c r="A468" s="2">
        <f>Raw_Data!A468</f>
        <v/>
      </c>
      <c r="B468" s="7">
        <f>Raw_Data!B468</f>
        <v/>
      </c>
      <c r="C468" s="2">
        <f>Raw_Data!C468</f>
        <v/>
      </c>
      <c r="D468" s="2">
        <f>Raw_Data!D468</f>
        <v/>
      </c>
      <c r="E468" s="8">
        <f>Raw_Data!F468</f>
        <v/>
      </c>
      <c r="F468" s="7">
        <f>Raw_Data!H468</f>
        <v/>
      </c>
      <c r="G468" s="7">
        <f>Raw_Data!I468</f>
        <v/>
      </c>
      <c r="H468" s="2">
        <f>Raw_Data!J468</f>
        <v/>
      </c>
      <c r="I468" s="2">
        <f>IF(G468="",0,G468-B468)</f>
        <v/>
      </c>
      <c r="J468" s="2">
        <f>IF(H468="Paid",MAX(0,G468-F468),MAX(0,DATE(2026,12,31)-F468))</f>
        <v/>
      </c>
      <c r="K468" s="8">
        <f>IF(H468="Paid",0,E468)</f>
        <v/>
      </c>
      <c r="L468" s="2">
        <f>IF(J468=0,"Current",IF(J468&lt;=30,"1-30 Days",IF(J468&lt;=60,"31-60 Days",IF(J468&lt;=90,"61-90 Days","90+ Days"))))</f>
        <v/>
      </c>
      <c r="M468" s="8">
        <f>IF(Raw_Data!K468="Yes",Raw_Data!F468*Raw_Data!L468,0)</f>
        <v/>
      </c>
      <c r="N468" s="2">
        <f>IF(H468&lt;&gt;"Paid","Outstanding",IF(J468=0,"On Time","Late"))</f>
        <v/>
      </c>
    </row>
    <row r="469">
      <c r="A469" s="2">
        <f>Raw_Data!A469</f>
        <v/>
      </c>
      <c r="B469" s="7">
        <f>Raw_Data!B469</f>
        <v/>
      </c>
      <c r="C469" s="2">
        <f>Raw_Data!C469</f>
        <v/>
      </c>
      <c r="D469" s="2">
        <f>Raw_Data!D469</f>
        <v/>
      </c>
      <c r="E469" s="8">
        <f>Raw_Data!F469</f>
        <v/>
      </c>
      <c r="F469" s="7">
        <f>Raw_Data!H469</f>
        <v/>
      </c>
      <c r="G469" s="7">
        <f>Raw_Data!I469</f>
        <v/>
      </c>
      <c r="H469" s="2">
        <f>Raw_Data!J469</f>
        <v/>
      </c>
      <c r="I469" s="2">
        <f>IF(G469="",0,G469-B469)</f>
        <v/>
      </c>
      <c r="J469" s="2">
        <f>IF(H469="Paid",MAX(0,G469-F469),MAX(0,DATE(2026,12,31)-F469))</f>
        <v/>
      </c>
      <c r="K469" s="8">
        <f>IF(H469="Paid",0,E469)</f>
        <v/>
      </c>
      <c r="L469" s="2">
        <f>IF(J469=0,"Current",IF(J469&lt;=30,"1-30 Days",IF(J469&lt;=60,"31-60 Days",IF(J469&lt;=90,"61-90 Days","90+ Days"))))</f>
        <v/>
      </c>
      <c r="M469" s="8">
        <f>IF(Raw_Data!K469="Yes",Raw_Data!F469*Raw_Data!L469,0)</f>
        <v/>
      </c>
      <c r="N469" s="2">
        <f>IF(H469&lt;&gt;"Paid","Outstanding",IF(J469=0,"On Time","Late"))</f>
        <v/>
      </c>
    </row>
    <row r="470">
      <c r="A470" s="2">
        <f>Raw_Data!A470</f>
        <v/>
      </c>
      <c r="B470" s="7">
        <f>Raw_Data!B470</f>
        <v/>
      </c>
      <c r="C470" s="2">
        <f>Raw_Data!C470</f>
        <v/>
      </c>
      <c r="D470" s="2">
        <f>Raw_Data!D470</f>
        <v/>
      </c>
      <c r="E470" s="8">
        <f>Raw_Data!F470</f>
        <v/>
      </c>
      <c r="F470" s="7">
        <f>Raw_Data!H470</f>
        <v/>
      </c>
      <c r="G470" s="7">
        <f>Raw_Data!I470</f>
        <v/>
      </c>
      <c r="H470" s="2">
        <f>Raw_Data!J470</f>
        <v/>
      </c>
      <c r="I470" s="2">
        <f>IF(G470="",0,G470-B470)</f>
        <v/>
      </c>
      <c r="J470" s="2">
        <f>IF(H470="Paid",MAX(0,G470-F470),MAX(0,DATE(2026,12,31)-F470))</f>
        <v/>
      </c>
      <c r="K470" s="8">
        <f>IF(H470="Paid",0,E470)</f>
        <v/>
      </c>
      <c r="L470" s="2">
        <f>IF(J470=0,"Current",IF(J470&lt;=30,"1-30 Days",IF(J470&lt;=60,"31-60 Days",IF(J470&lt;=90,"61-90 Days","90+ Days"))))</f>
        <v/>
      </c>
      <c r="M470" s="8">
        <f>IF(Raw_Data!K470="Yes",Raw_Data!F470*Raw_Data!L470,0)</f>
        <v/>
      </c>
      <c r="N470" s="2">
        <f>IF(H470&lt;&gt;"Paid","Outstanding",IF(J470=0,"On Time","Late"))</f>
        <v/>
      </c>
    </row>
    <row r="471">
      <c r="A471" s="2">
        <f>Raw_Data!A471</f>
        <v/>
      </c>
      <c r="B471" s="7">
        <f>Raw_Data!B471</f>
        <v/>
      </c>
      <c r="C471" s="2">
        <f>Raw_Data!C471</f>
        <v/>
      </c>
      <c r="D471" s="2">
        <f>Raw_Data!D471</f>
        <v/>
      </c>
      <c r="E471" s="8">
        <f>Raw_Data!F471</f>
        <v/>
      </c>
      <c r="F471" s="7">
        <f>Raw_Data!H471</f>
        <v/>
      </c>
      <c r="G471" s="7">
        <f>Raw_Data!I471</f>
        <v/>
      </c>
      <c r="H471" s="2">
        <f>Raw_Data!J471</f>
        <v/>
      </c>
      <c r="I471" s="2">
        <f>IF(G471="",0,G471-B471)</f>
        <v/>
      </c>
      <c r="J471" s="2">
        <f>IF(H471="Paid",MAX(0,G471-F471),MAX(0,DATE(2026,12,31)-F471))</f>
        <v/>
      </c>
      <c r="K471" s="8">
        <f>IF(H471="Paid",0,E471)</f>
        <v/>
      </c>
      <c r="L471" s="2">
        <f>IF(J471=0,"Current",IF(J471&lt;=30,"1-30 Days",IF(J471&lt;=60,"31-60 Days",IF(J471&lt;=90,"61-90 Days","90+ Days"))))</f>
        <v/>
      </c>
      <c r="M471" s="8">
        <f>IF(Raw_Data!K471="Yes",Raw_Data!F471*Raw_Data!L471,0)</f>
        <v/>
      </c>
      <c r="N471" s="2">
        <f>IF(H471&lt;&gt;"Paid","Outstanding",IF(J471=0,"On Time","Late"))</f>
        <v/>
      </c>
    </row>
    <row r="472">
      <c r="A472" s="2">
        <f>Raw_Data!A472</f>
        <v/>
      </c>
      <c r="B472" s="7">
        <f>Raw_Data!B472</f>
        <v/>
      </c>
      <c r="C472" s="2">
        <f>Raw_Data!C472</f>
        <v/>
      </c>
      <c r="D472" s="2">
        <f>Raw_Data!D472</f>
        <v/>
      </c>
      <c r="E472" s="8">
        <f>Raw_Data!F472</f>
        <v/>
      </c>
      <c r="F472" s="7">
        <f>Raw_Data!H472</f>
        <v/>
      </c>
      <c r="G472" s="7">
        <f>Raw_Data!I472</f>
        <v/>
      </c>
      <c r="H472" s="2">
        <f>Raw_Data!J472</f>
        <v/>
      </c>
      <c r="I472" s="2">
        <f>IF(G472="",0,G472-B472)</f>
        <v/>
      </c>
      <c r="J472" s="2">
        <f>IF(H472="Paid",MAX(0,G472-F472),MAX(0,DATE(2026,12,31)-F472))</f>
        <v/>
      </c>
      <c r="K472" s="8">
        <f>IF(H472="Paid",0,E472)</f>
        <v/>
      </c>
      <c r="L472" s="2">
        <f>IF(J472=0,"Current",IF(J472&lt;=30,"1-30 Days",IF(J472&lt;=60,"31-60 Days",IF(J472&lt;=90,"61-90 Days","90+ Days"))))</f>
        <v/>
      </c>
      <c r="M472" s="8">
        <f>IF(Raw_Data!K472="Yes",Raw_Data!F472*Raw_Data!L472,0)</f>
        <v/>
      </c>
      <c r="N472" s="2">
        <f>IF(H472&lt;&gt;"Paid","Outstanding",IF(J472=0,"On Time","Late"))</f>
        <v/>
      </c>
    </row>
    <row r="473">
      <c r="A473" s="2">
        <f>Raw_Data!A473</f>
        <v/>
      </c>
      <c r="B473" s="7">
        <f>Raw_Data!B473</f>
        <v/>
      </c>
      <c r="C473" s="2">
        <f>Raw_Data!C473</f>
        <v/>
      </c>
      <c r="D473" s="2">
        <f>Raw_Data!D473</f>
        <v/>
      </c>
      <c r="E473" s="8">
        <f>Raw_Data!F473</f>
        <v/>
      </c>
      <c r="F473" s="7">
        <f>Raw_Data!H473</f>
        <v/>
      </c>
      <c r="G473" s="7">
        <f>Raw_Data!I473</f>
        <v/>
      </c>
      <c r="H473" s="2">
        <f>Raw_Data!J473</f>
        <v/>
      </c>
      <c r="I473" s="2">
        <f>IF(G473="",0,G473-B473)</f>
        <v/>
      </c>
      <c r="J473" s="2">
        <f>IF(H473="Paid",MAX(0,G473-F473),MAX(0,DATE(2026,12,31)-F473))</f>
        <v/>
      </c>
      <c r="K473" s="8">
        <f>IF(H473="Paid",0,E473)</f>
        <v/>
      </c>
      <c r="L473" s="2">
        <f>IF(J473=0,"Current",IF(J473&lt;=30,"1-30 Days",IF(J473&lt;=60,"31-60 Days",IF(J473&lt;=90,"61-90 Days","90+ Days"))))</f>
        <v/>
      </c>
      <c r="M473" s="8">
        <f>IF(Raw_Data!K473="Yes",Raw_Data!F473*Raw_Data!L473,0)</f>
        <v/>
      </c>
      <c r="N473" s="2">
        <f>IF(H473&lt;&gt;"Paid","Outstanding",IF(J473=0,"On Time","Late"))</f>
        <v/>
      </c>
    </row>
    <row r="474">
      <c r="A474" s="2">
        <f>Raw_Data!A474</f>
        <v/>
      </c>
      <c r="B474" s="7">
        <f>Raw_Data!B474</f>
        <v/>
      </c>
      <c r="C474" s="2">
        <f>Raw_Data!C474</f>
        <v/>
      </c>
      <c r="D474" s="2">
        <f>Raw_Data!D474</f>
        <v/>
      </c>
      <c r="E474" s="8">
        <f>Raw_Data!F474</f>
        <v/>
      </c>
      <c r="F474" s="7">
        <f>Raw_Data!H474</f>
        <v/>
      </c>
      <c r="G474" s="7">
        <f>Raw_Data!I474</f>
        <v/>
      </c>
      <c r="H474" s="2">
        <f>Raw_Data!J474</f>
        <v/>
      </c>
      <c r="I474" s="2">
        <f>IF(G474="",0,G474-B474)</f>
        <v/>
      </c>
      <c r="J474" s="2">
        <f>IF(H474="Paid",MAX(0,G474-F474),MAX(0,DATE(2026,12,31)-F474))</f>
        <v/>
      </c>
      <c r="K474" s="8">
        <f>IF(H474="Paid",0,E474)</f>
        <v/>
      </c>
      <c r="L474" s="2">
        <f>IF(J474=0,"Current",IF(J474&lt;=30,"1-30 Days",IF(J474&lt;=60,"31-60 Days",IF(J474&lt;=90,"61-90 Days","90+ Days"))))</f>
        <v/>
      </c>
      <c r="M474" s="8">
        <f>IF(Raw_Data!K474="Yes",Raw_Data!F474*Raw_Data!L474,0)</f>
        <v/>
      </c>
      <c r="N474" s="2">
        <f>IF(H474&lt;&gt;"Paid","Outstanding",IF(J474=0,"On Time","Late"))</f>
        <v/>
      </c>
    </row>
    <row r="475">
      <c r="A475" s="2">
        <f>Raw_Data!A475</f>
        <v/>
      </c>
      <c r="B475" s="7">
        <f>Raw_Data!B475</f>
        <v/>
      </c>
      <c r="C475" s="2">
        <f>Raw_Data!C475</f>
        <v/>
      </c>
      <c r="D475" s="2">
        <f>Raw_Data!D475</f>
        <v/>
      </c>
      <c r="E475" s="8">
        <f>Raw_Data!F475</f>
        <v/>
      </c>
      <c r="F475" s="7">
        <f>Raw_Data!H475</f>
        <v/>
      </c>
      <c r="G475" s="7">
        <f>Raw_Data!I475</f>
        <v/>
      </c>
      <c r="H475" s="2">
        <f>Raw_Data!J475</f>
        <v/>
      </c>
      <c r="I475" s="2">
        <f>IF(G475="",0,G475-B475)</f>
        <v/>
      </c>
      <c r="J475" s="2">
        <f>IF(H475="Paid",MAX(0,G475-F475),MAX(0,DATE(2026,12,31)-F475))</f>
        <v/>
      </c>
      <c r="K475" s="8">
        <f>IF(H475="Paid",0,E475)</f>
        <v/>
      </c>
      <c r="L475" s="2">
        <f>IF(J475=0,"Current",IF(J475&lt;=30,"1-30 Days",IF(J475&lt;=60,"31-60 Days",IF(J475&lt;=90,"61-90 Days","90+ Days"))))</f>
        <v/>
      </c>
      <c r="M475" s="8">
        <f>IF(Raw_Data!K475="Yes",Raw_Data!F475*Raw_Data!L475,0)</f>
        <v/>
      </c>
      <c r="N475" s="2">
        <f>IF(H475&lt;&gt;"Paid","Outstanding",IF(J475=0,"On Time","Late"))</f>
        <v/>
      </c>
    </row>
    <row r="476">
      <c r="A476" s="2">
        <f>Raw_Data!A476</f>
        <v/>
      </c>
      <c r="B476" s="7">
        <f>Raw_Data!B476</f>
        <v/>
      </c>
      <c r="C476" s="2">
        <f>Raw_Data!C476</f>
        <v/>
      </c>
      <c r="D476" s="2">
        <f>Raw_Data!D476</f>
        <v/>
      </c>
      <c r="E476" s="8">
        <f>Raw_Data!F476</f>
        <v/>
      </c>
      <c r="F476" s="7">
        <f>Raw_Data!H476</f>
        <v/>
      </c>
      <c r="G476" s="7">
        <f>Raw_Data!I476</f>
        <v/>
      </c>
      <c r="H476" s="2">
        <f>Raw_Data!J476</f>
        <v/>
      </c>
      <c r="I476" s="2">
        <f>IF(G476="",0,G476-B476)</f>
        <v/>
      </c>
      <c r="J476" s="2">
        <f>IF(H476="Paid",MAX(0,G476-F476),MAX(0,DATE(2026,12,31)-F476))</f>
        <v/>
      </c>
      <c r="K476" s="8">
        <f>IF(H476="Paid",0,E476)</f>
        <v/>
      </c>
      <c r="L476" s="2">
        <f>IF(J476=0,"Current",IF(J476&lt;=30,"1-30 Days",IF(J476&lt;=60,"31-60 Days",IF(J476&lt;=90,"61-90 Days","90+ Days"))))</f>
        <v/>
      </c>
      <c r="M476" s="8">
        <f>IF(Raw_Data!K476="Yes",Raw_Data!F476*Raw_Data!L476,0)</f>
        <v/>
      </c>
      <c r="N476" s="2">
        <f>IF(H476&lt;&gt;"Paid","Outstanding",IF(J476=0,"On Time","Late"))</f>
        <v/>
      </c>
    </row>
    <row r="477">
      <c r="A477" s="2">
        <f>Raw_Data!A477</f>
        <v/>
      </c>
      <c r="B477" s="7">
        <f>Raw_Data!B477</f>
        <v/>
      </c>
      <c r="C477" s="2">
        <f>Raw_Data!C477</f>
        <v/>
      </c>
      <c r="D477" s="2">
        <f>Raw_Data!D477</f>
        <v/>
      </c>
      <c r="E477" s="8">
        <f>Raw_Data!F477</f>
        <v/>
      </c>
      <c r="F477" s="7">
        <f>Raw_Data!H477</f>
        <v/>
      </c>
      <c r="G477" s="7">
        <f>Raw_Data!I477</f>
        <v/>
      </c>
      <c r="H477" s="2">
        <f>Raw_Data!J477</f>
        <v/>
      </c>
      <c r="I477" s="2">
        <f>IF(G477="",0,G477-B477)</f>
        <v/>
      </c>
      <c r="J477" s="2">
        <f>IF(H477="Paid",MAX(0,G477-F477),MAX(0,DATE(2026,12,31)-F477))</f>
        <v/>
      </c>
      <c r="K477" s="8">
        <f>IF(H477="Paid",0,E477)</f>
        <v/>
      </c>
      <c r="L477" s="2">
        <f>IF(J477=0,"Current",IF(J477&lt;=30,"1-30 Days",IF(J477&lt;=60,"31-60 Days",IF(J477&lt;=90,"61-90 Days","90+ Days"))))</f>
        <v/>
      </c>
      <c r="M477" s="8">
        <f>IF(Raw_Data!K477="Yes",Raw_Data!F477*Raw_Data!L477,0)</f>
        <v/>
      </c>
      <c r="N477" s="2">
        <f>IF(H477&lt;&gt;"Paid","Outstanding",IF(J477=0,"On Time","Late"))</f>
        <v/>
      </c>
    </row>
    <row r="478">
      <c r="A478" s="2">
        <f>Raw_Data!A478</f>
        <v/>
      </c>
      <c r="B478" s="7">
        <f>Raw_Data!B478</f>
        <v/>
      </c>
      <c r="C478" s="2">
        <f>Raw_Data!C478</f>
        <v/>
      </c>
      <c r="D478" s="2">
        <f>Raw_Data!D478</f>
        <v/>
      </c>
      <c r="E478" s="8">
        <f>Raw_Data!F478</f>
        <v/>
      </c>
      <c r="F478" s="7">
        <f>Raw_Data!H478</f>
        <v/>
      </c>
      <c r="G478" s="7">
        <f>Raw_Data!I478</f>
        <v/>
      </c>
      <c r="H478" s="2">
        <f>Raw_Data!J478</f>
        <v/>
      </c>
      <c r="I478" s="2">
        <f>IF(G478="",0,G478-B478)</f>
        <v/>
      </c>
      <c r="J478" s="2">
        <f>IF(H478="Paid",MAX(0,G478-F478),MAX(0,DATE(2026,12,31)-F478))</f>
        <v/>
      </c>
      <c r="K478" s="8">
        <f>IF(H478="Paid",0,E478)</f>
        <v/>
      </c>
      <c r="L478" s="2">
        <f>IF(J478=0,"Current",IF(J478&lt;=30,"1-30 Days",IF(J478&lt;=60,"31-60 Days",IF(J478&lt;=90,"61-90 Days","90+ Days"))))</f>
        <v/>
      </c>
      <c r="M478" s="8">
        <f>IF(Raw_Data!K478="Yes",Raw_Data!F478*Raw_Data!L478,0)</f>
        <v/>
      </c>
      <c r="N478" s="2">
        <f>IF(H478&lt;&gt;"Paid","Outstanding",IF(J478=0,"On Time","Late"))</f>
        <v/>
      </c>
    </row>
    <row r="479">
      <c r="A479" s="2">
        <f>Raw_Data!A479</f>
        <v/>
      </c>
      <c r="B479" s="7">
        <f>Raw_Data!B479</f>
        <v/>
      </c>
      <c r="C479" s="2">
        <f>Raw_Data!C479</f>
        <v/>
      </c>
      <c r="D479" s="2">
        <f>Raw_Data!D479</f>
        <v/>
      </c>
      <c r="E479" s="8">
        <f>Raw_Data!F479</f>
        <v/>
      </c>
      <c r="F479" s="7">
        <f>Raw_Data!H479</f>
        <v/>
      </c>
      <c r="G479" s="7">
        <f>Raw_Data!I479</f>
        <v/>
      </c>
      <c r="H479" s="2">
        <f>Raw_Data!J479</f>
        <v/>
      </c>
      <c r="I479" s="2">
        <f>IF(G479="",0,G479-B479)</f>
        <v/>
      </c>
      <c r="J479" s="2">
        <f>IF(H479="Paid",MAX(0,G479-F479),MAX(0,DATE(2026,12,31)-F479))</f>
        <v/>
      </c>
      <c r="K479" s="8">
        <f>IF(H479="Paid",0,E479)</f>
        <v/>
      </c>
      <c r="L479" s="2">
        <f>IF(J479=0,"Current",IF(J479&lt;=30,"1-30 Days",IF(J479&lt;=60,"31-60 Days",IF(J479&lt;=90,"61-90 Days","90+ Days"))))</f>
        <v/>
      </c>
      <c r="M479" s="8">
        <f>IF(Raw_Data!K479="Yes",Raw_Data!F479*Raw_Data!L479,0)</f>
        <v/>
      </c>
      <c r="N479" s="2">
        <f>IF(H479&lt;&gt;"Paid","Outstanding",IF(J479=0,"On Time","Late"))</f>
        <v/>
      </c>
    </row>
    <row r="480">
      <c r="A480" s="2">
        <f>Raw_Data!A480</f>
        <v/>
      </c>
      <c r="B480" s="7">
        <f>Raw_Data!B480</f>
        <v/>
      </c>
      <c r="C480" s="2">
        <f>Raw_Data!C480</f>
        <v/>
      </c>
      <c r="D480" s="2">
        <f>Raw_Data!D480</f>
        <v/>
      </c>
      <c r="E480" s="8">
        <f>Raw_Data!F480</f>
        <v/>
      </c>
      <c r="F480" s="7">
        <f>Raw_Data!H480</f>
        <v/>
      </c>
      <c r="G480" s="7">
        <f>Raw_Data!I480</f>
        <v/>
      </c>
      <c r="H480" s="2">
        <f>Raw_Data!J480</f>
        <v/>
      </c>
      <c r="I480" s="2">
        <f>IF(G480="",0,G480-B480)</f>
        <v/>
      </c>
      <c r="J480" s="2">
        <f>IF(H480="Paid",MAX(0,G480-F480),MAX(0,DATE(2026,12,31)-F480))</f>
        <v/>
      </c>
      <c r="K480" s="8">
        <f>IF(H480="Paid",0,E480)</f>
        <v/>
      </c>
      <c r="L480" s="2">
        <f>IF(J480=0,"Current",IF(J480&lt;=30,"1-30 Days",IF(J480&lt;=60,"31-60 Days",IF(J480&lt;=90,"61-90 Days","90+ Days"))))</f>
        <v/>
      </c>
      <c r="M480" s="8">
        <f>IF(Raw_Data!K480="Yes",Raw_Data!F480*Raw_Data!L480,0)</f>
        <v/>
      </c>
      <c r="N480" s="2">
        <f>IF(H480&lt;&gt;"Paid","Outstanding",IF(J480=0,"On Time","Late"))</f>
        <v/>
      </c>
    </row>
    <row r="481">
      <c r="A481" s="2">
        <f>Raw_Data!A481</f>
        <v/>
      </c>
      <c r="B481" s="7">
        <f>Raw_Data!B481</f>
        <v/>
      </c>
      <c r="C481" s="2">
        <f>Raw_Data!C481</f>
        <v/>
      </c>
      <c r="D481" s="2">
        <f>Raw_Data!D481</f>
        <v/>
      </c>
      <c r="E481" s="8">
        <f>Raw_Data!F481</f>
        <v/>
      </c>
      <c r="F481" s="7">
        <f>Raw_Data!H481</f>
        <v/>
      </c>
      <c r="G481" s="7">
        <f>Raw_Data!I481</f>
        <v/>
      </c>
      <c r="H481" s="2">
        <f>Raw_Data!J481</f>
        <v/>
      </c>
      <c r="I481" s="2">
        <f>IF(G481="",0,G481-B481)</f>
        <v/>
      </c>
      <c r="J481" s="2">
        <f>IF(H481="Paid",MAX(0,G481-F481),MAX(0,DATE(2026,12,31)-F481))</f>
        <v/>
      </c>
      <c r="K481" s="8">
        <f>IF(H481="Paid",0,E481)</f>
        <v/>
      </c>
      <c r="L481" s="2">
        <f>IF(J481=0,"Current",IF(J481&lt;=30,"1-30 Days",IF(J481&lt;=60,"31-60 Days",IF(J481&lt;=90,"61-90 Days","90+ Days"))))</f>
        <v/>
      </c>
      <c r="M481" s="8">
        <f>IF(Raw_Data!K481="Yes",Raw_Data!F481*Raw_Data!L481,0)</f>
        <v/>
      </c>
      <c r="N481" s="2">
        <f>IF(H481&lt;&gt;"Paid","Outstanding",IF(J481=0,"On Time","Late"))</f>
        <v/>
      </c>
    </row>
    <row r="482">
      <c r="A482" s="2">
        <f>Raw_Data!A482</f>
        <v/>
      </c>
      <c r="B482" s="7">
        <f>Raw_Data!B482</f>
        <v/>
      </c>
      <c r="C482" s="2">
        <f>Raw_Data!C482</f>
        <v/>
      </c>
      <c r="D482" s="2">
        <f>Raw_Data!D482</f>
        <v/>
      </c>
      <c r="E482" s="8">
        <f>Raw_Data!F482</f>
        <v/>
      </c>
      <c r="F482" s="7">
        <f>Raw_Data!H482</f>
        <v/>
      </c>
      <c r="G482" s="7">
        <f>Raw_Data!I482</f>
        <v/>
      </c>
      <c r="H482" s="2">
        <f>Raw_Data!J482</f>
        <v/>
      </c>
      <c r="I482" s="2">
        <f>IF(G482="",0,G482-B482)</f>
        <v/>
      </c>
      <c r="J482" s="2">
        <f>IF(H482="Paid",MAX(0,G482-F482),MAX(0,DATE(2026,12,31)-F482))</f>
        <v/>
      </c>
      <c r="K482" s="8">
        <f>IF(H482="Paid",0,E482)</f>
        <v/>
      </c>
      <c r="L482" s="2">
        <f>IF(J482=0,"Current",IF(J482&lt;=30,"1-30 Days",IF(J482&lt;=60,"31-60 Days",IF(J482&lt;=90,"61-90 Days","90+ Days"))))</f>
        <v/>
      </c>
      <c r="M482" s="8">
        <f>IF(Raw_Data!K482="Yes",Raw_Data!F482*Raw_Data!L482,0)</f>
        <v/>
      </c>
      <c r="N482" s="2">
        <f>IF(H482&lt;&gt;"Paid","Outstanding",IF(J482=0,"On Time","Late"))</f>
        <v/>
      </c>
    </row>
    <row r="483">
      <c r="A483" s="2">
        <f>Raw_Data!A483</f>
        <v/>
      </c>
      <c r="B483" s="7">
        <f>Raw_Data!B483</f>
        <v/>
      </c>
      <c r="C483" s="2">
        <f>Raw_Data!C483</f>
        <v/>
      </c>
      <c r="D483" s="2">
        <f>Raw_Data!D483</f>
        <v/>
      </c>
      <c r="E483" s="8">
        <f>Raw_Data!F483</f>
        <v/>
      </c>
      <c r="F483" s="7">
        <f>Raw_Data!H483</f>
        <v/>
      </c>
      <c r="G483" s="7">
        <f>Raw_Data!I483</f>
        <v/>
      </c>
      <c r="H483" s="2">
        <f>Raw_Data!J483</f>
        <v/>
      </c>
      <c r="I483" s="2">
        <f>IF(G483="",0,G483-B483)</f>
        <v/>
      </c>
      <c r="J483" s="2">
        <f>IF(H483="Paid",MAX(0,G483-F483),MAX(0,DATE(2026,12,31)-F483))</f>
        <v/>
      </c>
      <c r="K483" s="8">
        <f>IF(H483="Paid",0,E483)</f>
        <v/>
      </c>
      <c r="L483" s="2">
        <f>IF(J483=0,"Current",IF(J483&lt;=30,"1-30 Days",IF(J483&lt;=60,"31-60 Days",IF(J483&lt;=90,"61-90 Days","90+ Days"))))</f>
        <v/>
      </c>
      <c r="M483" s="8">
        <f>IF(Raw_Data!K483="Yes",Raw_Data!F483*Raw_Data!L483,0)</f>
        <v/>
      </c>
      <c r="N483" s="2">
        <f>IF(H483&lt;&gt;"Paid","Outstanding",IF(J483=0,"On Time","Late"))</f>
        <v/>
      </c>
    </row>
    <row r="484">
      <c r="A484" s="2">
        <f>Raw_Data!A484</f>
        <v/>
      </c>
      <c r="B484" s="7">
        <f>Raw_Data!B484</f>
        <v/>
      </c>
      <c r="C484" s="2">
        <f>Raw_Data!C484</f>
        <v/>
      </c>
      <c r="D484" s="2">
        <f>Raw_Data!D484</f>
        <v/>
      </c>
      <c r="E484" s="8">
        <f>Raw_Data!F484</f>
        <v/>
      </c>
      <c r="F484" s="7">
        <f>Raw_Data!H484</f>
        <v/>
      </c>
      <c r="G484" s="7">
        <f>Raw_Data!I484</f>
        <v/>
      </c>
      <c r="H484" s="2">
        <f>Raw_Data!J484</f>
        <v/>
      </c>
      <c r="I484" s="2">
        <f>IF(G484="",0,G484-B484)</f>
        <v/>
      </c>
      <c r="J484" s="2">
        <f>IF(H484="Paid",MAX(0,G484-F484),MAX(0,DATE(2026,12,31)-F484))</f>
        <v/>
      </c>
      <c r="K484" s="8">
        <f>IF(H484="Paid",0,E484)</f>
        <v/>
      </c>
      <c r="L484" s="2">
        <f>IF(J484=0,"Current",IF(J484&lt;=30,"1-30 Days",IF(J484&lt;=60,"31-60 Days",IF(J484&lt;=90,"61-90 Days","90+ Days"))))</f>
        <v/>
      </c>
      <c r="M484" s="8">
        <f>IF(Raw_Data!K484="Yes",Raw_Data!F484*Raw_Data!L484,0)</f>
        <v/>
      </c>
      <c r="N484" s="2">
        <f>IF(H484&lt;&gt;"Paid","Outstanding",IF(J484=0,"On Time","Late"))</f>
        <v/>
      </c>
    </row>
    <row r="485">
      <c r="A485" s="2">
        <f>Raw_Data!A485</f>
        <v/>
      </c>
      <c r="B485" s="7">
        <f>Raw_Data!B485</f>
        <v/>
      </c>
      <c r="C485" s="2">
        <f>Raw_Data!C485</f>
        <v/>
      </c>
      <c r="D485" s="2">
        <f>Raw_Data!D485</f>
        <v/>
      </c>
      <c r="E485" s="8">
        <f>Raw_Data!F485</f>
        <v/>
      </c>
      <c r="F485" s="7">
        <f>Raw_Data!H485</f>
        <v/>
      </c>
      <c r="G485" s="7">
        <f>Raw_Data!I485</f>
        <v/>
      </c>
      <c r="H485" s="2">
        <f>Raw_Data!J485</f>
        <v/>
      </c>
      <c r="I485" s="2">
        <f>IF(G485="",0,G485-B485)</f>
        <v/>
      </c>
      <c r="J485" s="2">
        <f>IF(H485="Paid",MAX(0,G485-F485),MAX(0,DATE(2026,12,31)-F485))</f>
        <v/>
      </c>
      <c r="K485" s="8">
        <f>IF(H485="Paid",0,E485)</f>
        <v/>
      </c>
      <c r="L485" s="2">
        <f>IF(J485=0,"Current",IF(J485&lt;=30,"1-30 Days",IF(J485&lt;=60,"31-60 Days",IF(J485&lt;=90,"61-90 Days","90+ Days"))))</f>
        <v/>
      </c>
      <c r="M485" s="8">
        <f>IF(Raw_Data!K485="Yes",Raw_Data!F485*Raw_Data!L485,0)</f>
        <v/>
      </c>
      <c r="N485" s="2">
        <f>IF(H485&lt;&gt;"Paid","Outstanding",IF(J485=0,"On Time","Late"))</f>
        <v/>
      </c>
    </row>
    <row r="486">
      <c r="A486" s="2">
        <f>Raw_Data!A486</f>
        <v/>
      </c>
      <c r="B486" s="7">
        <f>Raw_Data!B486</f>
        <v/>
      </c>
      <c r="C486" s="2">
        <f>Raw_Data!C486</f>
        <v/>
      </c>
      <c r="D486" s="2">
        <f>Raw_Data!D486</f>
        <v/>
      </c>
      <c r="E486" s="8">
        <f>Raw_Data!F486</f>
        <v/>
      </c>
      <c r="F486" s="7">
        <f>Raw_Data!H486</f>
        <v/>
      </c>
      <c r="G486" s="7">
        <f>Raw_Data!I486</f>
        <v/>
      </c>
      <c r="H486" s="2">
        <f>Raw_Data!J486</f>
        <v/>
      </c>
      <c r="I486" s="2">
        <f>IF(G486="",0,G486-B486)</f>
        <v/>
      </c>
      <c r="J486" s="2">
        <f>IF(H486="Paid",MAX(0,G486-F486),MAX(0,DATE(2026,12,31)-F486))</f>
        <v/>
      </c>
      <c r="K486" s="8">
        <f>IF(H486="Paid",0,E486)</f>
        <v/>
      </c>
      <c r="L486" s="2">
        <f>IF(J486=0,"Current",IF(J486&lt;=30,"1-30 Days",IF(J486&lt;=60,"31-60 Days",IF(J486&lt;=90,"61-90 Days","90+ Days"))))</f>
        <v/>
      </c>
      <c r="M486" s="8">
        <f>IF(Raw_Data!K486="Yes",Raw_Data!F486*Raw_Data!L486,0)</f>
        <v/>
      </c>
      <c r="N486" s="2">
        <f>IF(H486&lt;&gt;"Paid","Outstanding",IF(J486=0,"On Time","Late"))</f>
        <v/>
      </c>
    </row>
    <row r="487">
      <c r="A487" s="2">
        <f>Raw_Data!A487</f>
        <v/>
      </c>
      <c r="B487" s="7">
        <f>Raw_Data!B487</f>
        <v/>
      </c>
      <c r="C487" s="2">
        <f>Raw_Data!C487</f>
        <v/>
      </c>
      <c r="D487" s="2">
        <f>Raw_Data!D487</f>
        <v/>
      </c>
      <c r="E487" s="8">
        <f>Raw_Data!F487</f>
        <v/>
      </c>
      <c r="F487" s="7">
        <f>Raw_Data!H487</f>
        <v/>
      </c>
      <c r="G487" s="7">
        <f>Raw_Data!I487</f>
        <v/>
      </c>
      <c r="H487" s="2">
        <f>Raw_Data!J487</f>
        <v/>
      </c>
      <c r="I487" s="2">
        <f>IF(G487="",0,G487-B487)</f>
        <v/>
      </c>
      <c r="J487" s="2">
        <f>IF(H487="Paid",MAX(0,G487-F487),MAX(0,DATE(2026,12,31)-F487))</f>
        <v/>
      </c>
      <c r="K487" s="8">
        <f>IF(H487="Paid",0,E487)</f>
        <v/>
      </c>
      <c r="L487" s="2">
        <f>IF(J487=0,"Current",IF(J487&lt;=30,"1-30 Days",IF(J487&lt;=60,"31-60 Days",IF(J487&lt;=90,"61-90 Days","90+ Days"))))</f>
        <v/>
      </c>
      <c r="M487" s="8">
        <f>IF(Raw_Data!K487="Yes",Raw_Data!F487*Raw_Data!L487,0)</f>
        <v/>
      </c>
      <c r="N487" s="2">
        <f>IF(H487&lt;&gt;"Paid","Outstanding",IF(J487=0,"On Time","Late"))</f>
        <v/>
      </c>
    </row>
    <row r="488">
      <c r="A488" s="2">
        <f>Raw_Data!A488</f>
        <v/>
      </c>
      <c r="B488" s="7">
        <f>Raw_Data!B488</f>
        <v/>
      </c>
      <c r="C488" s="2">
        <f>Raw_Data!C488</f>
        <v/>
      </c>
      <c r="D488" s="2">
        <f>Raw_Data!D488</f>
        <v/>
      </c>
      <c r="E488" s="8">
        <f>Raw_Data!F488</f>
        <v/>
      </c>
      <c r="F488" s="7">
        <f>Raw_Data!H488</f>
        <v/>
      </c>
      <c r="G488" s="7">
        <f>Raw_Data!I488</f>
        <v/>
      </c>
      <c r="H488" s="2">
        <f>Raw_Data!J488</f>
        <v/>
      </c>
      <c r="I488" s="2">
        <f>IF(G488="",0,G488-B488)</f>
        <v/>
      </c>
      <c r="J488" s="2">
        <f>IF(H488="Paid",MAX(0,G488-F488),MAX(0,DATE(2026,12,31)-F488))</f>
        <v/>
      </c>
      <c r="K488" s="8">
        <f>IF(H488="Paid",0,E488)</f>
        <v/>
      </c>
      <c r="L488" s="2">
        <f>IF(J488=0,"Current",IF(J488&lt;=30,"1-30 Days",IF(J488&lt;=60,"31-60 Days",IF(J488&lt;=90,"61-90 Days","90+ Days"))))</f>
        <v/>
      </c>
      <c r="M488" s="8">
        <f>IF(Raw_Data!K488="Yes",Raw_Data!F488*Raw_Data!L488,0)</f>
        <v/>
      </c>
      <c r="N488" s="2">
        <f>IF(H488&lt;&gt;"Paid","Outstanding",IF(J488=0,"On Time","Late"))</f>
        <v/>
      </c>
    </row>
    <row r="489">
      <c r="A489" s="2">
        <f>Raw_Data!A489</f>
        <v/>
      </c>
      <c r="B489" s="7">
        <f>Raw_Data!B489</f>
        <v/>
      </c>
      <c r="C489" s="2">
        <f>Raw_Data!C489</f>
        <v/>
      </c>
      <c r="D489" s="2">
        <f>Raw_Data!D489</f>
        <v/>
      </c>
      <c r="E489" s="8">
        <f>Raw_Data!F489</f>
        <v/>
      </c>
      <c r="F489" s="7">
        <f>Raw_Data!H489</f>
        <v/>
      </c>
      <c r="G489" s="7">
        <f>Raw_Data!I489</f>
        <v/>
      </c>
      <c r="H489" s="2">
        <f>Raw_Data!J489</f>
        <v/>
      </c>
      <c r="I489" s="2">
        <f>IF(G489="",0,G489-B489)</f>
        <v/>
      </c>
      <c r="J489" s="2">
        <f>IF(H489="Paid",MAX(0,G489-F489),MAX(0,DATE(2026,12,31)-F489))</f>
        <v/>
      </c>
      <c r="K489" s="8">
        <f>IF(H489="Paid",0,E489)</f>
        <v/>
      </c>
      <c r="L489" s="2">
        <f>IF(J489=0,"Current",IF(J489&lt;=30,"1-30 Days",IF(J489&lt;=60,"31-60 Days",IF(J489&lt;=90,"61-90 Days","90+ Days"))))</f>
        <v/>
      </c>
      <c r="M489" s="8">
        <f>IF(Raw_Data!K489="Yes",Raw_Data!F489*Raw_Data!L489,0)</f>
        <v/>
      </c>
      <c r="N489" s="2">
        <f>IF(H489&lt;&gt;"Paid","Outstanding",IF(J489=0,"On Time","Late"))</f>
        <v/>
      </c>
    </row>
    <row r="490">
      <c r="A490" s="2">
        <f>Raw_Data!A490</f>
        <v/>
      </c>
      <c r="B490" s="7">
        <f>Raw_Data!B490</f>
        <v/>
      </c>
      <c r="C490" s="2">
        <f>Raw_Data!C490</f>
        <v/>
      </c>
      <c r="D490" s="2">
        <f>Raw_Data!D490</f>
        <v/>
      </c>
      <c r="E490" s="8">
        <f>Raw_Data!F490</f>
        <v/>
      </c>
      <c r="F490" s="7">
        <f>Raw_Data!H490</f>
        <v/>
      </c>
      <c r="G490" s="7">
        <f>Raw_Data!I490</f>
        <v/>
      </c>
      <c r="H490" s="2">
        <f>Raw_Data!J490</f>
        <v/>
      </c>
      <c r="I490" s="2">
        <f>IF(G490="",0,G490-B490)</f>
        <v/>
      </c>
      <c r="J490" s="2">
        <f>IF(H490="Paid",MAX(0,G490-F490),MAX(0,DATE(2026,12,31)-F490))</f>
        <v/>
      </c>
      <c r="K490" s="8">
        <f>IF(H490="Paid",0,E490)</f>
        <v/>
      </c>
      <c r="L490" s="2">
        <f>IF(J490=0,"Current",IF(J490&lt;=30,"1-30 Days",IF(J490&lt;=60,"31-60 Days",IF(J490&lt;=90,"61-90 Days","90+ Days"))))</f>
        <v/>
      </c>
      <c r="M490" s="8">
        <f>IF(Raw_Data!K490="Yes",Raw_Data!F490*Raw_Data!L490,0)</f>
        <v/>
      </c>
      <c r="N490" s="2">
        <f>IF(H490&lt;&gt;"Paid","Outstanding",IF(J490=0,"On Time","Late"))</f>
        <v/>
      </c>
    </row>
    <row r="491">
      <c r="A491" s="2">
        <f>Raw_Data!A491</f>
        <v/>
      </c>
      <c r="B491" s="7">
        <f>Raw_Data!B491</f>
        <v/>
      </c>
      <c r="C491" s="2">
        <f>Raw_Data!C491</f>
        <v/>
      </c>
      <c r="D491" s="2">
        <f>Raw_Data!D491</f>
        <v/>
      </c>
      <c r="E491" s="8">
        <f>Raw_Data!F491</f>
        <v/>
      </c>
      <c r="F491" s="7">
        <f>Raw_Data!H491</f>
        <v/>
      </c>
      <c r="G491" s="7">
        <f>Raw_Data!I491</f>
        <v/>
      </c>
      <c r="H491" s="2">
        <f>Raw_Data!J491</f>
        <v/>
      </c>
      <c r="I491" s="2">
        <f>IF(G491="",0,G491-B491)</f>
        <v/>
      </c>
      <c r="J491" s="2">
        <f>IF(H491="Paid",MAX(0,G491-F491),MAX(0,DATE(2026,12,31)-F491))</f>
        <v/>
      </c>
      <c r="K491" s="8">
        <f>IF(H491="Paid",0,E491)</f>
        <v/>
      </c>
      <c r="L491" s="2">
        <f>IF(J491=0,"Current",IF(J491&lt;=30,"1-30 Days",IF(J491&lt;=60,"31-60 Days",IF(J491&lt;=90,"61-90 Days","90+ Days"))))</f>
        <v/>
      </c>
      <c r="M491" s="8">
        <f>IF(Raw_Data!K491="Yes",Raw_Data!F491*Raw_Data!L491,0)</f>
        <v/>
      </c>
      <c r="N491" s="2">
        <f>IF(H491&lt;&gt;"Paid","Outstanding",IF(J491=0,"On Time","Late"))</f>
        <v/>
      </c>
    </row>
    <row r="492">
      <c r="A492" s="2">
        <f>Raw_Data!A492</f>
        <v/>
      </c>
      <c r="B492" s="7">
        <f>Raw_Data!B492</f>
        <v/>
      </c>
      <c r="C492" s="2">
        <f>Raw_Data!C492</f>
        <v/>
      </c>
      <c r="D492" s="2">
        <f>Raw_Data!D492</f>
        <v/>
      </c>
      <c r="E492" s="8">
        <f>Raw_Data!F492</f>
        <v/>
      </c>
      <c r="F492" s="7">
        <f>Raw_Data!H492</f>
        <v/>
      </c>
      <c r="G492" s="7">
        <f>Raw_Data!I492</f>
        <v/>
      </c>
      <c r="H492" s="2">
        <f>Raw_Data!J492</f>
        <v/>
      </c>
      <c r="I492" s="2">
        <f>IF(G492="",0,G492-B492)</f>
        <v/>
      </c>
      <c r="J492" s="2">
        <f>IF(H492="Paid",MAX(0,G492-F492),MAX(0,DATE(2026,12,31)-F492))</f>
        <v/>
      </c>
      <c r="K492" s="8">
        <f>IF(H492="Paid",0,E492)</f>
        <v/>
      </c>
      <c r="L492" s="2">
        <f>IF(J492=0,"Current",IF(J492&lt;=30,"1-30 Days",IF(J492&lt;=60,"31-60 Days",IF(J492&lt;=90,"61-90 Days","90+ Days"))))</f>
        <v/>
      </c>
      <c r="M492" s="8">
        <f>IF(Raw_Data!K492="Yes",Raw_Data!F492*Raw_Data!L492,0)</f>
        <v/>
      </c>
      <c r="N492" s="2">
        <f>IF(H492&lt;&gt;"Paid","Outstanding",IF(J492=0,"On Time","Late"))</f>
        <v/>
      </c>
    </row>
    <row r="493">
      <c r="A493" s="2">
        <f>Raw_Data!A493</f>
        <v/>
      </c>
      <c r="B493" s="7">
        <f>Raw_Data!B493</f>
        <v/>
      </c>
      <c r="C493" s="2">
        <f>Raw_Data!C493</f>
        <v/>
      </c>
      <c r="D493" s="2">
        <f>Raw_Data!D493</f>
        <v/>
      </c>
      <c r="E493" s="8">
        <f>Raw_Data!F493</f>
        <v/>
      </c>
      <c r="F493" s="7">
        <f>Raw_Data!H493</f>
        <v/>
      </c>
      <c r="G493" s="7">
        <f>Raw_Data!I493</f>
        <v/>
      </c>
      <c r="H493" s="2">
        <f>Raw_Data!J493</f>
        <v/>
      </c>
      <c r="I493" s="2">
        <f>IF(G493="",0,G493-B493)</f>
        <v/>
      </c>
      <c r="J493" s="2">
        <f>IF(H493="Paid",MAX(0,G493-F493),MAX(0,DATE(2026,12,31)-F493))</f>
        <v/>
      </c>
      <c r="K493" s="8">
        <f>IF(H493="Paid",0,E493)</f>
        <v/>
      </c>
      <c r="L493" s="2">
        <f>IF(J493=0,"Current",IF(J493&lt;=30,"1-30 Days",IF(J493&lt;=60,"31-60 Days",IF(J493&lt;=90,"61-90 Days","90+ Days"))))</f>
        <v/>
      </c>
      <c r="M493" s="8">
        <f>IF(Raw_Data!K493="Yes",Raw_Data!F493*Raw_Data!L493,0)</f>
        <v/>
      </c>
      <c r="N493" s="2">
        <f>IF(H493&lt;&gt;"Paid","Outstanding",IF(J493=0,"On Time","Late"))</f>
        <v/>
      </c>
    </row>
    <row r="494">
      <c r="A494" s="2">
        <f>Raw_Data!A494</f>
        <v/>
      </c>
      <c r="B494" s="7">
        <f>Raw_Data!B494</f>
        <v/>
      </c>
      <c r="C494" s="2">
        <f>Raw_Data!C494</f>
        <v/>
      </c>
      <c r="D494" s="2">
        <f>Raw_Data!D494</f>
        <v/>
      </c>
      <c r="E494" s="8">
        <f>Raw_Data!F494</f>
        <v/>
      </c>
      <c r="F494" s="7">
        <f>Raw_Data!H494</f>
        <v/>
      </c>
      <c r="G494" s="7">
        <f>Raw_Data!I494</f>
        <v/>
      </c>
      <c r="H494" s="2">
        <f>Raw_Data!J494</f>
        <v/>
      </c>
      <c r="I494" s="2">
        <f>IF(G494="",0,G494-B494)</f>
        <v/>
      </c>
      <c r="J494" s="2">
        <f>IF(H494="Paid",MAX(0,G494-F494),MAX(0,DATE(2026,12,31)-F494))</f>
        <v/>
      </c>
      <c r="K494" s="8">
        <f>IF(H494="Paid",0,E494)</f>
        <v/>
      </c>
      <c r="L494" s="2">
        <f>IF(J494=0,"Current",IF(J494&lt;=30,"1-30 Days",IF(J494&lt;=60,"31-60 Days",IF(J494&lt;=90,"61-90 Days","90+ Days"))))</f>
        <v/>
      </c>
      <c r="M494" s="8">
        <f>IF(Raw_Data!K494="Yes",Raw_Data!F494*Raw_Data!L494,0)</f>
        <v/>
      </c>
      <c r="N494" s="2">
        <f>IF(H494&lt;&gt;"Paid","Outstanding",IF(J494=0,"On Time","Late"))</f>
        <v/>
      </c>
    </row>
    <row r="495">
      <c r="A495" s="2">
        <f>Raw_Data!A495</f>
        <v/>
      </c>
      <c r="B495" s="7">
        <f>Raw_Data!B495</f>
        <v/>
      </c>
      <c r="C495" s="2">
        <f>Raw_Data!C495</f>
        <v/>
      </c>
      <c r="D495" s="2">
        <f>Raw_Data!D495</f>
        <v/>
      </c>
      <c r="E495" s="8">
        <f>Raw_Data!F495</f>
        <v/>
      </c>
      <c r="F495" s="7">
        <f>Raw_Data!H495</f>
        <v/>
      </c>
      <c r="G495" s="7">
        <f>Raw_Data!I495</f>
        <v/>
      </c>
      <c r="H495" s="2">
        <f>Raw_Data!J495</f>
        <v/>
      </c>
      <c r="I495" s="2">
        <f>IF(G495="",0,G495-B495)</f>
        <v/>
      </c>
      <c r="J495" s="2">
        <f>IF(H495="Paid",MAX(0,G495-F495),MAX(0,DATE(2026,12,31)-F495))</f>
        <v/>
      </c>
      <c r="K495" s="8">
        <f>IF(H495="Paid",0,E495)</f>
        <v/>
      </c>
      <c r="L495" s="2">
        <f>IF(J495=0,"Current",IF(J495&lt;=30,"1-30 Days",IF(J495&lt;=60,"31-60 Days",IF(J495&lt;=90,"61-90 Days","90+ Days"))))</f>
        <v/>
      </c>
      <c r="M495" s="8">
        <f>IF(Raw_Data!K495="Yes",Raw_Data!F495*Raw_Data!L495,0)</f>
        <v/>
      </c>
      <c r="N495" s="2">
        <f>IF(H495&lt;&gt;"Paid","Outstanding",IF(J495=0,"On Time","Late"))</f>
        <v/>
      </c>
    </row>
    <row r="496">
      <c r="A496" s="2">
        <f>Raw_Data!A496</f>
        <v/>
      </c>
      <c r="B496" s="7">
        <f>Raw_Data!B496</f>
        <v/>
      </c>
      <c r="C496" s="2">
        <f>Raw_Data!C496</f>
        <v/>
      </c>
      <c r="D496" s="2">
        <f>Raw_Data!D496</f>
        <v/>
      </c>
      <c r="E496" s="8">
        <f>Raw_Data!F496</f>
        <v/>
      </c>
      <c r="F496" s="7">
        <f>Raw_Data!H496</f>
        <v/>
      </c>
      <c r="G496" s="7">
        <f>Raw_Data!I496</f>
        <v/>
      </c>
      <c r="H496" s="2">
        <f>Raw_Data!J496</f>
        <v/>
      </c>
      <c r="I496" s="2">
        <f>IF(G496="",0,G496-B496)</f>
        <v/>
      </c>
      <c r="J496" s="2">
        <f>IF(H496="Paid",MAX(0,G496-F496),MAX(0,DATE(2026,12,31)-F496))</f>
        <v/>
      </c>
      <c r="K496" s="8">
        <f>IF(H496="Paid",0,E496)</f>
        <v/>
      </c>
      <c r="L496" s="2">
        <f>IF(J496=0,"Current",IF(J496&lt;=30,"1-30 Days",IF(J496&lt;=60,"31-60 Days",IF(J496&lt;=90,"61-90 Days","90+ Days"))))</f>
        <v/>
      </c>
      <c r="M496" s="8">
        <f>IF(Raw_Data!K496="Yes",Raw_Data!F496*Raw_Data!L496,0)</f>
        <v/>
      </c>
      <c r="N496" s="2">
        <f>IF(H496&lt;&gt;"Paid","Outstanding",IF(J496=0,"On Time","Late"))</f>
        <v/>
      </c>
    </row>
    <row r="497">
      <c r="A497" s="2">
        <f>Raw_Data!A497</f>
        <v/>
      </c>
      <c r="B497" s="7">
        <f>Raw_Data!B497</f>
        <v/>
      </c>
      <c r="C497" s="2">
        <f>Raw_Data!C497</f>
        <v/>
      </c>
      <c r="D497" s="2">
        <f>Raw_Data!D497</f>
        <v/>
      </c>
      <c r="E497" s="8">
        <f>Raw_Data!F497</f>
        <v/>
      </c>
      <c r="F497" s="7">
        <f>Raw_Data!H497</f>
        <v/>
      </c>
      <c r="G497" s="7">
        <f>Raw_Data!I497</f>
        <v/>
      </c>
      <c r="H497" s="2">
        <f>Raw_Data!J497</f>
        <v/>
      </c>
      <c r="I497" s="2">
        <f>IF(G497="",0,G497-B497)</f>
        <v/>
      </c>
      <c r="J497" s="2">
        <f>IF(H497="Paid",MAX(0,G497-F497),MAX(0,DATE(2026,12,31)-F497))</f>
        <v/>
      </c>
      <c r="K497" s="8">
        <f>IF(H497="Paid",0,E497)</f>
        <v/>
      </c>
      <c r="L497" s="2">
        <f>IF(J497=0,"Current",IF(J497&lt;=30,"1-30 Days",IF(J497&lt;=60,"31-60 Days",IF(J497&lt;=90,"61-90 Days","90+ Days"))))</f>
        <v/>
      </c>
      <c r="M497" s="8">
        <f>IF(Raw_Data!K497="Yes",Raw_Data!F497*Raw_Data!L497,0)</f>
        <v/>
      </c>
      <c r="N497" s="2">
        <f>IF(H497&lt;&gt;"Paid","Outstanding",IF(J497=0,"On Time","Late"))</f>
        <v/>
      </c>
    </row>
    <row r="498">
      <c r="A498" s="2">
        <f>Raw_Data!A498</f>
        <v/>
      </c>
      <c r="B498" s="7">
        <f>Raw_Data!B498</f>
        <v/>
      </c>
      <c r="C498" s="2">
        <f>Raw_Data!C498</f>
        <v/>
      </c>
      <c r="D498" s="2">
        <f>Raw_Data!D498</f>
        <v/>
      </c>
      <c r="E498" s="8">
        <f>Raw_Data!F498</f>
        <v/>
      </c>
      <c r="F498" s="7">
        <f>Raw_Data!H498</f>
        <v/>
      </c>
      <c r="G498" s="7">
        <f>Raw_Data!I498</f>
        <v/>
      </c>
      <c r="H498" s="2">
        <f>Raw_Data!J498</f>
        <v/>
      </c>
      <c r="I498" s="2">
        <f>IF(G498="",0,G498-B498)</f>
        <v/>
      </c>
      <c r="J498" s="2">
        <f>IF(H498="Paid",MAX(0,G498-F498),MAX(0,DATE(2026,12,31)-F498))</f>
        <v/>
      </c>
      <c r="K498" s="8">
        <f>IF(H498="Paid",0,E498)</f>
        <v/>
      </c>
      <c r="L498" s="2">
        <f>IF(J498=0,"Current",IF(J498&lt;=30,"1-30 Days",IF(J498&lt;=60,"31-60 Days",IF(J498&lt;=90,"61-90 Days","90+ Days"))))</f>
        <v/>
      </c>
      <c r="M498" s="8">
        <f>IF(Raw_Data!K498="Yes",Raw_Data!F498*Raw_Data!L498,0)</f>
        <v/>
      </c>
      <c r="N498" s="2">
        <f>IF(H498&lt;&gt;"Paid","Outstanding",IF(J498=0,"On Time","Late"))</f>
        <v/>
      </c>
    </row>
    <row r="499">
      <c r="A499" s="2">
        <f>Raw_Data!A499</f>
        <v/>
      </c>
      <c r="B499" s="7">
        <f>Raw_Data!B499</f>
        <v/>
      </c>
      <c r="C499" s="2">
        <f>Raw_Data!C499</f>
        <v/>
      </c>
      <c r="D499" s="2">
        <f>Raw_Data!D499</f>
        <v/>
      </c>
      <c r="E499" s="8">
        <f>Raw_Data!F499</f>
        <v/>
      </c>
      <c r="F499" s="7">
        <f>Raw_Data!H499</f>
        <v/>
      </c>
      <c r="G499" s="7">
        <f>Raw_Data!I499</f>
        <v/>
      </c>
      <c r="H499" s="2">
        <f>Raw_Data!J499</f>
        <v/>
      </c>
      <c r="I499" s="2">
        <f>IF(G499="",0,G499-B499)</f>
        <v/>
      </c>
      <c r="J499" s="2">
        <f>IF(H499="Paid",MAX(0,G499-F499),MAX(0,DATE(2026,12,31)-F499))</f>
        <v/>
      </c>
      <c r="K499" s="8">
        <f>IF(H499="Paid",0,E499)</f>
        <v/>
      </c>
      <c r="L499" s="2">
        <f>IF(J499=0,"Current",IF(J499&lt;=30,"1-30 Days",IF(J499&lt;=60,"31-60 Days",IF(J499&lt;=90,"61-90 Days","90+ Days"))))</f>
        <v/>
      </c>
      <c r="M499" s="8">
        <f>IF(Raw_Data!K499="Yes",Raw_Data!F499*Raw_Data!L499,0)</f>
        <v/>
      </c>
      <c r="N499" s="2">
        <f>IF(H499&lt;&gt;"Paid","Outstanding",IF(J499=0,"On Time","Late"))</f>
        <v/>
      </c>
    </row>
    <row r="500">
      <c r="A500" s="2">
        <f>Raw_Data!A500</f>
        <v/>
      </c>
      <c r="B500" s="7">
        <f>Raw_Data!B500</f>
        <v/>
      </c>
      <c r="C500" s="2">
        <f>Raw_Data!C500</f>
        <v/>
      </c>
      <c r="D500" s="2">
        <f>Raw_Data!D500</f>
        <v/>
      </c>
      <c r="E500" s="8">
        <f>Raw_Data!F500</f>
        <v/>
      </c>
      <c r="F500" s="7">
        <f>Raw_Data!H500</f>
        <v/>
      </c>
      <c r="G500" s="7">
        <f>Raw_Data!I500</f>
        <v/>
      </c>
      <c r="H500" s="2">
        <f>Raw_Data!J500</f>
        <v/>
      </c>
      <c r="I500" s="2">
        <f>IF(G500="",0,G500-B500)</f>
        <v/>
      </c>
      <c r="J500" s="2">
        <f>IF(H500="Paid",MAX(0,G500-F500),MAX(0,DATE(2026,12,31)-F500))</f>
        <v/>
      </c>
      <c r="K500" s="8">
        <f>IF(H500="Paid",0,E500)</f>
        <v/>
      </c>
      <c r="L500" s="2">
        <f>IF(J500=0,"Current",IF(J500&lt;=30,"1-30 Days",IF(J500&lt;=60,"31-60 Days",IF(J500&lt;=90,"61-90 Days","90+ Days"))))</f>
        <v/>
      </c>
      <c r="M500" s="8">
        <f>IF(Raw_Data!K500="Yes",Raw_Data!F500*Raw_Data!L500,0)</f>
        <v/>
      </c>
      <c r="N500" s="2">
        <f>IF(H500&lt;&gt;"Paid","Outstanding",IF(J500=0,"On Time","Late"))</f>
        <v/>
      </c>
    </row>
    <row r="501">
      <c r="A501" s="2">
        <f>Raw_Data!A501</f>
        <v/>
      </c>
      <c r="B501" s="7">
        <f>Raw_Data!B501</f>
        <v/>
      </c>
      <c r="C501" s="2">
        <f>Raw_Data!C501</f>
        <v/>
      </c>
      <c r="D501" s="2">
        <f>Raw_Data!D501</f>
        <v/>
      </c>
      <c r="E501" s="8">
        <f>Raw_Data!F501</f>
        <v/>
      </c>
      <c r="F501" s="7">
        <f>Raw_Data!H501</f>
        <v/>
      </c>
      <c r="G501" s="7">
        <f>Raw_Data!I501</f>
        <v/>
      </c>
      <c r="H501" s="2">
        <f>Raw_Data!J501</f>
        <v/>
      </c>
      <c r="I501" s="2">
        <f>IF(G501="",0,G501-B501)</f>
        <v/>
      </c>
      <c r="J501" s="2">
        <f>IF(H501="Paid",MAX(0,G501-F501),MAX(0,DATE(2026,12,31)-F501))</f>
        <v/>
      </c>
      <c r="K501" s="8">
        <f>IF(H501="Paid",0,E501)</f>
        <v/>
      </c>
      <c r="L501" s="2">
        <f>IF(J501=0,"Current",IF(J501&lt;=30,"1-30 Days",IF(J501&lt;=60,"31-60 Days",IF(J501&lt;=90,"61-90 Days","90+ Days"))))</f>
        <v/>
      </c>
      <c r="M501" s="8">
        <f>IF(Raw_Data!K501="Yes",Raw_Data!F501*Raw_Data!L501,0)</f>
        <v/>
      </c>
      <c r="N501" s="2">
        <f>IF(H501&lt;&gt;"Paid","Outstanding",IF(J501=0,"On Time","Late"))</f>
        <v/>
      </c>
    </row>
    <row r="502">
      <c r="A502" s="2">
        <f>Raw_Data!A502</f>
        <v/>
      </c>
      <c r="B502" s="7">
        <f>Raw_Data!B502</f>
        <v/>
      </c>
      <c r="C502" s="2">
        <f>Raw_Data!C502</f>
        <v/>
      </c>
      <c r="D502" s="2">
        <f>Raw_Data!D502</f>
        <v/>
      </c>
      <c r="E502" s="8">
        <f>Raw_Data!F502</f>
        <v/>
      </c>
      <c r="F502" s="7">
        <f>Raw_Data!H502</f>
        <v/>
      </c>
      <c r="G502" s="7">
        <f>Raw_Data!I502</f>
        <v/>
      </c>
      <c r="H502" s="2">
        <f>Raw_Data!J502</f>
        <v/>
      </c>
      <c r="I502" s="2">
        <f>IF(G502="",0,G502-B502)</f>
        <v/>
      </c>
      <c r="J502" s="2">
        <f>IF(H502="Paid",MAX(0,G502-F502),MAX(0,DATE(2026,12,31)-F502))</f>
        <v/>
      </c>
      <c r="K502" s="8">
        <f>IF(H502="Paid",0,E502)</f>
        <v/>
      </c>
      <c r="L502" s="2">
        <f>IF(J502=0,"Current",IF(J502&lt;=30,"1-30 Days",IF(J502&lt;=60,"31-60 Days",IF(J502&lt;=90,"61-90 Days","90+ Days"))))</f>
        <v/>
      </c>
      <c r="M502" s="8">
        <f>IF(Raw_Data!K502="Yes",Raw_Data!F502*Raw_Data!L502,0)</f>
        <v/>
      </c>
      <c r="N502" s="2">
        <f>IF(H502&lt;&gt;"Paid","Outstanding",IF(J502=0,"On Time","Late"))</f>
        <v/>
      </c>
    </row>
    <row r="503">
      <c r="A503" s="2">
        <f>Raw_Data!A503</f>
        <v/>
      </c>
      <c r="B503" s="7">
        <f>Raw_Data!B503</f>
        <v/>
      </c>
      <c r="C503" s="2">
        <f>Raw_Data!C503</f>
        <v/>
      </c>
      <c r="D503" s="2">
        <f>Raw_Data!D503</f>
        <v/>
      </c>
      <c r="E503" s="8">
        <f>Raw_Data!F503</f>
        <v/>
      </c>
      <c r="F503" s="7">
        <f>Raw_Data!H503</f>
        <v/>
      </c>
      <c r="G503" s="7">
        <f>Raw_Data!I503</f>
        <v/>
      </c>
      <c r="H503" s="2">
        <f>Raw_Data!J503</f>
        <v/>
      </c>
      <c r="I503" s="2">
        <f>IF(G503="",0,G503-B503)</f>
        <v/>
      </c>
      <c r="J503" s="2">
        <f>IF(H503="Paid",MAX(0,G503-F503),MAX(0,DATE(2026,12,31)-F503))</f>
        <v/>
      </c>
      <c r="K503" s="8">
        <f>IF(H503="Paid",0,E503)</f>
        <v/>
      </c>
      <c r="L503" s="2">
        <f>IF(J503=0,"Current",IF(J503&lt;=30,"1-30 Days",IF(J503&lt;=60,"31-60 Days",IF(J503&lt;=90,"61-90 Days","90+ Days"))))</f>
        <v/>
      </c>
      <c r="M503" s="8">
        <f>IF(Raw_Data!K503="Yes",Raw_Data!F503*Raw_Data!L503,0)</f>
        <v/>
      </c>
      <c r="N503" s="2">
        <f>IF(H503&lt;&gt;"Paid","Outstanding",IF(J503=0,"On Time","Late"))</f>
        <v/>
      </c>
    </row>
    <row r="504">
      <c r="A504" s="2">
        <f>Raw_Data!A504</f>
        <v/>
      </c>
      <c r="B504" s="7">
        <f>Raw_Data!B504</f>
        <v/>
      </c>
      <c r="C504" s="2">
        <f>Raw_Data!C504</f>
        <v/>
      </c>
      <c r="D504" s="2">
        <f>Raw_Data!D504</f>
        <v/>
      </c>
      <c r="E504" s="8">
        <f>Raw_Data!F504</f>
        <v/>
      </c>
      <c r="F504" s="7">
        <f>Raw_Data!H504</f>
        <v/>
      </c>
      <c r="G504" s="7">
        <f>Raw_Data!I504</f>
        <v/>
      </c>
      <c r="H504" s="2">
        <f>Raw_Data!J504</f>
        <v/>
      </c>
      <c r="I504" s="2">
        <f>IF(G504="",0,G504-B504)</f>
        <v/>
      </c>
      <c r="J504" s="2">
        <f>IF(H504="Paid",MAX(0,G504-F504),MAX(0,DATE(2026,12,31)-F504))</f>
        <v/>
      </c>
      <c r="K504" s="8">
        <f>IF(H504="Paid",0,E504)</f>
        <v/>
      </c>
      <c r="L504" s="2">
        <f>IF(J504=0,"Current",IF(J504&lt;=30,"1-30 Days",IF(J504&lt;=60,"31-60 Days",IF(J504&lt;=90,"61-90 Days","90+ Days"))))</f>
        <v/>
      </c>
      <c r="M504" s="8">
        <f>IF(Raw_Data!K504="Yes",Raw_Data!F504*Raw_Data!L504,0)</f>
        <v/>
      </c>
      <c r="N504" s="2">
        <f>IF(H504&lt;&gt;"Paid","Outstanding",IF(J504=0,"On Time","Late"))</f>
        <v/>
      </c>
    </row>
    <row r="505">
      <c r="A505" s="2">
        <f>Raw_Data!A505</f>
        <v/>
      </c>
      <c r="B505" s="7">
        <f>Raw_Data!B505</f>
        <v/>
      </c>
      <c r="C505" s="2">
        <f>Raw_Data!C505</f>
        <v/>
      </c>
      <c r="D505" s="2">
        <f>Raw_Data!D505</f>
        <v/>
      </c>
      <c r="E505" s="8">
        <f>Raw_Data!F505</f>
        <v/>
      </c>
      <c r="F505" s="7">
        <f>Raw_Data!H505</f>
        <v/>
      </c>
      <c r="G505" s="7">
        <f>Raw_Data!I505</f>
        <v/>
      </c>
      <c r="H505" s="2">
        <f>Raw_Data!J505</f>
        <v/>
      </c>
      <c r="I505" s="2">
        <f>IF(G505="",0,G505-B505)</f>
        <v/>
      </c>
      <c r="J505" s="2">
        <f>IF(H505="Paid",MAX(0,G505-F505),MAX(0,DATE(2026,12,31)-F505))</f>
        <v/>
      </c>
      <c r="K505" s="8">
        <f>IF(H505="Paid",0,E505)</f>
        <v/>
      </c>
      <c r="L505" s="2">
        <f>IF(J505=0,"Current",IF(J505&lt;=30,"1-30 Days",IF(J505&lt;=60,"31-60 Days",IF(J505&lt;=90,"61-90 Days","90+ Days"))))</f>
        <v/>
      </c>
      <c r="M505" s="8">
        <f>IF(Raw_Data!K505="Yes",Raw_Data!F505*Raw_Data!L505,0)</f>
        <v/>
      </c>
      <c r="N505" s="2">
        <f>IF(H505&lt;&gt;"Paid","Outstanding",IF(J505=0,"On Time","Late"))</f>
        <v/>
      </c>
    </row>
    <row r="506">
      <c r="A506" s="2">
        <f>Raw_Data!A506</f>
        <v/>
      </c>
      <c r="B506" s="7">
        <f>Raw_Data!B506</f>
        <v/>
      </c>
      <c r="C506" s="2">
        <f>Raw_Data!C506</f>
        <v/>
      </c>
      <c r="D506" s="2">
        <f>Raw_Data!D506</f>
        <v/>
      </c>
      <c r="E506" s="8">
        <f>Raw_Data!F506</f>
        <v/>
      </c>
      <c r="F506" s="7">
        <f>Raw_Data!H506</f>
        <v/>
      </c>
      <c r="G506" s="7">
        <f>Raw_Data!I506</f>
        <v/>
      </c>
      <c r="H506" s="2">
        <f>Raw_Data!J506</f>
        <v/>
      </c>
      <c r="I506" s="2">
        <f>IF(G506="",0,G506-B506)</f>
        <v/>
      </c>
      <c r="J506" s="2">
        <f>IF(H506="Paid",MAX(0,G506-F506),MAX(0,DATE(2026,12,31)-F506))</f>
        <v/>
      </c>
      <c r="K506" s="8">
        <f>IF(H506="Paid",0,E506)</f>
        <v/>
      </c>
      <c r="L506" s="2">
        <f>IF(J506=0,"Current",IF(J506&lt;=30,"1-30 Days",IF(J506&lt;=60,"31-60 Days",IF(J506&lt;=90,"61-90 Days","90+ Days"))))</f>
        <v/>
      </c>
      <c r="M506" s="8">
        <f>IF(Raw_Data!K506="Yes",Raw_Data!F506*Raw_Data!L506,0)</f>
        <v/>
      </c>
      <c r="N506" s="2">
        <f>IF(H506&lt;&gt;"Paid","Outstanding",IF(J506=0,"On Time","Late"))</f>
        <v/>
      </c>
    </row>
    <row r="507">
      <c r="A507" s="2">
        <f>Raw_Data!A507</f>
        <v/>
      </c>
      <c r="B507" s="7">
        <f>Raw_Data!B507</f>
        <v/>
      </c>
      <c r="C507" s="2">
        <f>Raw_Data!C507</f>
        <v/>
      </c>
      <c r="D507" s="2">
        <f>Raw_Data!D507</f>
        <v/>
      </c>
      <c r="E507" s="8">
        <f>Raw_Data!F507</f>
        <v/>
      </c>
      <c r="F507" s="7">
        <f>Raw_Data!H507</f>
        <v/>
      </c>
      <c r="G507" s="7">
        <f>Raw_Data!I507</f>
        <v/>
      </c>
      <c r="H507" s="2">
        <f>Raw_Data!J507</f>
        <v/>
      </c>
      <c r="I507" s="2">
        <f>IF(G507="",0,G507-B507)</f>
        <v/>
      </c>
      <c r="J507" s="2">
        <f>IF(H507="Paid",MAX(0,G507-F507),MAX(0,DATE(2026,12,31)-F507))</f>
        <v/>
      </c>
      <c r="K507" s="8">
        <f>IF(H507="Paid",0,E507)</f>
        <v/>
      </c>
      <c r="L507" s="2">
        <f>IF(J507=0,"Current",IF(J507&lt;=30,"1-30 Days",IF(J507&lt;=60,"31-60 Days",IF(J507&lt;=90,"61-90 Days","90+ Days"))))</f>
        <v/>
      </c>
      <c r="M507" s="8">
        <f>IF(Raw_Data!K507="Yes",Raw_Data!F507*Raw_Data!L507,0)</f>
        <v/>
      </c>
      <c r="N507" s="2">
        <f>IF(H507&lt;&gt;"Paid","Outstanding",IF(J507=0,"On Time","Late"))</f>
        <v/>
      </c>
    </row>
    <row r="508">
      <c r="A508" s="2">
        <f>Raw_Data!A508</f>
        <v/>
      </c>
      <c r="B508" s="7">
        <f>Raw_Data!B508</f>
        <v/>
      </c>
      <c r="C508" s="2">
        <f>Raw_Data!C508</f>
        <v/>
      </c>
      <c r="D508" s="2">
        <f>Raw_Data!D508</f>
        <v/>
      </c>
      <c r="E508" s="8">
        <f>Raw_Data!F508</f>
        <v/>
      </c>
      <c r="F508" s="7">
        <f>Raw_Data!H508</f>
        <v/>
      </c>
      <c r="G508" s="7">
        <f>Raw_Data!I508</f>
        <v/>
      </c>
      <c r="H508" s="2">
        <f>Raw_Data!J508</f>
        <v/>
      </c>
      <c r="I508" s="2">
        <f>IF(G508="",0,G508-B508)</f>
        <v/>
      </c>
      <c r="J508" s="2">
        <f>IF(H508="Paid",MAX(0,G508-F508),MAX(0,DATE(2026,12,31)-F508))</f>
        <v/>
      </c>
      <c r="K508" s="8">
        <f>IF(H508="Paid",0,E508)</f>
        <v/>
      </c>
      <c r="L508" s="2">
        <f>IF(J508=0,"Current",IF(J508&lt;=30,"1-30 Days",IF(J508&lt;=60,"31-60 Days",IF(J508&lt;=90,"61-90 Days","90+ Days"))))</f>
        <v/>
      </c>
      <c r="M508" s="8">
        <f>IF(Raw_Data!K508="Yes",Raw_Data!F508*Raw_Data!L508,0)</f>
        <v/>
      </c>
      <c r="N508" s="2">
        <f>IF(H508&lt;&gt;"Paid","Outstanding",IF(J508=0,"On Time","Late"))</f>
        <v/>
      </c>
    </row>
    <row r="509">
      <c r="A509" s="2">
        <f>Raw_Data!A509</f>
        <v/>
      </c>
      <c r="B509" s="7">
        <f>Raw_Data!B509</f>
        <v/>
      </c>
      <c r="C509" s="2">
        <f>Raw_Data!C509</f>
        <v/>
      </c>
      <c r="D509" s="2">
        <f>Raw_Data!D509</f>
        <v/>
      </c>
      <c r="E509" s="8">
        <f>Raw_Data!F509</f>
        <v/>
      </c>
      <c r="F509" s="7">
        <f>Raw_Data!H509</f>
        <v/>
      </c>
      <c r="G509" s="7">
        <f>Raw_Data!I509</f>
        <v/>
      </c>
      <c r="H509" s="2">
        <f>Raw_Data!J509</f>
        <v/>
      </c>
      <c r="I509" s="2">
        <f>IF(G509="",0,G509-B509)</f>
        <v/>
      </c>
      <c r="J509" s="2">
        <f>IF(H509="Paid",MAX(0,G509-F509),MAX(0,DATE(2026,12,31)-F509))</f>
        <v/>
      </c>
      <c r="K509" s="8">
        <f>IF(H509="Paid",0,E509)</f>
        <v/>
      </c>
      <c r="L509" s="2">
        <f>IF(J509=0,"Current",IF(J509&lt;=30,"1-30 Days",IF(J509&lt;=60,"31-60 Days",IF(J509&lt;=90,"61-90 Days","90+ Days"))))</f>
        <v/>
      </c>
      <c r="M509" s="8">
        <f>IF(Raw_Data!K509="Yes",Raw_Data!F509*Raw_Data!L509,0)</f>
        <v/>
      </c>
      <c r="N509" s="2">
        <f>IF(H509&lt;&gt;"Paid","Outstanding",IF(J509=0,"On Time","Late"))</f>
        <v/>
      </c>
    </row>
    <row r="510">
      <c r="A510" s="2">
        <f>Raw_Data!A510</f>
        <v/>
      </c>
      <c r="B510" s="7">
        <f>Raw_Data!B510</f>
        <v/>
      </c>
      <c r="C510" s="2">
        <f>Raw_Data!C510</f>
        <v/>
      </c>
      <c r="D510" s="2">
        <f>Raw_Data!D510</f>
        <v/>
      </c>
      <c r="E510" s="8">
        <f>Raw_Data!F510</f>
        <v/>
      </c>
      <c r="F510" s="7">
        <f>Raw_Data!H510</f>
        <v/>
      </c>
      <c r="G510" s="7">
        <f>Raw_Data!I510</f>
        <v/>
      </c>
      <c r="H510" s="2">
        <f>Raw_Data!J510</f>
        <v/>
      </c>
      <c r="I510" s="2">
        <f>IF(G510="",0,G510-B510)</f>
        <v/>
      </c>
      <c r="J510" s="2">
        <f>IF(H510="Paid",MAX(0,G510-F510),MAX(0,DATE(2026,12,31)-F510))</f>
        <v/>
      </c>
      <c r="K510" s="8">
        <f>IF(H510="Paid",0,E510)</f>
        <v/>
      </c>
      <c r="L510" s="2">
        <f>IF(J510=0,"Current",IF(J510&lt;=30,"1-30 Days",IF(J510&lt;=60,"31-60 Days",IF(J510&lt;=90,"61-90 Days","90+ Days"))))</f>
        <v/>
      </c>
      <c r="M510" s="8">
        <f>IF(Raw_Data!K510="Yes",Raw_Data!F510*Raw_Data!L510,0)</f>
        <v/>
      </c>
      <c r="N510" s="2">
        <f>IF(H510&lt;&gt;"Paid","Outstanding",IF(J510=0,"On Time","Late"))</f>
        <v/>
      </c>
    </row>
    <row r="511">
      <c r="A511" s="2">
        <f>Raw_Data!A511</f>
        <v/>
      </c>
      <c r="B511" s="7">
        <f>Raw_Data!B511</f>
        <v/>
      </c>
      <c r="C511" s="2">
        <f>Raw_Data!C511</f>
        <v/>
      </c>
      <c r="D511" s="2">
        <f>Raw_Data!D511</f>
        <v/>
      </c>
      <c r="E511" s="8">
        <f>Raw_Data!F511</f>
        <v/>
      </c>
      <c r="F511" s="7">
        <f>Raw_Data!H511</f>
        <v/>
      </c>
      <c r="G511" s="7">
        <f>Raw_Data!I511</f>
        <v/>
      </c>
      <c r="H511" s="2">
        <f>Raw_Data!J511</f>
        <v/>
      </c>
      <c r="I511" s="2">
        <f>IF(G511="",0,G511-B511)</f>
        <v/>
      </c>
      <c r="J511" s="2">
        <f>IF(H511="Paid",MAX(0,G511-F511),MAX(0,DATE(2026,12,31)-F511))</f>
        <v/>
      </c>
      <c r="K511" s="8">
        <f>IF(H511="Paid",0,E511)</f>
        <v/>
      </c>
      <c r="L511" s="2">
        <f>IF(J511=0,"Current",IF(J511&lt;=30,"1-30 Days",IF(J511&lt;=60,"31-60 Days",IF(J511&lt;=90,"61-90 Days","90+ Days"))))</f>
        <v/>
      </c>
      <c r="M511" s="8">
        <f>IF(Raw_Data!K511="Yes",Raw_Data!F511*Raw_Data!L511,0)</f>
        <v/>
      </c>
      <c r="N511" s="2">
        <f>IF(H511&lt;&gt;"Paid","Outstanding",IF(J511=0,"On Time","Late"))</f>
        <v/>
      </c>
    </row>
    <row r="512">
      <c r="A512" s="2">
        <f>Raw_Data!A512</f>
        <v/>
      </c>
      <c r="B512" s="7">
        <f>Raw_Data!B512</f>
        <v/>
      </c>
      <c r="C512" s="2">
        <f>Raw_Data!C512</f>
        <v/>
      </c>
      <c r="D512" s="2">
        <f>Raw_Data!D512</f>
        <v/>
      </c>
      <c r="E512" s="8">
        <f>Raw_Data!F512</f>
        <v/>
      </c>
      <c r="F512" s="7">
        <f>Raw_Data!H512</f>
        <v/>
      </c>
      <c r="G512" s="7">
        <f>Raw_Data!I512</f>
        <v/>
      </c>
      <c r="H512" s="2">
        <f>Raw_Data!J512</f>
        <v/>
      </c>
      <c r="I512" s="2">
        <f>IF(G512="",0,G512-B512)</f>
        <v/>
      </c>
      <c r="J512" s="2">
        <f>IF(H512="Paid",MAX(0,G512-F512),MAX(0,DATE(2026,12,31)-F512))</f>
        <v/>
      </c>
      <c r="K512" s="8">
        <f>IF(H512="Paid",0,E512)</f>
        <v/>
      </c>
      <c r="L512" s="2">
        <f>IF(J512=0,"Current",IF(J512&lt;=30,"1-30 Days",IF(J512&lt;=60,"31-60 Days",IF(J512&lt;=90,"61-90 Days","90+ Days"))))</f>
        <v/>
      </c>
      <c r="M512" s="8">
        <f>IF(Raw_Data!K512="Yes",Raw_Data!F512*Raw_Data!L512,0)</f>
        <v/>
      </c>
      <c r="N512" s="2">
        <f>IF(H512&lt;&gt;"Paid","Outstanding",IF(J512=0,"On Time","Late"))</f>
        <v/>
      </c>
    </row>
    <row r="513">
      <c r="A513" s="2">
        <f>Raw_Data!A513</f>
        <v/>
      </c>
      <c r="B513" s="7">
        <f>Raw_Data!B513</f>
        <v/>
      </c>
      <c r="C513" s="2">
        <f>Raw_Data!C513</f>
        <v/>
      </c>
      <c r="D513" s="2">
        <f>Raw_Data!D513</f>
        <v/>
      </c>
      <c r="E513" s="8">
        <f>Raw_Data!F513</f>
        <v/>
      </c>
      <c r="F513" s="7">
        <f>Raw_Data!H513</f>
        <v/>
      </c>
      <c r="G513" s="7">
        <f>Raw_Data!I513</f>
        <v/>
      </c>
      <c r="H513" s="2">
        <f>Raw_Data!J513</f>
        <v/>
      </c>
      <c r="I513" s="2">
        <f>IF(G513="",0,G513-B513)</f>
        <v/>
      </c>
      <c r="J513" s="2">
        <f>IF(H513="Paid",MAX(0,G513-F513),MAX(0,DATE(2026,12,31)-F513))</f>
        <v/>
      </c>
      <c r="K513" s="8">
        <f>IF(H513="Paid",0,E513)</f>
        <v/>
      </c>
      <c r="L513" s="2">
        <f>IF(J513=0,"Current",IF(J513&lt;=30,"1-30 Days",IF(J513&lt;=60,"31-60 Days",IF(J513&lt;=90,"61-90 Days","90+ Days"))))</f>
        <v/>
      </c>
      <c r="M513" s="8">
        <f>IF(Raw_Data!K513="Yes",Raw_Data!F513*Raw_Data!L513,0)</f>
        <v/>
      </c>
      <c r="N513" s="2">
        <f>IF(H513&lt;&gt;"Paid","Outstanding",IF(J513=0,"On Time","Late"))</f>
        <v/>
      </c>
    </row>
    <row r="514">
      <c r="A514" s="2">
        <f>Raw_Data!A514</f>
        <v/>
      </c>
      <c r="B514" s="7">
        <f>Raw_Data!B514</f>
        <v/>
      </c>
      <c r="C514" s="2">
        <f>Raw_Data!C514</f>
        <v/>
      </c>
      <c r="D514" s="2">
        <f>Raw_Data!D514</f>
        <v/>
      </c>
      <c r="E514" s="8">
        <f>Raw_Data!F514</f>
        <v/>
      </c>
      <c r="F514" s="7">
        <f>Raw_Data!H514</f>
        <v/>
      </c>
      <c r="G514" s="7">
        <f>Raw_Data!I514</f>
        <v/>
      </c>
      <c r="H514" s="2">
        <f>Raw_Data!J514</f>
        <v/>
      </c>
      <c r="I514" s="2">
        <f>IF(G514="",0,G514-B514)</f>
        <v/>
      </c>
      <c r="J514" s="2">
        <f>IF(H514="Paid",MAX(0,G514-F514),MAX(0,DATE(2026,12,31)-F514))</f>
        <v/>
      </c>
      <c r="K514" s="8">
        <f>IF(H514="Paid",0,E514)</f>
        <v/>
      </c>
      <c r="L514" s="2">
        <f>IF(J514=0,"Current",IF(J514&lt;=30,"1-30 Days",IF(J514&lt;=60,"31-60 Days",IF(J514&lt;=90,"61-90 Days","90+ Days"))))</f>
        <v/>
      </c>
      <c r="M514" s="8">
        <f>IF(Raw_Data!K514="Yes",Raw_Data!F514*Raw_Data!L514,0)</f>
        <v/>
      </c>
      <c r="N514" s="2">
        <f>IF(H514&lt;&gt;"Paid","Outstanding",IF(J514=0,"On Time","Late"))</f>
        <v/>
      </c>
    </row>
    <row r="515">
      <c r="A515" s="2">
        <f>Raw_Data!A515</f>
        <v/>
      </c>
      <c r="B515" s="7">
        <f>Raw_Data!B515</f>
        <v/>
      </c>
      <c r="C515" s="2">
        <f>Raw_Data!C515</f>
        <v/>
      </c>
      <c r="D515" s="2">
        <f>Raw_Data!D515</f>
        <v/>
      </c>
      <c r="E515" s="8">
        <f>Raw_Data!F515</f>
        <v/>
      </c>
      <c r="F515" s="7">
        <f>Raw_Data!H515</f>
        <v/>
      </c>
      <c r="G515" s="7">
        <f>Raw_Data!I515</f>
        <v/>
      </c>
      <c r="H515" s="2">
        <f>Raw_Data!J515</f>
        <v/>
      </c>
      <c r="I515" s="2">
        <f>IF(G515="",0,G515-B515)</f>
        <v/>
      </c>
      <c r="J515" s="2">
        <f>IF(H515="Paid",MAX(0,G515-F515),MAX(0,DATE(2026,12,31)-F515))</f>
        <v/>
      </c>
      <c r="K515" s="8">
        <f>IF(H515="Paid",0,E515)</f>
        <v/>
      </c>
      <c r="L515" s="2">
        <f>IF(J515=0,"Current",IF(J515&lt;=30,"1-30 Days",IF(J515&lt;=60,"31-60 Days",IF(J515&lt;=90,"61-90 Days","90+ Days"))))</f>
        <v/>
      </c>
      <c r="M515" s="8">
        <f>IF(Raw_Data!K515="Yes",Raw_Data!F515*Raw_Data!L515,0)</f>
        <v/>
      </c>
      <c r="N515" s="2">
        <f>IF(H515&lt;&gt;"Paid","Outstanding",IF(J515=0,"On Time","Late"))</f>
        <v/>
      </c>
    </row>
    <row r="516">
      <c r="A516" s="2">
        <f>Raw_Data!A516</f>
        <v/>
      </c>
      <c r="B516" s="7">
        <f>Raw_Data!B516</f>
        <v/>
      </c>
      <c r="C516" s="2">
        <f>Raw_Data!C516</f>
        <v/>
      </c>
      <c r="D516" s="2">
        <f>Raw_Data!D516</f>
        <v/>
      </c>
      <c r="E516" s="8">
        <f>Raw_Data!F516</f>
        <v/>
      </c>
      <c r="F516" s="7">
        <f>Raw_Data!H516</f>
        <v/>
      </c>
      <c r="G516" s="7">
        <f>Raw_Data!I516</f>
        <v/>
      </c>
      <c r="H516" s="2">
        <f>Raw_Data!J516</f>
        <v/>
      </c>
      <c r="I516" s="2">
        <f>IF(G516="",0,G516-B516)</f>
        <v/>
      </c>
      <c r="J516" s="2">
        <f>IF(H516="Paid",MAX(0,G516-F516),MAX(0,DATE(2026,12,31)-F516))</f>
        <v/>
      </c>
      <c r="K516" s="8">
        <f>IF(H516="Paid",0,E516)</f>
        <v/>
      </c>
      <c r="L516" s="2">
        <f>IF(J516=0,"Current",IF(J516&lt;=30,"1-30 Days",IF(J516&lt;=60,"31-60 Days",IF(J516&lt;=90,"61-90 Days","90+ Days"))))</f>
        <v/>
      </c>
      <c r="M516" s="8">
        <f>IF(Raw_Data!K516="Yes",Raw_Data!F516*Raw_Data!L516,0)</f>
        <v/>
      </c>
      <c r="N516" s="2">
        <f>IF(H516&lt;&gt;"Paid","Outstanding",IF(J516=0,"On Time","Late"))</f>
        <v/>
      </c>
    </row>
    <row r="517">
      <c r="A517" s="2">
        <f>Raw_Data!A517</f>
        <v/>
      </c>
      <c r="B517" s="7">
        <f>Raw_Data!B517</f>
        <v/>
      </c>
      <c r="C517" s="2">
        <f>Raw_Data!C517</f>
        <v/>
      </c>
      <c r="D517" s="2">
        <f>Raw_Data!D517</f>
        <v/>
      </c>
      <c r="E517" s="8">
        <f>Raw_Data!F517</f>
        <v/>
      </c>
      <c r="F517" s="7">
        <f>Raw_Data!H517</f>
        <v/>
      </c>
      <c r="G517" s="7">
        <f>Raw_Data!I517</f>
        <v/>
      </c>
      <c r="H517" s="2">
        <f>Raw_Data!J517</f>
        <v/>
      </c>
      <c r="I517" s="2">
        <f>IF(G517="",0,G517-B517)</f>
        <v/>
      </c>
      <c r="J517" s="2">
        <f>IF(H517="Paid",MAX(0,G517-F517),MAX(0,DATE(2026,12,31)-F517))</f>
        <v/>
      </c>
      <c r="K517" s="8">
        <f>IF(H517="Paid",0,E517)</f>
        <v/>
      </c>
      <c r="L517" s="2">
        <f>IF(J517=0,"Current",IF(J517&lt;=30,"1-30 Days",IF(J517&lt;=60,"31-60 Days",IF(J517&lt;=90,"61-90 Days","90+ Days"))))</f>
        <v/>
      </c>
      <c r="M517" s="8">
        <f>IF(Raw_Data!K517="Yes",Raw_Data!F517*Raw_Data!L517,0)</f>
        <v/>
      </c>
      <c r="N517" s="2">
        <f>IF(H517&lt;&gt;"Paid","Outstanding",IF(J517=0,"On Time","Late"))</f>
        <v/>
      </c>
    </row>
    <row r="518">
      <c r="A518" s="2">
        <f>Raw_Data!A518</f>
        <v/>
      </c>
      <c r="B518" s="7">
        <f>Raw_Data!B518</f>
        <v/>
      </c>
      <c r="C518" s="2">
        <f>Raw_Data!C518</f>
        <v/>
      </c>
      <c r="D518" s="2">
        <f>Raw_Data!D518</f>
        <v/>
      </c>
      <c r="E518" s="8">
        <f>Raw_Data!F518</f>
        <v/>
      </c>
      <c r="F518" s="7">
        <f>Raw_Data!H518</f>
        <v/>
      </c>
      <c r="G518" s="7">
        <f>Raw_Data!I518</f>
        <v/>
      </c>
      <c r="H518" s="2">
        <f>Raw_Data!J518</f>
        <v/>
      </c>
      <c r="I518" s="2">
        <f>IF(G518="",0,G518-B518)</f>
        <v/>
      </c>
      <c r="J518" s="2">
        <f>IF(H518="Paid",MAX(0,G518-F518),MAX(0,DATE(2026,12,31)-F518))</f>
        <v/>
      </c>
      <c r="K518" s="8">
        <f>IF(H518="Paid",0,E518)</f>
        <v/>
      </c>
      <c r="L518" s="2">
        <f>IF(J518=0,"Current",IF(J518&lt;=30,"1-30 Days",IF(J518&lt;=60,"31-60 Days",IF(J518&lt;=90,"61-90 Days","90+ Days"))))</f>
        <v/>
      </c>
      <c r="M518" s="8">
        <f>IF(Raw_Data!K518="Yes",Raw_Data!F518*Raw_Data!L518,0)</f>
        <v/>
      </c>
      <c r="N518" s="2">
        <f>IF(H518&lt;&gt;"Paid","Outstanding",IF(J518=0,"On Time","Late"))</f>
        <v/>
      </c>
    </row>
    <row r="519">
      <c r="A519" s="2">
        <f>Raw_Data!A519</f>
        <v/>
      </c>
      <c r="B519" s="7">
        <f>Raw_Data!B519</f>
        <v/>
      </c>
      <c r="C519" s="2">
        <f>Raw_Data!C519</f>
        <v/>
      </c>
      <c r="D519" s="2">
        <f>Raw_Data!D519</f>
        <v/>
      </c>
      <c r="E519" s="8">
        <f>Raw_Data!F519</f>
        <v/>
      </c>
      <c r="F519" s="7">
        <f>Raw_Data!H519</f>
        <v/>
      </c>
      <c r="G519" s="7">
        <f>Raw_Data!I519</f>
        <v/>
      </c>
      <c r="H519" s="2">
        <f>Raw_Data!J519</f>
        <v/>
      </c>
      <c r="I519" s="2">
        <f>IF(G519="",0,G519-B519)</f>
        <v/>
      </c>
      <c r="J519" s="2">
        <f>IF(H519="Paid",MAX(0,G519-F519),MAX(0,DATE(2026,12,31)-F519))</f>
        <v/>
      </c>
      <c r="K519" s="8">
        <f>IF(H519="Paid",0,E519)</f>
        <v/>
      </c>
      <c r="L519" s="2">
        <f>IF(J519=0,"Current",IF(J519&lt;=30,"1-30 Days",IF(J519&lt;=60,"31-60 Days",IF(J519&lt;=90,"61-90 Days","90+ Days"))))</f>
        <v/>
      </c>
      <c r="M519" s="8">
        <f>IF(Raw_Data!K519="Yes",Raw_Data!F519*Raw_Data!L519,0)</f>
        <v/>
      </c>
      <c r="N519" s="2">
        <f>IF(H519&lt;&gt;"Paid","Outstanding",IF(J519=0,"On Time","Late"))</f>
        <v/>
      </c>
    </row>
    <row r="520">
      <c r="A520" s="2">
        <f>Raw_Data!A520</f>
        <v/>
      </c>
      <c r="B520" s="7">
        <f>Raw_Data!B520</f>
        <v/>
      </c>
      <c r="C520" s="2">
        <f>Raw_Data!C520</f>
        <v/>
      </c>
      <c r="D520" s="2">
        <f>Raw_Data!D520</f>
        <v/>
      </c>
      <c r="E520" s="8">
        <f>Raw_Data!F520</f>
        <v/>
      </c>
      <c r="F520" s="7">
        <f>Raw_Data!H520</f>
        <v/>
      </c>
      <c r="G520" s="7">
        <f>Raw_Data!I520</f>
        <v/>
      </c>
      <c r="H520" s="2">
        <f>Raw_Data!J520</f>
        <v/>
      </c>
      <c r="I520" s="2">
        <f>IF(G520="",0,G520-B520)</f>
        <v/>
      </c>
      <c r="J520" s="2">
        <f>IF(H520="Paid",MAX(0,G520-F520),MAX(0,DATE(2026,12,31)-F520))</f>
        <v/>
      </c>
      <c r="K520" s="8">
        <f>IF(H520="Paid",0,E520)</f>
        <v/>
      </c>
      <c r="L520" s="2">
        <f>IF(J520=0,"Current",IF(J520&lt;=30,"1-30 Days",IF(J520&lt;=60,"31-60 Days",IF(J520&lt;=90,"61-90 Days","90+ Days"))))</f>
        <v/>
      </c>
      <c r="M520" s="8">
        <f>IF(Raw_Data!K520="Yes",Raw_Data!F520*Raw_Data!L520,0)</f>
        <v/>
      </c>
      <c r="N520" s="2">
        <f>IF(H520&lt;&gt;"Paid","Outstanding",IF(J520=0,"On Time","Late"))</f>
        <v/>
      </c>
    </row>
    <row r="521">
      <c r="A521" s="2">
        <f>Raw_Data!A521</f>
        <v/>
      </c>
      <c r="B521" s="7">
        <f>Raw_Data!B521</f>
        <v/>
      </c>
      <c r="C521" s="2">
        <f>Raw_Data!C521</f>
        <v/>
      </c>
      <c r="D521" s="2">
        <f>Raw_Data!D521</f>
        <v/>
      </c>
      <c r="E521" s="8">
        <f>Raw_Data!F521</f>
        <v/>
      </c>
      <c r="F521" s="7">
        <f>Raw_Data!H521</f>
        <v/>
      </c>
      <c r="G521" s="7">
        <f>Raw_Data!I521</f>
        <v/>
      </c>
      <c r="H521" s="2">
        <f>Raw_Data!J521</f>
        <v/>
      </c>
      <c r="I521" s="2">
        <f>IF(G521="",0,G521-B521)</f>
        <v/>
      </c>
      <c r="J521" s="2">
        <f>IF(H521="Paid",MAX(0,G521-F521),MAX(0,DATE(2026,12,31)-F521))</f>
        <v/>
      </c>
      <c r="K521" s="8">
        <f>IF(H521="Paid",0,E521)</f>
        <v/>
      </c>
      <c r="L521" s="2">
        <f>IF(J521=0,"Current",IF(J521&lt;=30,"1-30 Days",IF(J521&lt;=60,"31-60 Days",IF(J521&lt;=90,"61-90 Days","90+ Days"))))</f>
        <v/>
      </c>
      <c r="M521" s="8">
        <f>IF(Raw_Data!K521="Yes",Raw_Data!F521*Raw_Data!L521,0)</f>
        <v/>
      </c>
      <c r="N521" s="2">
        <f>IF(H521&lt;&gt;"Paid","Outstanding",IF(J521=0,"On Time","Late"))</f>
        <v/>
      </c>
    </row>
    <row r="522">
      <c r="A522" s="2">
        <f>Raw_Data!A522</f>
        <v/>
      </c>
      <c r="B522" s="7">
        <f>Raw_Data!B522</f>
        <v/>
      </c>
      <c r="C522" s="2">
        <f>Raw_Data!C522</f>
        <v/>
      </c>
      <c r="D522" s="2">
        <f>Raw_Data!D522</f>
        <v/>
      </c>
      <c r="E522" s="8">
        <f>Raw_Data!F522</f>
        <v/>
      </c>
      <c r="F522" s="7">
        <f>Raw_Data!H522</f>
        <v/>
      </c>
      <c r="G522" s="7">
        <f>Raw_Data!I522</f>
        <v/>
      </c>
      <c r="H522" s="2">
        <f>Raw_Data!J522</f>
        <v/>
      </c>
      <c r="I522" s="2">
        <f>IF(G522="",0,G522-B522)</f>
        <v/>
      </c>
      <c r="J522" s="2">
        <f>IF(H522="Paid",MAX(0,G522-F522),MAX(0,DATE(2026,12,31)-F522))</f>
        <v/>
      </c>
      <c r="K522" s="8">
        <f>IF(H522="Paid",0,E522)</f>
        <v/>
      </c>
      <c r="L522" s="2">
        <f>IF(J522=0,"Current",IF(J522&lt;=30,"1-30 Days",IF(J522&lt;=60,"31-60 Days",IF(J522&lt;=90,"61-90 Days","90+ Days"))))</f>
        <v/>
      </c>
      <c r="M522" s="8">
        <f>IF(Raw_Data!K522="Yes",Raw_Data!F522*Raw_Data!L522,0)</f>
        <v/>
      </c>
      <c r="N522" s="2">
        <f>IF(H522&lt;&gt;"Paid","Outstanding",IF(J522=0,"On Time","Late"))</f>
        <v/>
      </c>
    </row>
    <row r="523">
      <c r="A523" s="2">
        <f>Raw_Data!A523</f>
        <v/>
      </c>
      <c r="B523" s="7">
        <f>Raw_Data!B523</f>
        <v/>
      </c>
      <c r="C523" s="2">
        <f>Raw_Data!C523</f>
        <v/>
      </c>
      <c r="D523" s="2">
        <f>Raw_Data!D523</f>
        <v/>
      </c>
      <c r="E523" s="8">
        <f>Raw_Data!F523</f>
        <v/>
      </c>
      <c r="F523" s="7">
        <f>Raw_Data!H523</f>
        <v/>
      </c>
      <c r="G523" s="7">
        <f>Raw_Data!I523</f>
        <v/>
      </c>
      <c r="H523" s="2">
        <f>Raw_Data!J523</f>
        <v/>
      </c>
      <c r="I523" s="2">
        <f>IF(G523="",0,G523-B523)</f>
        <v/>
      </c>
      <c r="J523" s="2">
        <f>IF(H523="Paid",MAX(0,G523-F523),MAX(0,DATE(2026,12,31)-F523))</f>
        <v/>
      </c>
      <c r="K523" s="8">
        <f>IF(H523="Paid",0,E523)</f>
        <v/>
      </c>
      <c r="L523" s="2">
        <f>IF(J523=0,"Current",IF(J523&lt;=30,"1-30 Days",IF(J523&lt;=60,"31-60 Days",IF(J523&lt;=90,"61-90 Days","90+ Days"))))</f>
        <v/>
      </c>
      <c r="M523" s="8">
        <f>IF(Raw_Data!K523="Yes",Raw_Data!F523*Raw_Data!L523,0)</f>
        <v/>
      </c>
      <c r="N523" s="2">
        <f>IF(H523&lt;&gt;"Paid","Outstanding",IF(J523=0,"On Time","Late"))</f>
        <v/>
      </c>
    </row>
    <row r="524">
      <c r="A524" s="2">
        <f>Raw_Data!A524</f>
        <v/>
      </c>
      <c r="B524" s="7">
        <f>Raw_Data!B524</f>
        <v/>
      </c>
      <c r="C524" s="2">
        <f>Raw_Data!C524</f>
        <v/>
      </c>
      <c r="D524" s="2">
        <f>Raw_Data!D524</f>
        <v/>
      </c>
      <c r="E524" s="8">
        <f>Raw_Data!F524</f>
        <v/>
      </c>
      <c r="F524" s="7">
        <f>Raw_Data!H524</f>
        <v/>
      </c>
      <c r="G524" s="7">
        <f>Raw_Data!I524</f>
        <v/>
      </c>
      <c r="H524" s="2">
        <f>Raw_Data!J524</f>
        <v/>
      </c>
      <c r="I524" s="2">
        <f>IF(G524="",0,G524-B524)</f>
        <v/>
      </c>
      <c r="J524" s="2">
        <f>IF(H524="Paid",MAX(0,G524-F524),MAX(0,DATE(2026,12,31)-F524))</f>
        <v/>
      </c>
      <c r="K524" s="8">
        <f>IF(H524="Paid",0,E524)</f>
        <v/>
      </c>
      <c r="L524" s="2">
        <f>IF(J524=0,"Current",IF(J524&lt;=30,"1-30 Days",IF(J524&lt;=60,"31-60 Days",IF(J524&lt;=90,"61-90 Days","90+ Days"))))</f>
        <v/>
      </c>
      <c r="M524" s="8">
        <f>IF(Raw_Data!K524="Yes",Raw_Data!F524*Raw_Data!L524,0)</f>
        <v/>
      </c>
      <c r="N524" s="2">
        <f>IF(H524&lt;&gt;"Paid","Outstanding",IF(J524=0,"On Time","Late"))</f>
        <v/>
      </c>
    </row>
    <row r="525">
      <c r="A525" s="2">
        <f>Raw_Data!A525</f>
        <v/>
      </c>
      <c r="B525" s="7">
        <f>Raw_Data!B525</f>
        <v/>
      </c>
      <c r="C525" s="2">
        <f>Raw_Data!C525</f>
        <v/>
      </c>
      <c r="D525" s="2">
        <f>Raw_Data!D525</f>
        <v/>
      </c>
      <c r="E525" s="8">
        <f>Raw_Data!F525</f>
        <v/>
      </c>
      <c r="F525" s="7">
        <f>Raw_Data!H525</f>
        <v/>
      </c>
      <c r="G525" s="7">
        <f>Raw_Data!I525</f>
        <v/>
      </c>
      <c r="H525" s="2">
        <f>Raw_Data!J525</f>
        <v/>
      </c>
      <c r="I525" s="2">
        <f>IF(G525="",0,G525-B525)</f>
        <v/>
      </c>
      <c r="J525" s="2">
        <f>IF(H525="Paid",MAX(0,G525-F525),MAX(0,DATE(2026,12,31)-F525))</f>
        <v/>
      </c>
      <c r="K525" s="8">
        <f>IF(H525="Paid",0,E525)</f>
        <v/>
      </c>
      <c r="L525" s="2">
        <f>IF(J525=0,"Current",IF(J525&lt;=30,"1-30 Days",IF(J525&lt;=60,"31-60 Days",IF(J525&lt;=90,"61-90 Days","90+ Days"))))</f>
        <v/>
      </c>
      <c r="M525" s="8">
        <f>IF(Raw_Data!K525="Yes",Raw_Data!F525*Raw_Data!L525,0)</f>
        <v/>
      </c>
      <c r="N525" s="2">
        <f>IF(H525&lt;&gt;"Paid","Outstanding",IF(J525=0,"On Time","Late"))</f>
        <v/>
      </c>
    </row>
    <row r="526">
      <c r="A526" s="2">
        <f>Raw_Data!A526</f>
        <v/>
      </c>
      <c r="B526" s="7">
        <f>Raw_Data!B526</f>
        <v/>
      </c>
      <c r="C526" s="2">
        <f>Raw_Data!C526</f>
        <v/>
      </c>
      <c r="D526" s="2">
        <f>Raw_Data!D526</f>
        <v/>
      </c>
      <c r="E526" s="8">
        <f>Raw_Data!F526</f>
        <v/>
      </c>
      <c r="F526" s="7">
        <f>Raw_Data!H526</f>
        <v/>
      </c>
      <c r="G526" s="7">
        <f>Raw_Data!I526</f>
        <v/>
      </c>
      <c r="H526" s="2">
        <f>Raw_Data!J526</f>
        <v/>
      </c>
      <c r="I526" s="2">
        <f>IF(G526="",0,G526-B526)</f>
        <v/>
      </c>
      <c r="J526" s="2">
        <f>IF(H526="Paid",MAX(0,G526-F526),MAX(0,DATE(2026,12,31)-F526))</f>
        <v/>
      </c>
      <c r="K526" s="8">
        <f>IF(H526="Paid",0,E526)</f>
        <v/>
      </c>
      <c r="L526" s="2">
        <f>IF(J526=0,"Current",IF(J526&lt;=30,"1-30 Days",IF(J526&lt;=60,"31-60 Days",IF(J526&lt;=90,"61-90 Days","90+ Days"))))</f>
        <v/>
      </c>
      <c r="M526" s="8">
        <f>IF(Raw_Data!K526="Yes",Raw_Data!F526*Raw_Data!L526,0)</f>
        <v/>
      </c>
      <c r="N526" s="2">
        <f>IF(H526&lt;&gt;"Paid","Outstanding",IF(J526=0,"On Time","Late"))</f>
        <v/>
      </c>
    </row>
    <row r="527">
      <c r="A527" s="2">
        <f>Raw_Data!A527</f>
        <v/>
      </c>
      <c r="B527" s="7">
        <f>Raw_Data!B527</f>
        <v/>
      </c>
      <c r="C527" s="2">
        <f>Raw_Data!C527</f>
        <v/>
      </c>
      <c r="D527" s="2">
        <f>Raw_Data!D527</f>
        <v/>
      </c>
      <c r="E527" s="8">
        <f>Raw_Data!F527</f>
        <v/>
      </c>
      <c r="F527" s="7">
        <f>Raw_Data!H527</f>
        <v/>
      </c>
      <c r="G527" s="7">
        <f>Raw_Data!I527</f>
        <v/>
      </c>
      <c r="H527" s="2">
        <f>Raw_Data!J527</f>
        <v/>
      </c>
      <c r="I527" s="2">
        <f>IF(G527="",0,G527-B527)</f>
        <v/>
      </c>
      <c r="J527" s="2">
        <f>IF(H527="Paid",MAX(0,G527-F527),MAX(0,DATE(2026,12,31)-F527))</f>
        <v/>
      </c>
      <c r="K527" s="8">
        <f>IF(H527="Paid",0,E527)</f>
        <v/>
      </c>
      <c r="L527" s="2">
        <f>IF(J527=0,"Current",IF(J527&lt;=30,"1-30 Days",IF(J527&lt;=60,"31-60 Days",IF(J527&lt;=90,"61-90 Days","90+ Days"))))</f>
        <v/>
      </c>
      <c r="M527" s="8">
        <f>IF(Raw_Data!K527="Yes",Raw_Data!F527*Raw_Data!L527,0)</f>
        <v/>
      </c>
      <c r="N527" s="2">
        <f>IF(H527&lt;&gt;"Paid","Outstanding",IF(J527=0,"On Time","Late"))</f>
        <v/>
      </c>
    </row>
    <row r="528">
      <c r="A528" s="2">
        <f>Raw_Data!A528</f>
        <v/>
      </c>
      <c r="B528" s="7">
        <f>Raw_Data!B528</f>
        <v/>
      </c>
      <c r="C528" s="2">
        <f>Raw_Data!C528</f>
        <v/>
      </c>
      <c r="D528" s="2">
        <f>Raw_Data!D528</f>
        <v/>
      </c>
      <c r="E528" s="8">
        <f>Raw_Data!F528</f>
        <v/>
      </c>
      <c r="F528" s="7">
        <f>Raw_Data!H528</f>
        <v/>
      </c>
      <c r="G528" s="7">
        <f>Raw_Data!I528</f>
        <v/>
      </c>
      <c r="H528" s="2">
        <f>Raw_Data!J528</f>
        <v/>
      </c>
      <c r="I528" s="2">
        <f>IF(G528="",0,G528-B528)</f>
        <v/>
      </c>
      <c r="J528" s="2">
        <f>IF(H528="Paid",MAX(0,G528-F528),MAX(0,DATE(2026,12,31)-F528))</f>
        <v/>
      </c>
      <c r="K528" s="8">
        <f>IF(H528="Paid",0,E528)</f>
        <v/>
      </c>
      <c r="L528" s="2">
        <f>IF(J528=0,"Current",IF(J528&lt;=30,"1-30 Days",IF(J528&lt;=60,"31-60 Days",IF(J528&lt;=90,"61-90 Days","90+ Days"))))</f>
        <v/>
      </c>
      <c r="M528" s="8">
        <f>IF(Raw_Data!K528="Yes",Raw_Data!F528*Raw_Data!L528,0)</f>
        <v/>
      </c>
      <c r="N528" s="2">
        <f>IF(H528&lt;&gt;"Paid","Outstanding",IF(J528=0,"On Time","Late"))</f>
        <v/>
      </c>
    </row>
    <row r="529">
      <c r="A529" s="2">
        <f>Raw_Data!A529</f>
        <v/>
      </c>
      <c r="B529" s="7">
        <f>Raw_Data!B529</f>
        <v/>
      </c>
      <c r="C529" s="2">
        <f>Raw_Data!C529</f>
        <v/>
      </c>
      <c r="D529" s="2">
        <f>Raw_Data!D529</f>
        <v/>
      </c>
      <c r="E529" s="8">
        <f>Raw_Data!F529</f>
        <v/>
      </c>
      <c r="F529" s="7">
        <f>Raw_Data!H529</f>
        <v/>
      </c>
      <c r="G529" s="7">
        <f>Raw_Data!I529</f>
        <v/>
      </c>
      <c r="H529" s="2">
        <f>Raw_Data!J529</f>
        <v/>
      </c>
      <c r="I529" s="2">
        <f>IF(G529="",0,G529-B529)</f>
        <v/>
      </c>
      <c r="J529" s="2">
        <f>IF(H529="Paid",MAX(0,G529-F529),MAX(0,DATE(2026,12,31)-F529))</f>
        <v/>
      </c>
      <c r="K529" s="8">
        <f>IF(H529="Paid",0,E529)</f>
        <v/>
      </c>
      <c r="L529" s="2">
        <f>IF(J529=0,"Current",IF(J529&lt;=30,"1-30 Days",IF(J529&lt;=60,"31-60 Days",IF(J529&lt;=90,"61-90 Days","90+ Days"))))</f>
        <v/>
      </c>
      <c r="M529" s="8">
        <f>IF(Raw_Data!K529="Yes",Raw_Data!F529*Raw_Data!L529,0)</f>
        <v/>
      </c>
      <c r="N529" s="2">
        <f>IF(H529&lt;&gt;"Paid","Outstanding",IF(J529=0,"On Time","Late"))</f>
        <v/>
      </c>
    </row>
    <row r="530">
      <c r="A530" s="2">
        <f>Raw_Data!A530</f>
        <v/>
      </c>
      <c r="B530" s="7">
        <f>Raw_Data!B530</f>
        <v/>
      </c>
      <c r="C530" s="2">
        <f>Raw_Data!C530</f>
        <v/>
      </c>
      <c r="D530" s="2">
        <f>Raw_Data!D530</f>
        <v/>
      </c>
      <c r="E530" s="8">
        <f>Raw_Data!F530</f>
        <v/>
      </c>
      <c r="F530" s="7">
        <f>Raw_Data!H530</f>
        <v/>
      </c>
      <c r="G530" s="7">
        <f>Raw_Data!I530</f>
        <v/>
      </c>
      <c r="H530" s="2">
        <f>Raw_Data!J530</f>
        <v/>
      </c>
      <c r="I530" s="2">
        <f>IF(G530="",0,G530-B530)</f>
        <v/>
      </c>
      <c r="J530" s="2">
        <f>IF(H530="Paid",MAX(0,G530-F530),MAX(0,DATE(2026,12,31)-F530))</f>
        <v/>
      </c>
      <c r="K530" s="8">
        <f>IF(H530="Paid",0,E530)</f>
        <v/>
      </c>
      <c r="L530" s="2">
        <f>IF(J530=0,"Current",IF(J530&lt;=30,"1-30 Days",IF(J530&lt;=60,"31-60 Days",IF(J530&lt;=90,"61-90 Days","90+ Days"))))</f>
        <v/>
      </c>
      <c r="M530" s="8">
        <f>IF(Raw_Data!K530="Yes",Raw_Data!F530*Raw_Data!L530,0)</f>
        <v/>
      </c>
      <c r="N530" s="2">
        <f>IF(H530&lt;&gt;"Paid","Outstanding",IF(J530=0,"On Time","Late"))</f>
        <v/>
      </c>
    </row>
    <row r="531">
      <c r="A531" s="2">
        <f>Raw_Data!A531</f>
        <v/>
      </c>
      <c r="B531" s="7">
        <f>Raw_Data!B531</f>
        <v/>
      </c>
      <c r="C531" s="2">
        <f>Raw_Data!C531</f>
        <v/>
      </c>
      <c r="D531" s="2">
        <f>Raw_Data!D531</f>
        <v/>
      </c>
      <c r="E531" s="8">
        <f>Raw_Data!F531</f>
        <v/>
      </c>
      <c r="F531" s="7">
        <f>Raw_Data!H531</f>
        <v/>
      </c>
      <c r="G531" s="7">
        <f>Raw_Data!I531</f>
        <v/>
      </c>
      <c r="H531" s="2">
        <f>Raw_Data!J531</f>
        <v/>
      </c>
      <c r="I531" s="2">
        <f>IF(G531="",0,G531-B531)</f>
        <v/>
      </c>
      <c r="J531" s="2">
        <f>IF(H531="Paid",MAX(0,G531-F531),MAX(0,DATE(2026,12,31)-F531))</f>
        <v/>
      </c>
      <c r="K531" s="8">
        <f>IF(H531="Paid",0,E531)</f>
        <v/>
      </c>
      <c r="L531" s="2">
        <f>IF(J531=0,"Current",IF(J531&lt;=30,"1-30 Days",IF(J531&lt;=60,"31-60 Days",IF(J531&lt;=90,"61-90 Days","90+ Days"))))</f>
        <v/>
      </c>
      <c r="M531" s="8">
        <f>IF(Raw_Data!K531="Yes",Raw_Data!F531*Raw_Data!L531,0)</f>
        <v/>
      </c>
      <c r="N531" s="2">
        <f>IF(H531&lt;&gt;"Paid","Outstanding",IF(J531=0,"On Time","Late"))</f>
        <v/>
      </c>
    </row>
    <row r="532">
      <c r="A532" s="2">
        <f>Raw_Data!A532</f>
        <v/>
      </c>
      <c r="B532" s="7">
        <f>Raw_Data!B532</f>
        <v/>
      </c>
      <c r="C532" s="2">
        <f>Raw_Data!C532</f>
        <v/>
      </c>
      <c r="D532" s="2">
        <f>Raw_Data!D532</f>
        <v/>
      </c>
      <c r="E532" s="8">
        <f>Raw_Data!F532</f>
        <v/>
      </c>
      <c r="F532" s="7">
        <f>Raw_Data!H532</f>
        <v/>
      </c>
      <c r="G532" s="7">
        <f>Raw_Data!I532</f>
        <v/>
      </c>
      <c r="H532" s="2">
        <f>Raw_Data!J532</f>
        <v/>
      </c>
      <c r="I532" s="2">
        <f>IF(G532="",0,G532-B532)</f>
        <v/>
      </c>
      <c r="J532" s="2">
        <f>IF(H532="Paid",MAX(0,G532-F532),MAX(0,DATE(2026,12,31)-F532))</f>
        <v/>
      </c>
      <c r="K532" s="8">
        <f>IF(H532="Paid",0,E532)</f>
        <v/>
      </c>
      <c r="L532" s="2">
        <f>IF(J532=0,"Current",IF(J532&lt;=30,"1-30 Days",IF(J532&lt;=60,"31-60 Days",IF(J532&lt;=90,"61-90 Days","90+ Days"))))</f>
        <v/>
      </c>
      <c r="M532" s="8">
        <f>IF(Raw_Data!K532="Yes",Raw_Data!F532*Raw_Data!L532,0)</f>
        <v/>
      </c>
      <c r="N532" s="2">
        <f>IF(H532&lt;&gt;"Paid","Outstanding",IF(J532=0,"On Time","Late"))</f>
        <v/>
      </c>
    </row>
    <row r="533">
      <c r="A533" s="2">
        <f>Raw_Data!A533</f>
        <v/>
      </c>
      <c r="B533" s="7">
        <f>Raw_Data!B533</f>
        <v/>
      </c>
      <c r="C533" s="2">
        <f>Raw_Data!C533</f>
        <v/>
      </c>
      <c r="D533" s="2">
        <f>Raw_Data!D533</f>
        <v/>
      </c>
      <c r="E533" s="8">
        <f>Raw_Data!F533</f>
        <v/>
      </c>
      <c r="F533" s="7">
        <f>Raw_Data!H533</f>
        <v/>
      </c>
      <c r="G533" s="7">
        <f>Raw_Data!I533</f>
        <v/>
      </c>
      <c r="H533" s="2">
        <f>Raw_Data!J533</f>
        <v/>
      </c>
      <c r="I533" s="2">
        <f>IF(G533="",0,G533-B533)</f>
        <v/>
      </c>
      <c r="J533" s="2">
        <f>IF(H533="Paid",MAX(0,G533-F533),MAX(0,DATE(2026,12,31)-F533))</f>
        <v/>
      </c>
      <c r="K533" s="8">
        <f>IF(H533="Paid",0,E533)</f>
        <v/>
      </c>
      <c r="L533" s="2">
        <f>IF(J533=0,"Current",IF(J533&lt;=30,"1-30 Days",IF(J533&lt;=60,"31-60 Days",IF(J533&lt;=90,"61-90 Days","90+ Days"))))</f>
        <v/>
      </c>
      <c r="M533" s="8">
        <f>IF(Raw_Data!K533="Yes",Raw_Data!F533*Raw_Data!L533,0)</f>
        <v/>
      </c>
      <c r="N533" s="2">
        <f>IF(H533&lt;&gt;"Paid","Outstanding",IF(J533=0,"On Time","Late"))</f>
        <v/>
      </c>
    </row>
    <row r="534">
      <c r="A534" s="2">
        <f>Raw_Data!A534</f>
        <v/>
      </c>
      <c r="B534" s="7">
        <f>Raw_Data!B534</f>
        <v/>
      </c>
      <c r="C534" s="2">
        <f>Raw_Data!C534</f>
        <v/>
      </c>
      <c r="D534" s="2">
        <f>Raw_Data!D534</f>
        <v/>
      </c>
      <c r="E534" s="8">
        <f>Raw_Data!F534</f>
        <v/>
      </c>
      <c r="F534" s="7">
        <f>Raw_Data!H534</f>
        <v/>
      </c>
      <c r="G534" s="7">
        <f>Raw_Data!I534</f>
        <v/>
      </c>
      <c r="H534" s="2">
        <f>Raw_Data!J534</f>
        <v/>
      </c>
      <c r="I534" s="2">
        <f>IF(G534="",0,G534-B534)</f>
        <v/>
      </c>
      <c r="J534" s="2">
        <f>IF(H534="Paid",MAX(0,G534-F534),MAX(0,DATE(2026,12,31)-F534))</f>
        <v/>
      </c>
      <c r="K534" s="8">
        <f>IF(H534="Paid",0,E534)</f>
        <v/>
      </c>
      <c r="L534" s="2">
        <f>IF(J534=0,"Current",IF(J534&lt;=30,"1-30 Days",IF(J534&lt;=60,"31-60 Days",IF(J534&lt;=90,"61-90 Days","90+ Days"))))</f>
        <v/>
      </c>
      <c r="M534" s="8">
        <f>IF(Raw_Data!K534="Yes",Raw_Data!F534*Raw_Data!L534,0)</f>
        <v/>
      </c>
      <c r="N534" s="2">
        <f>IF(H534&lt;&gt;"Paid","Outstanding",IF(J534=0,"On Time","Late"))</f>
        <v/>
      </c>
    </row>
    <row r="535">
      <c r="A535" s="2">
        <f>Raw_Data!A535</f>
        <v/>
      </c>
      <c r="B535" s="7">
        <f>Raw_Data!B535</f>
        <v/>
      </c>
      <c r="C535" s="2">
        <f>Raw_Data!C535</f>
        <v/>
      </c>
      <c r="D535" s="2">
        <f>Raw_Data!D535</f>
        <v/>
      </c>
      <c r="E535" s="8">
        <f>Raw_Data!F535</f>
        <v/>
      </c>
      <c r="F535" s="7">
        <f>Raw_Data!H535</f>
        <v/>
      </c>
      <c r="G535" s="7">
        <f>Raw_Data!I535</f>
        <v/>
      </c>
      <c r="H535" s="2">
        <f>Raw_Data!J535</f>
        <v/>
      </c>
      <c r="I535" s="2">
        <f>IF(G535="",0,G535-B535)</f>
        <v/>
      </c>
      <c r="J535" s="2">
        <f>IF(H535="Paid",MAX(0,G535-F535),MAX(0,DATE(2026,12,31)-F535))</f>
        <v/>
      </c>
      <c r="K535" s="8">
        <f>IF(H535="Paid",0,E535)</f>
        <v/>
      </c>
      <c r="L535" s="2">
        <f>IF(J535=0,"Current",IF(J535&lt;=30,"1-30 Days",IF(J535&lt;=60,"31-60 Days",IF(J535&lt;=90,"61-90 Days","90+ Days"))))</f>
        <v/>
      </c>
      <c r="M535" s="8">
        <f>IF(Raw_Data!K535="Yes",Raw_Data!F535*Raw_Data!L535,0)</f>
        <v/>
      </c>
      <c r="N535" s="2">
        <f>IF(H535&lt;&gt;"Paid","Outstanding",IF(J535=0,"On Time","Late"))</f>
        <v/>
      </c>
    </row>
    <row r="536">
      <c r="A536" s="2">
        <f>Raw_Data!A536</f>
        <v/>
      </c>
      <c r="B536" s="7">
        <f>Raw_Data!B536</f>
        <v/>
      </c>
      <c r="C536" s="2">
        <f>Raw_Data!C536</f>
        <v/>
      </c>
      <c r="D536" s="2">
        <f>Raw_Data!D536</f>
        <v/>
      </c>
      <c r="E536" s="8">
        <f>Raw_Data!F536</f>
        <v/>
      </c>
      <c r="F536" s="7">
        <f>Raw_Data!H536</f>
        <v/>
      </c>
      <c r="G536" s="7">
        <f>Raw_Data!I536</f>
        <v/>
      </c>
      <c r="H536" s="2">
        <f>Raw_Data!J536</f>
        <v/>
      </c>
      <c r="I536" s="2">
        <f>IF(G536="",0,G536-B536)</f>
        <v/>
      </c>
      <c r="J536" s="2">
        <f>IF(H536="Paid",MAX(0,G536-F536),MAX(0,DATE(2026,12,31)-F536))</f>
        <v/>
      </c>
      <c r="K536" s="8">
        <f>IF(H536="Paid",0,E536)</f>
        <v/>
      </c>
      <c r="L536" s="2">
        <f>IF(J536=0,"Current",IF(J536&lt;=30,"1-30 Days",IF(J536&lt;=60,"31-60 Days",IF(J536&lt;=90,"61-90 Days","90+ Days"))))</f>
        <v/>
      </c>
      <c r="M536" s="8">
        <f>IF(Raw_Data!K536="Yes",Raw_Data!F536*Raw_Data!L536,0)</f>
        <v/>
      </c>
      <c r="N536" s="2">
        <f>IF(H536&lt;&gt;"Paid","Outstanding",IF(J536=0,"On Time","Late"))</f>
        <v/>
      </c>
    </row>
    <row r="537">
      <c r="A537" s="2">
        <f>Raw_Data!A537</f>
        <v/>
      </c>
      <c r="B537" s="7">
        <f>Raw_Data!B537</f>
        <v/>
      </c>
      <c r="C537" s="2">
        <f>Raw_Data!C537</f>
        <v/>
      </c>
      <c r="D537" s="2">
        <f>Raw_Data!D537</f>
        <v/>
      </c>
      <c r="E537" s="8">
        <f>Raw_Data!F537</f>
        <v/>
      </c>
      <c r="F537" s="7">
        <f>Raw_Data!H537</f>
        <v/>
      </c>
      <c r="G537" s="7">
        <f>Raw_Data!I537</f>
        <v/>
      </c>
      <c r="H537" s="2">
        <f>Raw_Data!J537</f>
        <v/>
      </c>
      <c r="I537" s="2">
        <f>IF(G537="",0,G537-B537)</f>
        <v/>
      </c>
      <c r="J537" s="2">
        <f>IF(H537="Paid",MAX(0,G537-F537),MAX(0,DATE(2026,12,31)-F537))</f>
        <v/>
      </c>
      <c r="K537" s="8">
        <f>IF(H537="Paid",0,E537)</f>
        <v/>
      </c>
      <c r="L537" s="2">
        <f>IF(J537=0,"Current",IF(J537&lt;=30,"1-30 Days",IF(J537&lt;=60,"31-60 Days",IF(J537&lt;=90,"61-90 Days","90+ Days"))))</f>
        <v/>
      </c>
      <c r="M537" s="8">
        <f>IF(Raw_Data!K537="Yes",Raw_Data!F537*Raw_Data!L537,0)</f>
        <v/>
      </c>
      <c r="N537" s="2">
        <f>IF(H537&lt;&gt;"Paid","Outstanding",IF(J537=0,"On Time","Late"))</f>
        <v/>
      </c>
    </row>
    <row r="538">
      <c r="A538" s="2">
        <f>Raw_Data!A538</f>
        <v/>
      </c>
      <c r="B538" s="7">
        <f>Raw_Data!B538</f>
        <v/>
      </c>
      <c r="C538" s="2">
        <f>Raw_Data!C538</f>
        <v/>
      </c>
      <c r="D538" s="2">
        <f>Raw_Data!D538</f>
        <v/>
      </c>
      <c r="E538" s="8">
        <f>Raw_Data!F538</f>
        <v/>
      </c>
      <c r="F538" s="7">
        <f>Raw_Data!H538</f>
        <v/>
      </c>
      <c r="G538" s="7">
        <f>Raw_Data!I538</f>
        <v/>
      </c>
      <c r="H538" s="2">
        <f>Raw_Data!J538</f>
        <v/>
      </c>
      <c r="I538" s="2">
        <f>IF(G538="",0,G538-B538)</f>
        <v/>
      </c>
      <c r="J538" s="2">
        <f>IF(H538="Paid",MAX(0,G538-F538),MAX(0,DATE(2026,12,31)-F538))</f>
        <v/>
      </c>
      <c r="K538" s="8">
        <f>IF(H538="Paid",0,E538)</f>
        <v/>
      </c>
      <c r="L538" s="2">
        <f>IF(J538=0,"Current",IF(J538&lt;=30,"1-30 Days",IF(J538&lt;=60,"31-60 Days",IF(J538&lt;=90,"61-90 Days","90+ Days"))))</f>
        <v/>
      </c>
      <c r="M538" s="8">
        <f>IF(Raw_Data!K538="Yes",Raw_Data!F538*Raw_Data!L538,0)</f>
        <v/>
      </c>
      <c r="N538" s="2">
        <f>IF(H538&lt;&gt;"Paid","Outstanding",IF(J538=0,"On Time","Late"))</f>
        <v/>
      </c>
    </row>
    <row r="539">
      <c r="A539" s="2">
        <f>Raw_Data!A539</f>
        <v/>
      </c>
      <c r="B539" s="7">
        <f>Raw_Data!B539</f>
        <v/>
      </c>
      <c r="C539" s="2">
        <f>Raw_Data!C539</f>
        <v/>
      </c>
      <c r="D539" s="2">
        <f>Raw_Data!D539</f>
        <v/>
      </c>
      <c r="E539" s="8">
        <f>Raw_Data!F539</f>
        <v/>
      </c>
      <c r="F539" s="7">
        <f>Raw_Data!H539</f>
        <v/>
      </c>
      <c r="G539" s="7">
        <f>Raw_Data!I539</f>
        <v/>
      </c>
      <c r="H539" s="2">
        <f>Raw_Data!J539</f>
        <v/>
      </c>
      <c r="I539" s="2">
        <f>IF(G539="",0,G539-B539)</f>
        <v/>
      </c>
      <c r="J539" s="2">
        <f>IF(H539="Paid",MAX(0,G539-F539),MAX(0,DATE(2026,12,31)-F539))</f>
        <v/>
      </c>
      <c r="K539" s="8">
        <f>IF(H539="Paid",0,E539)</f>
        <v/>
      </c>
      <c r="L539" s="2">
        <f>IF(J539=0,"Current",IF(J539&lt;=30,"1-30 Days",IF(J539&lt;=60,"31-60 Days",IF(J539&lt;=90,"61-90 Days","90+ Days"))))</f>
        <v/>
      </c>
      <c r="M539" s="8">
        <f>IF(Raw_Data!K539="Yes",Raw_Data!F539*Raw_Data!L539,0)</f>
        <v/>
      </c>
      <c r="N539" s="2">
        <f>IF(H539&lt;&gt;"Paid","Outstanding",IF(J539=0,"On Time","Late"))</f>
        <v/>
      </c>
    </row>
    <row r="540">
      <c r="A540" s="2">
        <f>Raw_Data!A540</f>
        <v/>
      </c>
      <c r="B540" s="7">
        <f>Raw_Data!B540</f>
        <v/>
      </c>
      <c r="C540" s="2">
        <f>Raw_Data!C540</f>
        <v/>
      </c>
      <c r="D540" s="2">
        <f>Raw_Data!D540</f>
        <v/>
      </c>
      <c r="E540" s="8">
        <f>Raw_Data!F540</f>
        <v/>
      </c>
      <c r="F540" s="7">
        <f>Raw_Data!H540</f>
        <v/>
      </c>
      <c r="G540" s="7">
        <f>Raw_Data!I540</f>
        <v/>
      </c>
      <c r="H540" s="2">
        <f>Raw_Data!J540</f>
        <v/>
      </c>
      <c r="I540" s="2">
        <f>IF(G540="",0,G540-B540)</f>
        <v/>
      </c>
      <c r="J540" s="2">
        <f>IF(H540="Paid",MAX(0,G540-F540),MAX(0,DATE(2026,12,31)-F540))</f>
        <v/>
      </c>
      <c r="K540" s="8">
        <f>IF(H540="Paid",0,E540)</f>
        <v/>
      </c>
      <c r="L540" s="2">
        <f>IF(J540=0,"Current",IF(J540&lt;=30,"1-30 Days",IF(J540&lt;=60,"31-60 Days",IF(J540&lt;=90,"61-90 Days","90+ Days"))))</f>
        <v/>
      </c>
      <c r="M540" s="8">
        <f>IF(Raw_Data!K540="Yes",Raw_Data!F540*Raw_Data!L540,0)</f>
        <v/>
      </c>
      <c r="N540" s="2">
        <f>IF(H540&lt;&gt;"Paid","Outstanding",IF(J540=0,"On Time","Late"))</f>
        <v/>
      </c>
    </row>
    <row r="541">
      <c r="A541" s="2">
        <f>Raw_Data!A541</f>
        <v/>
      </c>
      <c r="B541" s="7">
        <f>Raw_Data!B541</f>
        <v/>
      </c>
      <c r="C541" s="2">
        <f>Raw_Data!C541</f>
        <v/>
      </c>
      <c r="D541" s="2">
        <f>Raw_Data!D541</f>
        <v/>
      </c>
      <c r="E541" s="8">
        <f>Raw_Data!F541</f>
        <v/>
      </c>
      <c r="F541" s="7">
        <f>Raw_Data!H541</f>
        <v/>
      </c>
      <c r="G541" s="7">
        <f>Raw_Data!I541</f>
        <v/>
      </c>
      <c r="H541" s="2">
        <f>Raw_Data!J541</f>
        <v/>
      </c>
      <c r="I541" s="2">
        <f>IF(G541="",0,G541-B541)</f>
        <v/>
      </c>
      <c r="J541" s="2">
        <f>IF(H541="Paid",MAX(0,G541-F541),MAX(0,DATE(2026,12,31)-F541))</f>
        <v/>
      </c>
      <c r="K541" s="8">
        <f>IF(H541="Paid",0,E541)</f>
        <v/>
      </c>
      <c r="L541" s="2">
        <f>IF(J541=0,"Current",IF(J541&lt;=30,"1-30 Days",IF(J541&lt;=60,"31-60 Days",IF(J541&lt;=90,"61-90 Days","90+ Days"))))</f>
        <v/>
      </c>
      <c r="M541" s="8">
        <f>IF(Raw_Data!K541="Yes",Raw_Data!F541*Raw_Data!L541,0)</f>
        <v/>
      </c>
      <c r="N541" s="2">
        <f>IF(H541&lt;&gt;"Paid","Outstanding",IF(J541=0,"On Time","Late"))</f>
        <v/>
      </c>
    </row>
    <row r="542">
      <c r="A542" s="2">
        <f>Raw_Data!A542</f>
        <v/>
      </c>
      <c r="B542" s="7">
        <f>Raw_Data!B542</f>
        <v/>
      </c>
      <c r="C542" s="2">
        <f>Raw_Data!C542</f>
        <v/>
      </c>
      <c r="D542" s="2">
        <f>Raw_Data!D542</f>
        <v/>
      </c>
      <c r="E542" s="8">
        <f>Raw_Data!F542</f>
        <v/>
      </c>
      <c r="F542" s="7">
        <f>Raw_Data!H542</f>
        <v/>
      </c>
      <c r="G542" s="7">
        <f>Raw_Data!I542</f>
        <v/>
      </c>
      <c r="H542" s="2">
        <f>Raw_Data!J542</f>
        <v/>
      </c>
      <c r="I542" s="2">
        <f>IF(G542="",0,G542-B542)</f>
        <v/>
      </c>
      <c r="J542" s="2">
        <f>IF(H542="Paid",MAX(0,G542-F542),MAX(0,DATE(2026,12,31)-F542))</f>
        <v/>
      </c>
      <c r="K542" s="8">
        <f>IF(H542="Paid",0,E542)</f>
        <v/>
      </c>
      <c r="L542" s="2">
        <f>IF(J542=0,"Current",IF(J542&lt;=30,"1-30 Days",IF(J542&lt;=60,"31-60 Days",IF(J542&lt;=90,"61-90 Days","90+ Days"))))</f>
        <v/>
      </c>
      <c r="M542" s="8">
        <f>IF(Raw_Data!K542="Yes",Raw_Data!F542*Raw_Data!L542,0)</f>
        <v/>
      </c>
      <c r="N542" s="2">
        <f>IF(H542&lt;&gt;"Paid","Outstanding",IF(J542=0,"On Time","Late"))</f>
        <v/>
      </c>
    </row>
    <row r="543">
      <c r="A543" s="2">
        <f>Raw_Data!A543</f>
        <v/>
      </c>
      <c r="B543" s="7">
        <f>Raw_Data!B543</f>
        <v/>
      </c>
      <c r="C543" s="2">
        <f>Raw_Data!C543</f>
        <v/>
      </c>
      <c r="D543" s="2">
        <f>Raw_Data!D543</f>
        <v/>
      </c>
      <c r="E543" s="8">
        <f>Raw_Data!F543</f>
        <v/>
      </c>
      <c r="F543" s="7">
        <f>Raw_Data!H543</f>
        <v/>
      </c>
      <c r="G543" s="7">
        <f>Raw_Data!I543</f>
        <v/>
      </c>
      <c r="H543" s="2">
        <f>Raw_Data!J543</f>
        <v/>
      </c>
      <c r="I543" s="2">
        <f>IF(G543="",0,G543-B543)</f>
        <v/>
      </c>
      <c r="J543" s="2">
        <f>IF(H543="Paid",MAX(0,G543-F543),MAX(0,DATE(2026,12,31)-F543))</f>
        <v/>
      </c>
      <c r="K543" s="8">
        <f>IF(H543="Paid",0,E543)</f>
        <v/>
      </c>
      <c r="L543" s="2">
        <f>IF(J543=0,"Current",IF(J543&lt;=30,"1-30 Days",IF(J543&lt;=60,"31-60 Days",IF(J543&lt;=90,"61-90 Days","90+ Days"))))</f>
        <v/>
      </c>
      <c r="M543" s="8">
        <f>IF(Raw_Data!K543="Yes",Raw_Data!F543*Raw_Data!L543,0)</f>
        <v/>
      </c>
      <c r="N543" s="2">
        <f>IF(H543&lt;&gt;"Paid","Outstanding",IF(J543=0,"On Time","Late"))</f>
        <v/>
      </c>
    </row>
    <row r="544">
      <c r="A544" s="2">
        <f>Raw_Data!A544</f>
        <v/>
      </c>
      <c r="B544" s="7">
        <f>Raw_Data!B544</f>
        <v/>
      </c>
      <c r="C544" s="2">
        <f>Raw_Data!C544</f>
        <v/>
      </c>
      <c r="D544" s="2">
        <f>Raw_Data!D544</f>
        <v/>
      </c>
      <c r="E544" s="8">
        <f>Raw_Data!F544</f>
        <v/>
      </c>
      <c r="F544" s="7">
        <f>Raw_Data!H544</f>
        <v/>
      </c>
      <c r="G544" s="7">
        <f>Raw_Data!I544</f>
        <v/>
      </c>
      <c r="H544" s="2">
        <f>Raw_Data!J544</f>
        <v/>
      </c>
      <c r="I544" s="2">
        <f>IF(G544="",0,G544-B544)</f>
        <v/>
      </c>
      <c r="J544" s="2">
        <f>IF(H544="Paid",MAX(0,G544-F544),MAX(0,DATE(2026,12,31)-F544))</f>
        <v/>
      </c>
      <c r="K544" s="8">
        <f>IF(H544="Paid",0,E544)</f>
        <v/>
      </c>
      <c r="L544" s="2">
        <f>IF(J544=0,"Current",IF(J544&lt;=30,"1-30 Days",IF(J544&lt;=60,"31-60 Days",IF(J544&lt;=90,"61-90 Days","90+ Days"))))</f>
        <v/>
      </c>
      <c r="M544" s="8">
        <f>IF(Raw_Data!K544="Yes",Raw_Data!F544*Raw_Data!L544,0)</f>
        <v/>
      </c>
      <c r="N544" s="2">
        <f>IF(H544&lt;&gt;"Paid","Outstanding",IF(J544=0,"On Time","Late"))</f>
        <v/>
      </c>
    </row>
    <row r="545">
      <c r="A545" s="2">
        <f>Raw_Data!A545</f>
        <v/>
      </c>
      <c r="B545" s="7">
        <f>Raw_Data!B545</f>
        <v/>
      </c>
      <c r="C545" s="2">
        <f>Raw_Data!C545</f>
        <v/>
      </c>
      <c r="D545" s="2">
        <f>Raw_Data!D545</f>
        <v/>
      </c>
      <c r="E545" s="8">
        <f>Raw_Data!F545</f>
        <v/>
      </c>
      <c r="F545" s="7">
        <f>Raw_Data!H545</f>
        <v/>
      </c>
      <c r="G545" s="7">
        <f>Raw_Data!I545</f>
        <v/>
      </c>
      <c r="H545" s="2">
        <f>Raw_Data!J545</f>
        <v/>
      </c>
      <c r="I545" s="2">
        <f>IF(G545="",0,G545-B545)</f>
        <v/>
      </c>
      <c r="J545" s="2">
        <f>IF(H545="Paid",MAX(0,G545-F545),MAX(0,DATE(2026,12,31)-F545))</f>
        <v/>
      </c>
      <c r="K545" s="8">
        <f>IF(H545="Paid",0,E545)</f>
        <v/>
      </c>
      <c r="L545" s="2">
        <f>IF(J545=0,"Current",IF(J545&lt;=30,"1-30 Days",IF(J545&lt;=60,"31-60 Days",IF(J545&lt;=90,"61-90 Days","90+ Days"))))</f>
        <v/>
      </c>
      <c r="M545" s="8">
        <f>IF(Raw_Data!K545="Yes",Raw_Data!F545*Raw_Data!L545,0)</f>
        <v/>
      </c>
      <c r="N545" s="2">
        <f>IF(H545&lt;&gt;"Paid","Outstanding",IF(J545=0,"On Time","Late"))</f>
        <v/>
      </c>
    </row>
    <row r="546">
      <c r="A546" s="2">
        <f>Raw_Data!A546</f>
        <v/>
      </c>
      <c r="B546" s="7">
        <f>Raw_Data!B546</f>
        <v/>
      </c>
      <c r="C546" s="2">
        <f>Raw_Data!C546</f>
        <v/>
      </c>
      <c r="D546" s="2">
        <f>Raw_Data!D546</f>
        <v/>
      </c>
      <c r="E546" s="8">
        <f>Raw_Data!F546</f>
        <v/>
      </c>
      <c r="F546" s="7">
        <f>Raw_Data!H546</f>
        <v/>
      </c>
      <c r="G546" s="7">
        <f>Raw_Data!I546</f>
        <v/>
      </c>
      <c r="H546" s="2">
        <f>Raw_Data!J546</f>
        <v/>
      </c>
      <c r="I546" s="2">
        <f>IF(G546="",0,G546-B546)</f>
        <v/>
      </c>
      <c r="J546" s="2">
        <f>IF(H546="Paid",MAX(0,G546-F546),MAX(0,DATE(2026,12,31)-F546))</f>
        <v/>
      </c>
      <c r="K546" s="8">
        <f>IF(H546="Paid",0,E546)</f>
        <v/>
      </c>
      <c r="L546" s="2">
        <f>IF(J546=0,"Current",IF(J546&lt;=30,"1-30 Days",IF(J546&lt;=60,"31-60 Days",IF(J546&lt;=90,"61-90 Days","90+ Days"))))</f>
        <v/>
      </c>
      <c r="M546" s="8">
        <f>IF(Raw_Data!K546="Yes",Raw_Data!F546*Raw_Data!L546,0)</f>
        <v/>
      </c>
      <c r="N546" s="2">
        <f>IF(H546&lt;&gt;"Paid","Outstanding",IF(J546=0,"On Time","Late"))</f>
        <v/>
      </c>
    </row>
    <row r="547">
      <c r="A547" s="2">
        <f>Raw_Data!A547</f>
        <v/>
      </c>
      <c r="B547" s="7">
        <f>Raw_Data!B547</f>
        <v/>
      </c>
      <c r="C547" s="2">
        <f>Raw_Data!C547</f>
        <v/>
      </c>
      <c r="D547" s="2">
        <f>Raw_Data!D547</f>
        <v/>
      </c>
      <c r="E547" s="8">
        <f>Raw_Data!F547</f>
        <v/>
      </c>
      <c r="F547" s="7">
        <f>Raw_Data!H547</f>
        <v/>
      </c>
      <c r="G547" s="7">
        <f>Raw_Data!I547</f>
        <v/>
      </c>
      <c r="H547" s="2">
        <f>Raw_Data!J547</f>
        <v/>
      </c>
      <c r="I547" s="2">
        <f>IF(G547="",0,G547-B547)</f>
        <v/>
      </c>
      <c r="J547" s="2">
        <f>IF(H547="Paid",MAX(0,G547-F547),MAX(0,DATE(2026,12,31)-F547))</f>
        <v/>
      </c>
      <c r="K547" s="8">
        <f>IF(H547="Paid",0,E547)</f>
        <v/>
      </c>
      <c r="L547" s="2">
        <f>IF(J547=0,"Current",IF(J547&lt;=30,"1-30 Days",IF(J547&lt;=60,"31-60 Days",IF(J547&lt;=90,"61-90 Days","90+ Days"))))</f>
        <v/>
      </c>
      <c r="M547" s="8">
        <f>IF(Raw_Data!K547="Yes",Raw_Data!F547*Raw_Data!L547,0)</f>
        <v/>
      </c>
      <c r="N547" s="2">
        <f>IF(H547&lt;&gt;"Paid","Outstanding",IF(J547=0,"On Time","Late"))</f>
        <v/>
      </c>
    </row>
    <row r="548">
      <c r="A548" s="2">
        <f>Raw_Data!A548</f>
        <v/>
      </c>
      <c r="B548" s="7">
        <f>Raw_Data!B548</f>
        <v/>
      </c>
      <c r="C548" s="2">
        <f>Raw_Data!C548</f>
        <v/>
      </c>
      <c r="D548" s="2">
        <f>Raw_Data!D548</f>
        <v/>
      </c>
      <c r="E548" s="8">
        <f>Raw_Data!F548</f>
        <v/>
      </c>
      <c r="F548" s="7">
        <f>Raw_Data!H548</f>
        <v/>
      </c>
      <c r="G548" s="7">
        <f>Raw_Data!I548</f>
        <v/>
      </c>
      <c r="H548" s="2">
        <f>Raw_Data!J548</f>
        <v/>
      </c>
      <c r="I548" s="2">
        <f>IF(G548="",0,G548-B548)</f>
        <v/>
      </c>
      <c r="J548" s="2">
        <f>IF(H548="Paid",MAX(0,G548-F548),MAX(0,DATE(2026,12,31)-F548))</f>
        <v/>
      </c>
      <c r="K548" s="8">
        <f>IF(H548="Paid",0,E548)</f>
        <v/>
      </c>
      <c r="L548" s="2">
        <f>IF(J548=0,"Current",IF(J548&lt;=30,"1-30 Days",IF(J548&lt;=60,"31-60 Days",IF(J548&lt;=90,"61-90 Days","90+ Days"))))</f>
        <v/>
      </c>
      <c r="M548" s="8">
        <f>IF(Raw_Data!K548="Yes",Raw_Data!F548*Raw_Data!L548,0)</f>
        <v/>
      </c>
      <c r="N548" s="2">
        <f>IF(H548&lt;&gt;"Paid","Outstanding",IF(J548=0,"On Time","Late"))</f>
        <v/>
      </c>
    </row>
    <row r="549">
      <c r="A549" s="2">
        <f>Raw_Data!A549</f>
        <v/>
      </c>
      <c r="B549" s="7">
        <f>Raw_Data!B549</f>
        <v/>
      </c>
      <c r="C549" s="2">
        <f>Raw_Data!C549</f>
        <v/>
      </c>
      <c r="D549" s="2">
        <f>Raw_Data!D549</f>
        <v/>
      </c>
      <c r="E549" s="8">
        <f>Raw_Data!F549</f>
        <v/>
      </c>
      <c r="F549" s="7">
        <f>Raw_Data!H549</f>
        <v/>
      </c>
      <c r="G549" s="7">
        <f>Raw_Data!I549</f>
        <v/>
      </c>
      <c r="H549" s="2">
        <f>Raw_Data!J549</f>
        <v/>
      </c>
      <c r="I549" s="2">
        <f>IF(G549="",0,G549-B549)</f>
        <v/>
      </c>
      <c r="J549" s="2">
        <f>IF(H549="Paid",MAX(0,G549-F549),MAX(0,DATE(2026,12,31)-F549))</f>
        <v/>
      </c>
      <c r="K549" s="8">
        <f>IF(H549="Paid",0,E549)</f>
        <v/>
      </c>
      <c r="L549" s="2">
        <f>IF(J549=0,"Current",IF(J549&lt;=30,"1-30 Days",IF(J549&lt;=60,"31-60 Days",IF(J549&lt;=90,"61-90 Days","90+ Days"))))</f>
        <v/>
      </c>
      <c r="M549" s="8">
        <f>IF(Raw_Data!K549="Yes",Raw_Data!F549*Raw_Data!L549,0)</f>
        <v/>
      </c>
      <c r="N549" s="2">
        <f>IF(H549&lt;&gt;"Paid","Outstanding",IF(J549=0,"On Time","Late"))</f>
        <v/>
      </c>
    </row>
    <row r="550">
      <c r="A550" s="2">
        <f>Raw_Data!A550</f>
        <v/>
      </c>
      <c r="B550" s="7">
        <f>Raw_Data!B550</f>
        <v/>
      </c>
      <c r="C550" s="2">
        <f>Raw_Data!C550</f>
        <v/>
      </c>
      <c r="D550" s="2">
        <f>Raw_Data!D550</f>
        <v/>
      </c>
      <c r="E550" s="8">
        <f>Raw_Data!F550</f>
        <v/>
      </c>
      <c r="F550" s="7">
        <f>Raw_Data!H550</f>
        <v/>
      </c>
      <c r="G550" s="7">
        <f>Raw_Data!I550</f>
        <v/>
      </c>
      <c r="H550" s="2">
        <f>Raw_Data!J550</f>
        <v/>
      </c>
      <c r="I550" s="2">
        <f>IF(G550="",0,G550-B550)</f>
        <v/>
      </c>
      <c r="J550" s="2">
        <f>IF(H550="Paid",MAX(0,G550-F550),MAX(0,DATE(2026,12,31)-F550))</f>
        <v/>
      </c>
      <c r="K550" s="8">
        <f>IF(H550="Paid",0,E550)</f>
        <v/>
      </c>
      <c r="L550" s="2">
        <f>IF(J550=0,"Current",IF(J550&lt;=30,"1-30 Days",IF(J550&lt;=60,"31-60 Days",IF(J550&lt;=90,"61-90 Days","90+ Days"))))</f>
        <v/>
      </c>
      <c r="M550" s="8">
        <f>IF(Raw_Data!K550="Yes",Raw_Data!F550*Raw_Data!L550,0)</f>
        <v/>
      </c>
      <c r="N550" s="2">
        <f>IF(H550&lt;&gt;"Paid","Outstanding",IF(J550=0,"On Time","Late"))</f>
        <v/>
      </c>
    </row>
    <row r="551">
      <c r="A551" s="2">
        <f>Raw_Data!A551</f>
        <v/>
      </c>
      <c r="B551" s="7">
        <f>Raw_Data!B551</f>
        <v/>
      </c>
      <c r="C551" s="2">
        <f>Raw_Data!C551</f>
        <v/>
      </c>
      <c r="D551" s="2">
        <f>Raw_Data!D551</f>
        <v/>
      </c>
      <c r="E551" s="8">
        <f>Raw_Data!F551</f>
        <v/>
      </c>
      <c r="F551" s="7">
        <f>Raw_Data!H551</f>
        <v/>
      </c>
      <c r="G551" s="7">
        <f>Raw_Data!I551</f>
        <v/>
      </c>
      <c r="H551" s="2">
        <f>Raw_Data!J551</f>
        <v/>
      </c>
      <c r="I551" s="2">
        <f>IF(G551="",0,G551-B551)</f>
        <v/>
      </c>
      <c r="J551" s="2">
        <f>IF(H551="Paid",MAX(0,G551-F551),MAX(0,DATE(2026,12,31)-F551))</f>
        <v/>
      </c>
      <c r="K551" s="8">
        <f>IF(H551="Paid",0,E551)</f>
        <v/>
      </c>
      <c r="L551" s="2">
        <f>IF(J551=0,"Current",IF(J551&lt;=30,"1-30 Days",IF(J551&lt;=60,"31-60 Days",IF(J551&lt;=90,"61-90 Days","90+ Days"))))</f>
        <v/>
      </c>
      <c r="M551" s="8">
        <f>IF(Raw_Data!K551="Yes",Raw_Data!F551*Raw_Data!L551,0)</f>
        <v/>
      </c>
      <c r="N551" s="2">
        <f>IF(H551&lt;&gt;"Paid","Outstanding",IF(J551=0,"On Time","Late"))</f>
        <v/>
      </c>
    </row>
    <row r="552">
      <c r="A552" s="2">
        <f>Raw_Data!A552</f>
        <v/>
      </c>
      <c r="B552" s="7">
        <f>Raw_Data!B552</f>
        <v/>
      </c>
      <c r="C552" s="2">
        <f>Raw_Data!C552</f>
        <v/>
      </c>
      <c r="D552" s="2">
        <f>Raw_Data!D552</f>
        <v/>
      </c>
      <c r="E552" s="8">
        <f>Raw_Data!F552</f>
        <v/>
      </c>
      <c r="F552" s="7">
        <f>Raw_Data!H552</f>
        <v/>
      </c>
      <c r="G552" s="7">
        <f>Raw_Data!I552</f>
        <v/>
      </c>
      <c r="H552" s="2">
        <f>Raw_Data!J552</f>
        <v/>
      </c>
      <c r="I552" s="2">
        <f>IF(G552="",0,G552-B552)</f>
        <v/>
      </c>
      <c r="J552" s="2">
        <f>IF(H552="Paid",MAX(0,G552-F552),MAX(0,DATE(2026,12,31)-F552))</f>
        <v/>
      </c>
      <c r="K552" s="8">
        <f>IF(H552="Paid",0,E552)</f>
        <v/>
      </c>
      <c r="L552" s="2">
        <f>IF(J552=0,"Current",IF(J552&lt;=30,"1-30 Days",IF(J552&lt;=60,"31-60 Days",IF(J552&lt;=90,"61-90 Days","90+ Days"))))</f>
        <v/>
      </c>
      <c r="M552" s="8">
        <f>IF(Raw_Data!K552="Yes",Raw_Data!F552*Raw_Data!L552,0)</f>
        <v/>
      </c>
      <c r="N552" s="2">
        <f>IF(H552&lt;&gt;"Paid","Outstanding",IF(J552=0,"On Time","Late"))</f>
        <v/>
      </c>
    </row>
    <row r="553">
      <c r="A553" s="2">
        <f>Raw_Data!A553</f>
        <v/>
      </c>
      <c r="B553" s="7">
        <f>Raw_Data!B553</f>
        <v/>
      </c>
      <c r="C553" s="2">
        <f>Raw_Data!C553</f>
        <v/>
      </c>
      <c r="D553" s="2">
        <f>Raw_Data!D553</f>
        <v/>
      </c>
      <c r="E553" s="8">
        <f>Raw_Data!F553</f>
        <v/>
      </c>
      <c r="F553" s="7">
        <f>Raw_Data!H553</f>
        <v/>
      </c>
      <c r="G553" s="7">
        <f>Raw_Data!I553</f>
        <v/>
      </c>
      <c r="H553" s="2">
        <f>Raw_Data!J553</f>
        <v/>
      </c>
      <c r="I553" s="2">
        <f>IF(G553="",0,G553-B553)</f>
        <v/>
      </c>
      <c r="J553" s="2">
        <f>IF(H553="Paid",MAX(0,G553-F553),MAX(0,DATE(2026,12,31)-F553))</f>
        <v/>
      </c>
      <c r="K553" s="8">
        <f>IF(H553="Paid",0,E553)</f>
        <v/>
      </c>
      <c r="L553" s="2">
        <f>IF(J553=0,"Current",IF(J553&lt;=30,"1-30 Days",IF(J553&lt;=60,"31-60 Days",IF(J553&lt;=90,"61-90 Days","90+ Days"))))</f>
        <v/>
      </c>
      <c r="M553" s="8">
        <f>IF(Raw_Data!K553="Yes",Raw_Data!F553*Raw_Data!L553,0)</f>
        <v/>
      </c>
      <c r="N553" s="2">
        <f>IF(H553&lt;&gt;"Paid","Outstanding",IF(J553=0,"On Time","Late"))</f>
        <v/>
      </c>
    </row>
    <row r="554">
      <c r="A554" s="2">
        <f>Raw_Data!A554</f>
        <v/>
      </c>
      <c r="B554" s="7">
        <f>Raw_Data!B554</f>
        <v/>
      </c>
      <c r="C554" s="2">
        <f>Raw_Data!C554</f>
        <v/>
      </c>
      <c r="D554" s="2">
        <f>Raw_Data!D554</f>
        <v/>
      </c>
      <c r="E554" s="8">
        <f>Raw_Data!F554</f>
        <v/>
      </c>
      <c r="F554" s="7">
        <f>Raw_Data!H554</f>
        <v/>
      </c>
      <c r="G554" s="7">
        <f>Raw_Data!I554</f>
        <v/>
      </c>
      <c r="H554" s="2">
        <f>Raw_Data!J554</f>
        <v/>
      </c>
      <c r="I554" s="2">
        <f>IF(G554="",0,G554-B554)</f>
        <v/>
      </c>
      <c r="J554" s="2">
        <f>IF(H554="Paid",MAX(0,G554-F554),MAX(0,DATE(2026,12,31)-F554))</f>
        <v/>
      </c>
      <c r="K554" s="8">
        <f>IF(H554="Paid",0,E554)</f>
        <v/>
      </c>
      <c r="L554" s="2">
        <f>IF(J554=0,"Current",IF(J554&lt;=30,"1-30 Days",IF(J554&lt;=60,"31-60 Days",IF(J554&lt;=90,"61-90 Days","90+ Days"))))</f>
        <v/>
      </c>
      <c r="M554" s="8">
        <f>IF(Raw_Data!K554="Yes",Raw_Data!F554*Raw_Data!L554,0)</f>
        <v/>
      </c>
      <c r="N554" s="2">
        <f>IF(H554&lt;&gt;"Paid","Outstanding",IF(J554=0,"On Time","Late"))</f>
        <v/>
      </c>
    </row>
    <row r="555">
      <c r="A555" s="2">
        <f>Raw_Data!A555</f>
        <v/>
      </c>
      <c r="B555" s="7">
        <f>Raw_Data!B555</f>
        <v/>
      </c>
      <c r="C555" s="2">
        <f>Raw_Data!C555</f>
        <v/>
      </c>
      <c r="D555" s="2">
        <f>Raw_Data!D555</f>
        <v/>
      </c>
      <c r="E555" s="8">
        <f>Raw_Data!F555</f>
        <v/>
      </c>
      <c r="F555" s="7">
        <f>Raw_Data!H555</f>
        <v/>
      </c>
      <c r="G555" s="7">
        <f>Raw_Data!I555</f>
        <v/>
      </c>
      <c r="H555" s="2">
        <f>Raw_Data!J555</f>
        <v/>
      </c>
      <c r="I555" s="2">
        <f>IF(G555="",0,G555-B555)</f>
        <v/>
      </c>
      <c r="J555" s="2">
        <f>IF(H555="Paid",MAX(0,G555-F555),MAX(0,DATE(2026,12,31)-F555))</f>
        <v/>
      </c>
      <c r="K555" s="8">
        <f>IF(H555="Paid",0,E555)</f>
        <v/>
      </c>
      <c r="L555" s="2">
        <f>IF(J555=0,"Current",IF(J555&lt;=30,"1-30 Days",IF(J555&lt;=60,"31-60 Days",IF(J555&lt;=90,"61-90 Days","90+ Days"))))</f>
        <v/>
      </c>
      <c r="M555" s="8">
        <f>IF(Raw_Data!K555="Yes",Raw_Data!F555*Raw_Data!L555,0)</f>
        <v/>
      </c>
      <c r="N555" s="2">
        <f>IF(H555&lt;&gt;"Paid","Outstanding",IF(J555=0,"On Time","Late"))</f>
        <v/>
      </c>
    </row>
    <row r="556">
      <c r="A556" s="2">
        <f>Raw_Data!A556</f>
        <v/>
      </c>
      <c r="B556" s="7">
        <f>Raw_Data!B556</f>
        <v/>
      </c>
      <c r="C556" s="2">
        <f>Raw_Data!C556</f>
        <v/>
      </c>
      <c r="D556" s="2">
        <f>Raw_Data!D556</f>
        <v/>
      </c>
      <c r="E556" s="8">
        <f>Raw_Data!F556</f>
        <v/>
      </c>
      <c r="F556" s="7">
        <f>Raw_Data!H556</f>
        <v/>
      </c>
      <c r="G556" s="7">
        <f>Raw_Data!I556</f>
        <v/>
      </c>
      <c r="H556" s="2">
        <f>Raw_Data!J556</f>
        <v/>
      </c>
      <c r="I556" s="2">
        <f>IF(G556="",0,G556-B556)</f>
        <v/>
      </c>
      <c r="J556" s="2">
        <f>IF(H556="Paid",MAX(0,G556-F556),MAX(0,DATE(2026,12,31)-F556))</f>
        <v/>
      </c>
      <c r="K556" s="8">
        <f>IF(H556="Paid",0,E556)</f>
        <v/>
      </c>
      <c r="L556" s="2">
        <f>IF(J556=0,"Current",IF(J556&lt;=30,"1-30 Days",IF(J556&lt;=60,"31-60 Days",IF(J556&lt;=90,"61-90 Days","90+ Days"))))</f>
        <v/>
      </c>
      <c r="M556" s="8">
        <f>IF(Raw_Data!K556="Yes",Raw_Data!F556*Raw_Data!L556,0)</f>
        <v/>
      </c>
      <c r="N556" s="2">
        <f>IF(H556&lt;&gt;"Paid","Outstanding",IF(J556=0,"On Time","Late"))</f>
        <v/>
      </c>
    </row>
    <row r="557">
      <c r="A557" s="2">
        <f>Raw_Data!A557</f>
        <v/>
      </c>
      <c r="B557" s="7">
        <f>Raw_Data!B557</f>
        <v/>
      </c>
      <c r="C557" s="2">
        <f>Raw_Data!C557</f>
        <v/>
      </c>
      <c r="D557" s="2">
        <f>Raw_Data!D557</f>
        <v/>
      </c>
      <c r="E557" s="8">
        <f>Raw_Data!F557</f>
        <v/>
      </c>
      <c r="F557" s="7">
        <f>Raw_Data!H557</f>
        <v/>
      </c>
      <c r="G557" s="7">
        <f>Raw_Data!I557</f>
        <v/>
      </c>
      <c r="H557" s="2">
        <f>Raw_Data!J557</f>
        <v/>
      </c>
      <c r="I557" s="2">
        <f>IF(G557="",0,G557-B557)</f>
        <v/>
      </c>
      <c r="J557" s="2">
        <f>IF(H557="Paid",MAX(0,G557-F557),MAX(0,DATE(2026,12,31)-F557))</f>
        <v/>
      </c>
      <c r="K557" s="8">
        <f>IF(H557="Paid",0,E557)</f>
        <v/>
      </c>
      <c r="L557" s="2">
        <f>IF(J557=0,"Current",IF(J557&lt;=30,"1-30 Days",IF(J557&lt;=60,"31-60 Days",IF(J557&lt;=90,"61-90 Days","90+ Days"))))</f>
        <v/>
      </c>
      <c r="M557" s="8">
        <f>IF(Raw_Data!K557="Yes",Raw_Data!F557*Raw_Data!L557,0)</f>
        <v/>
      </c>
      <c r="N557" s="2">
        <f>IF(H557&lt;&gt;"Paid","Outstanding",IF(J557=0,"On Time","Late"))</f>
        <v/>
      </c>
    </row>
    <row r="558">
      <c r="A558" s="2">
        <f>Raw_Data!A558</f>
        <v/>
      </c>
      <c r="B558" s="7">
        <f>Raw_Data!B558</f>
        <v/>
      </c>
      <c r="C558" s="2">
        <f>Raw_Data!C558</f>
        <v/>
      </c>
      <c r="D558" s="2">
        <f>Raw_Data!D558</f>
        <v/>
      </c>
      <c r="E558" s="8">
        <f>Raw_Data!F558</f>
        <v/>
      </c>
      <c r="F558" s="7">
        <f>Raw_Data!H558</f>
        <v/>
      </c>
      <c r="G558" s="7">
        <f>Raw_Data!I558</f>
        <v/>
      </c>
      <c r="H558" s="2">
        <f>Raw_Data!J558</f>
        <v/>
      </c>
      <c r="I558" s="2">
        <f>IF(G558="",0,G558-B558)</f>
        <v/>
      </c>
      <c r="J558" s="2">
        <f>IF(H558="Paid",MAX(0,G558-F558),MAX(0,DATE(2026,12,31)-F558))</f>
        <v/>
      </c>
      <c r="K558" s="8">
        <f>IF(H558="Paid",0,E558)</f>
        <v/>
      </c>
      <c r="L558" s="2">
        <f>IF(J558=0,"Current",IF(J558&lt;=30,"1-30 Days",IF(J558&lt;=60,"31-60 Days",IF(J558&lt;=90,"61-90 Days","90+ Days"))))</f>
        <v/>
      </c>
      <c r="M558" s="8">
        <f>IF(Raw_Data!K558="Yes",Raw_Data!F558*Raw_Data!L558,0)</f>
        <v/>
      </c>
      <c r="N558" s="2">
        <f>IF(H558&lt;&gt;"Paid","Outstanding",IF(J558=0,"On Time","Late"))</f>
        <v/>
      </c>
    </row>
    <row r="559">
      <c r="A559" s="2">
        <f>Raw_Data!A559</f>
        <v/>
      </c>
      <c r="B559" s="7">
        <f>Raw_Data!B559</f>
        <v/>
      </c>
      <c r="C559" s="2">
        <f>Raw_Data!C559</f>
        <v/>
      </c>
      <c r="D559" s="2">
        <f>Raw_Data!D559</f>
        <v/>
      </c>
      <c r="E559" s="8">
        <f>Raw_Data!F559</f>
        <v/>
      </c>
      <c r="F559" s="7">
        <f>Raw_Data!H559</f>
        <v/>
      </c>
      <c r="G559" s="7">
        <f>Raw_Data!I559</f>
        <v/>
      </c>
      <c r="H559" s="2">
        <f>Raw_Data!J559</f>
        <v/>
      </c>
      <c r="I559" s="2">
        <f>IF(G559="",0,G559-B559)</f>
        <v/>
      </c>
      <c r="J559" s="2">
        <f>IF(H559="Paid",MAX(0,G559-F559),MAX(0,DATE(2026,12,31)-F559))</f>
        <v/>
      </c>
      <c r="K559" s="8">
        <f>IF(H559="Paid",0,E559)</f>
        <v/>
      </c>
      <c r="L559" s="2">
        <f>IF(J559=0,"Current",IF(J559&lt;=30,"1-30 Days",IF(J559&lt;=60,"31-60 Days",IF(J559&lt;=90,"61-90 Days","90+ Days"))))</f>
        <v/>
      </c>
      <c r="M559" s="8">
        <f>IF(Raw_Data!K559="Yes",Raw_Data!F559*Raw_Data!L559,0)</f>
        <v/>
      </c>
      <c r="N559" s="2">
        <f>IF(H559&lt;&gt;"Paid","Outstanding",IF(J559=0,"On Time","Late"))</f>
        <v/>
      </c>
    </row>
    <row r="560">
      <c r="A560" s="2">
        <f>Raw_Data!A560</f>
        <v/>
      </c>
      <c r="B560" s="7">
        <f>Raw_Data!B560</f>
        <v/>
      </c>
      <c r="C560" s="2">
        <f>Raw_Data!C560</f>
        <v/>
      </c>
      <c r="D560" s="2">
        <f>Raw_Data!D560</f>
        <v/>
      </c>
      <c r="E560" s="8">
        <f>Raw_Data!F560</f>
        <v/>
      </c>
      <c r="F560" s="7">
        <f>Raw_Data!H560</f>
        <v/>
      </c>
      <c r="G560" s="7">
        <f>Raw_Data!I560</f>
        <v/>
      </c>
      <c r="H560" s="2">
        <f>Raw_Data!J560</f>
        <v/>
      </c>
      <c r="I560" s="2">
        <f>IF(G560="",0,G560-B560)</f>
        <v/>
      </c>
      <c r="J560" s="2">
        <f>IF(H560="Paid",MAX(0,G560-F560),MAX(0,DATE(2026,12,31)-F560))</f>
        <v/>
      </c>
      <c r="K560" s="8">
        <f>IF(H560="Paid",0,E560)</f>
        <v/>
      </c>
      <c r="L560" s="2">
        <f>IF(J560=0,"Current",IF(J560&lt;=30,"1-30 Days",IF(J560&lt;=60,"31-60 Days",IF(J560&lt;=90,"61-90 Days","90+ Days"))))</f>
        <v/>
      </c>
      <c r="M560" s="8">
        <f>IF(Raw_Data!K560="Yes",Raw_Data!F560*Raw_Data!L560,0)</f>
        <v/>
      </c>
      <c r="N560" s="2">
        <f>IF(H560&lt;&gt;"Paid","Outstanding",IF(J560=0,"On Time","Late"))</f>
        <v/>
      </c>
    </row>
    <row r="561">
      <c r="A561" s="2">
        <f>Raw_Data!A561</f>
        <v/>
      </c>
      <c r="B561" s="7">
        <f>Raw_Data!B561</f>
        <v/>
      </c>
      <c r="C561" s="2">
        <f>Raw_Data!C561</f>
        <v/>
      </c>
      <c r="D561" s="2">
        <f>Raw_Data!D561</f>
        <v/>
      </c>
      <c r="E561" s="8">
        <f>Raw_Data!F561</f>
        <v/>
      </c>
      <c r="F561" s="7">
        <f>Raw_Data!H561</f>
        <v/>
      </c>
      <c r="G561" s="7">
        <f>Raw_Data!I561</f>
        <v/>
      </c>
      <c r="H561" s="2">
        <f>Raw_Data!J561</f>
        <v/>
      </c>
      <c r="I561" s="2">
        <f>IF(G561="",0,G561-B561)</f>
        <v/>
      </c>
      <c r="J561" s="2">
        <f>IF(H561="Paid",MAX(0,G561-F561),MAX(0,DATE(2026,12,31)-F561))</f>
        <v/>
      </c>
      <c r="K561" s="8">
        <f>IF(H561="Paid",0,E561)</f>
        <v/>
      </c>
      <c r="L561" s="2">
        <f>IF(J561=0,"Current",IF(J561&lt;=30,"1-30 Days",IF(J561&lt;=60,"31-60 Days",IF(J561&lt;=90,"61-90 Days","90+ Days"))))</f>
        <v/>
      </c>
      <c r="M561" s="8">
        <f>IF(Raw_Data!K561="Yes",Raw_Data!F561*Raw_Data!L561,0)</f>
        <v/>
      </c>
      <c r="N561" s="2">
        <f>IF(H561&lt;&gt;"Paid","Outstanding",IF(J561=0,"On Time","Late"))</f>
        <v/>
      </c>
    </row>
    <row r="562">
      <c r="A562" s="2">
        <f>Raw_Data!A562</f>
        <v/>
      </c>
      <c r="B562" s="7">
        <f>Raw_Data!B562</f>
        <v/>
      </c>
      <c r="C562" s="2">
        <f>Raw_Data!C562</f>
        <v/>
      </c>
      <c r="D562" s="2">
        <f>Raw_Data!D562</f>
        <v/>
      </c>
      <c r="E562" s="8">
        <f>Raw_Data!F562</f>
        <v/>
      </c>
      <c r="F562" s="7">
        <f>Raw_Data!H562</f>
        <v/>
      </c>
      <c r="G562" s="7">
        <f>Raw_Data!I562</f>
        <v/>
      </c>
      <c r="H562" s="2">
        <f>Raw_Data!J562</f>
        <v/>
      </c>
      <c r="I562" s="2">
        <f>IF(G562="",0,G562-B562)</f>
        <v/>
      </c>
      <c r="J562" s="2">
        <f>IF(H562="Paid",MAX(0,G562-F562),MAX(0,DATE(2026,12,31)-F562))</f>
        <v/>
      </c>
      <c r="K562" s="8">
        <f>IF(H562="Paid",0,E562)</f>
        <v/>
      </c>
      <c r="L562" s="2">
        <f>IF(J562=0,"Current",IF(J562&lt;=30,"1-30 Days",IF(J562&lt;=60,"31-60 Days",IF(J562&lt;=90,"61-90 Days","90+ Days"))))</f>
        <v/>
      </c>
      <c r="M562" s="8">
        <f>IF(Raw_Data!K562="Yes",Raw_Data!F562*Raw_Data!L562,0)</f>
        <v/>
      </c>
      <c r="N562" s="2">
        <f>IF(H562&lt;&gt;"Paid","Outstanding",IF(J562=0,"On Time","Late"))</f>
        <v/>
      </c>
    </row>
    <row r="563">
      <c r="A563" s="2">
        <f>Raw_Data!A563</f>
        <v/>
      </c>
      <c r="B563" s="7">
        <f>Raw_Data!B563</f>
        <v/>
      </c>
      <c r="C563" s="2">
        <f>Raw_Data!C563</f>
        <v/>
      </c>
      <c r="D563" s="2">
        <f>Raw_Data!D563</f>
        <v/>
      </c>
      <c r="E563" s="8">
        <f>Raw_Data!F563</f>
        <v/>
      </c>
      <c r="F563" s="7">
        <f>Raw_Data!H563</f>
        <v/>
      </c>
      <c r="G563" s="7">
        <f>Raw_Data!I563</f>
        <v/>
      </c>
      <c r="H563" s="2">
        <f>Raw_Data!J563</f>
        <v/>
      </c>
      <c r="I563" s="2">
        <f>IF(G563="",0,G563-B563)</f>
        <v/>
      </c>
      <c r="J563" s="2">
        <f>IF(H563="Paid",MAX(0,G563-F563),MAX(0,DATE(2026,12,31)-F563))</f>
        <v/>
      </c>
      <c r="K563" s="8">
        <f>IF(H563="Paid",0,E563)</f>
        <v/>
      </c>
      <c r="L563" s="2">
        <f>IF(J563=0,"Current",IF(J563&lt;=30,"1-30 Days",IF(J563&lt;=60,"31-60 Days",IF(J563&lt;=90,"61-90 Days","90+ Days"))))</f>
        <v/>
      </c>
      <c r="M563" s="8">
        <f>IF(Raw_Data!K563="Yes",Raw_Data!F563*Raw_Data!L563,0)</f>
        <v/>
      </c>
      <c r="N563" s="2">
        <f>IF(H563&lt;&gt;"Paid","Outstanding",IF(J563=0,"On Time","Late"))</f>
        <v/>
      </c>
    </row>
    <row r="564">
      <c r="A564" s="2">
        <f>Raw_Data!A564</f>
        <v/>
      </c>
      <c r="B564" s="7">
        <f>Raw_Data!B564</f>
        <v/>
      </c>
      <c r="C564" s="2">
        <f>Raw_Data!C564</f>
        <v/>
      </c>
      <c r="D564" s="2">
        <f>Raw_Data!D564</f>
        <v/>
      </c>
      <c r="E564" s="8">
        <f>Raw_Data!F564</f>
        <v/>
      </c>
      <c r="F564" s="7">
        <f>Raw_Data!H564</f>
        <v/>
      </c>
      <c r="G564" s="7">
        <f>Raw_Data!I564</f>
        <v/>
      </c>
      <c r="H564" s="2">
        <f>Raw_Data!J564</f>
        <v/>
      </c>
      <c r="I564" s="2">
        <f>IF(G564="",0,G564-B564)</f>
        <v/>
      </c>
      <c r="J564" s="2">
        <f>IF(H564="Paid",MAX(0,G564-F564),MAX(0,DATE(2026,12,31)-F564))</f>
        <v/>
      </c>
      <c r="K564" s="8">
        <f>IF(H564="Paid",0,E564)</f>
        <v/>
      </c>
      <c r="L564" s="2">
        <f>IF(J564=0,"Current",IF(J564&lt;=30,"1-30 Days",IF(J564&lt;=60,"31-60 Days",IF(J564&lt;=90,"61-90 Days","90+ Days"))))</f>
        <v/>
      </c>
      <c r="M564" s="8">
        <f>IF(Raw_Data!K564="Yes",Raw_Data!F564*Raw_Data!L564,0)</f>
        <v/>
      </c>
      <c r="N564" s="2">
        <f>IF(H564&lt;&gt;"Paid","Outstanding",IF(J564=0,"On Time","Late"))</f>
        <v/>
      </c>
    </row>
    <row r="565">
      <c r="A565" s="2">
        <f>Raw_Data!A565</f>
        <v/>
      </c>
      <c r="B565" s="7">
        <f>Raw_Data!B565</f>
        <v/>
      </c>
      <c r="C565" s="2">
        <f>Raw_Data!C565</f>
        <v/>
      </c>
      <c r="D565" s="2">
        <f>Raw_Data!D565</f>
        <v/>
      </c>
      <c r="E565" s="8">
        <f>Raw_Data!F565</f>
        <v/>
      </c>
      <c r="F565" s="7">
        <f>Raw_Data!H565</f>
        <v/>
      </c>
      <c r="G565" s="7">
        <f>Raw_Data!I565</f>
        <v/>
      </c>
      <c r="H565" s="2">
        <f>Raw_Data!J565</f>
        <v/>
      </c>
      <c r="I565" s="2">
        <f>IF(G565="",0,G565-B565)</f>
        <v/>
      </c>
      <c r="J565" s="2">
        <f>IF(H565="Paid",MAX(0,G565-F565),MAX(0,DATE(2026,12,31)-F565))</f>
        <v/>
      </c>
      <c r="K565" s="8">
        <f>IF(H565="Paid",0,E565)</f>
        <v/>
      </c>
      <c r="L565" s="2">
        <f>IF(J565=0,"Current",IF(J565&lt;=30,"1-30 Days",IF(J565&lt;=60,"31-60 Days",IF(J565&lt;=90,"61-90 Days","90+ Days"))))</f>
        <v/>
      </c>
      <c r="M565" s="8">
        <f>IF(Raw_Data!K565="Yes",Raw_Data!F565*Raw_Data!L565,0)</f>
        <v/>
      </c>
      <c r="N565" s="2">
        <f>IF(H565&lt;&gt;"Paid","Outstanding",IF(J565=0,"On Time","Late"))</f>
        <v/>
      </c>
    </row>
    <row r="566">
      <c r="A566" s="2">
        <f>Raw_Data!A566</f>
        <v/>
      </c>
      <c r="B566" s="7">
        <f>Raw_Data!B566</f>
        <v/>
      </c>
      <c r="C566" s="2">
        <f>Raw_Data!C566</f>
        <v/>
      </c>
      <c r="D566" s="2">
        <f>Raw_Data!D566</f>
        <v/>
      </c>
      <c r="E566" s="8">
        <f>Raw_Data!F566</f>
        <v/>
      </c>
      <c r="F566" s="7">
        <f>Raw_Data!H566</f>
        <v/>
      </c>
      <c r="G566" s="7">
        <f>Raw_Data!I566</f>
        <v/>
      </c>
      <c r="H566" s="2">
        <f>Raw_Data!J566</f>
        <v/>
      </c>
      <c r="I566" s="2">
        <f>IF(G566="",0,G566-B566)</f>
        <v/>
      </c>
      <c r="J566" s="2">
        <f>IF(H566="Paid",MAX(0,G566-F566),MAX(0,DATE(2026,12,31)-F566))</f>
        <v/>
      </c>
      <c r="K566" s="8">
        <f>IF(H566="Paid",0,E566)</f>
        <v/>
      </c>
      <c r="L566" s="2">
        <f>IF(J566=0,"Current",IF(J566&lt;=30,"1-30 Days",IF(J566&lt;=60,"31-60 Days",IF(J566&lt;=90,"61-90 Days","90+ Days"))))</f>
        <v/>
      </c>
      <c r="M566" s="8">
        <f>IF(Raw_Data!K566="Yes",Raw_Data!F566*Raw_Data!L566,0)</f>
        <v/>
      </c>
      <c r="N566" s="2">
        <f>IF(H566&lt;&gt;"Paid","Outstanding",IF(J566=0,"On Time","Late"))</f>
        <v/>
      </c>
    </row>
    <row r="567">
      <c r="A567" s="2">
        <f>Raw_Data!A567</f>
        <v/>
      </c>
      <c r="B567" s="7">
        <f>Raw_Data!B567</f>
        <v/>
      </c>
      <c r="C567" s="2">
        <f>Raw_Data!C567</f>
        <v/>
      </c>
      <c r="D567" s="2">
        <f>Raw_Data!D567</f>
        <v/>
      </c>
      <c r="E567" s="8">
        <f>Raw_Data!F567</f>
        <v/>
      </c>
      <c r="F567" s="7">
        <f>Raw_Data!H567</f>
        <v/>
      </c>
      <c r="G567" s="7">
        <f>Raw_Data!I567</f>
        <v/>
      </c>
      <c r="H567" s="2">
        <f>Raw_Data!J567</f>
        <v/>
      </c>
      <c r="I567" s="2">
        <f>IF(G567="",0,G567-B567)</f>
        <v/>
      </c>
      <c r="J567" s="2">
        <f>IF(H567="Paid",MAX(0,G567-F567),MAX(0,DATE(2026,12,31)-F567))</f>
        <v/>
      </c>
      <c r="K567" s="8">
        <f>IF(H567="Paid",0,E567)</f>
        <v/>
      </c>
      <c r="L567" s="2">
        <f>IF(J567=0,"Current",IF(J567&lt;=30,"1-30 Days",IF(J567&lt;=60,"31-60 Days",IF(J567&lt;=90,"61-90 Days","90+ Days"))))</f>
        <v/>
      </c>
      <c r="M567" s="8">
        <f>IF(Raw_Data!K567="Yes",Raw_Data!F567*Raw_Data!L567,0)</f>
        <v/>
      </c>
      <c r="N567" s="2">
        <f>IF(H567&lt;&gt;"Paid","Outstanding",IF(J567=0,"On Time","Late"))</f>
        <v/>
      </c>
    </row>
    <row r="568">
      <c r="A568" s="2">
        <f>Raw_Data!A568</f>
        <v/>
      </c>
      <c r="B568" s="7">
        <f>Raw_Data!B568</f>
        <v/>
      </c>
      <c r="C568" s="2">
        <f>Raw_Data!C568</f>
        <v/>
      </c>
      <c r="D568" s="2">
        <f>Raw_Data!D568</f>
        <v/>
      </c>
      <c r="E568" s="8">
        <f>Raw_Data!F568</f>
        <v/>
      </c>
      <c r="F568" s="7">
        <f>Raw_Data!H568</f>
        <v/>
      </c>
      <c r="G568" s="7">
        <f>Raw_Data!I568</f>
        <v/>
      </c>
      <c r="H568" s="2">
        <f>Raw_Data!J568</f>
        <v/>
      </c>
      <c r="I568" s="2">
        <f>IF(G568="",0,G568-B568)</f>
        <v/>
      </c>
      <c r="J568" s="2">
        <f>IF(H568="Paid",MAX(0,G568-F568),MAX(0,DATE(2026,12,31)-F568))</f>
        <v/>
      </c>
      <c r="K568" s="8">
        <f>IF(H568="Paid",0,E568)</f>
        <v/>
      </c>
      <c r="L568" s="2">
        <f>IF(J568=0,"Current",IF(J568&lt;=30,"1-30 Days",IF(J568&lt;=60,"31-60 Days",IF(J568&lt;=90,"61-90 Days","90+ Days"))))</f>
        <v/>
      </c>
      <c r="M568" s="8">
        <f>IF(Raw_Data!K568="Yes",Raw_Data!F568*Raw_Data!L568,0)</f>
        <v/>
      </c>
      <c r="N568" s="2">
        <f>IF(H568&lt;&gt;"Paid","Outstanding",IF(J568=0,"On Time","Late"))</f>
        <v/>
      </c>
    </row>
    <row r="569">
      <c r="A569" s="2">
        <f>Raw_Data!A569</f>
        <v/>
      </c>
      <c r="B569" s="7">
        <f>Raw_Data!B569</f>
        <v/>
      </c>
      <c r="C569" s="2">
        <f>Raw_Data!C569</f>
        <v/>
      </c>
      <c r="D569" s="2">
        <f>Raw_Data!D569</f>
        <v/>
      </c>
      <c r="E569" s="8">
        <f>Raw_Data!F569</f>
        <v/>
      </c>
      <c r="F569" s="7">
        <f>Raw_Data!H569</f>
        <v/>
      </c>
      <c r="G569" s="7">
        <f>Raw_Data!I569</f>
        <v/>
      </c>
      <c r="H569" s="2">
        <f>Raw_Data!J569</f>
        <v/>
      </c>
      <c r="I569" s="2">
        <f>IF(G569="",0,G569-B569)</f>
        <v/>
      </c>
      <c r="J569" s="2">
        <f>IF(H569="Paid",MAX(0,G569-F569),MAX(0,DATE(2026,12,31)-F569))</f>
        <v/>
      </c>
      <c r="K569" s="8">
        <f>IF(H569="Paid",0,E569)</f>
        <v/>
      </c>
      <c r="L569" s="2">
        <f>IF(J569=0,"Current",IF(J569&lt;=30,"1-30 Days",IF(J569&lt;=60,"31-60 Days",IF(J569&lt;=90,"61-90 Days","90+ Days"))))</f>
        <v/>
      </c>
      <c r="M569" s="8">
        <f>IF(Raw_Data!K569="Yes",Raw_Data!F569*Raw_Data!L569,0)</f>
        <v/>
      </c>
      <c r="N569" s="2">
        <f>IF(H569&lt;&gt;"Paid","Outstanding",IF(J569=0,"On Time","Late"))</f>
        <v/>
      </c>
    </row>
    <row r="570">
      <c r="A570" s="2">
        <f>Raw_Data!A570</f>
        <v/>
      </c>
      <c r="B570" s="7">
        <f>Raw_Data!B570</f>
        <v/>
      </c>
      <c r="C570" s="2">
        <f>Raw_Data!C570</f>
        <v/>
      </c>
      <c r="D570" s="2">
        <f>Raw_Data!D570</f>
        <v/>
      </c>
      <c r="E570" s="8">
        <f>Raw_Data!F570</f>
        <v/>
      </c>
      <c r="F570" s="7">
        <f>Raw_Data!H570</f>
        <v/>
      </c>
      <c r="G570" s="7">
        <f>Raw_Data!I570</f>
        <v/>
      </c>
      <c r="H570" s="2">
        <f>Raw_Data!J570</f>
        <v/>
      </c>
      <c r="I570" s="2">
        <f>IF(G570="",0,G570-B570)</f>
        <v/>
      </c>
      <c r="J570" s="2">
        <f>IF(H570="Paid",MAX(0,G570-F570),MAX(0,DATE(2026,12,31)-F570))</f>
        <v/>
      </c>
      <c r="K570" s="8">
        <f>IF(H570="Paid",0,E570)</f>
        <v/>
      </c>
      <c r="L570" s="2">
        <f>IF(J570=0,"Current",IF(J570&lt;=30,"1-30 Days",IF(J570&lt;=60,"31-60 Days",IF(J570&lt;=90,"61-90 Days","90+ Days"))))</f>
        <v/>
      </c>
      <c r="M570" s="8">
        <f>IF(Raw_Data!K570="Yes",Raw_Data!F570*Raw_Data!L570,0)</f>
        <v/>
      </c>
      <c r="N570" s="2">
        <f>IF(H570&lt;&gt;"Paid","Outstanding",IF(J570=0,"On Time","Late"))</f>
        <v/>
      </c>
    </row>
    <row r="571">
      <c r="A571" s="2">
        <f>Raw_Data!A571</f>
        <v/>
      </c>
      <c r="B571" s="7">
        <f>Raw_Data!B571</f>
        <v/>
      </c>
      <c r="C571" s="2">
        <f>Raw_Data!C571</f>
        <v/>
      </c>
      <c r="D571" s="2">
        <f>Raw_Data!D571</f>
        <v/>
      </c>
      <c r="E571" s="8">
        <f>Raw_Data!F571</f>
        <v/>
      </c>
      <c r="F571" s="7">
        <f>Raw_Data!H571</f>
        <v/>
      </c>
      <c r="G571" s="7">
        <f>Raw_Data!I571</f>
        <v/>
      </c>
      <c r="H571" s="2">
        <f>Raw_Data!J571</f>
        <v/>
      </c>
      <c r="I571" s="2">
        <f>IF(G571="",0,G571-B571)</f>
        <v/>
      </c>
      <c r="J571" s="2">
        <f>IF(H571="Paid",MAX(0,G571-F571),MAX(0,DATE(2026,12,31)-F571))</f>
        <v/>
      </c>
      <c r="K571" s="8">
        <f>IF(H571="Paid",0,E571)</f>
        <v/>
      </c>
      <c r="L571" s="2">
        <f>IF(J571=0,"Current",IF(J571&lt;=30,"1-30 Days",IF(J571&lt;=60,"31-60 Days",IF(J571&lt;=90,"61-90 Days","90+ Days"))))</f>
        <v/>
      </c>
      <c r="M571" s="8">
        <f>IF(Raw_Data!K571="Yes",Raw_Data!F571*Raw_Data!L571,0)</f>
        <v/>
      </c>
      <c r="N571" s="2">
        <f>IF(H571&lt;&gt;"Paid","Outstanding",IF(J571=0,"On Time","Late"))</f>
        <v/>
      </c>
    </row>
    <row r="572">
      <c r="A572" s="2">
        <f>Raw_Data!A572</f>
        <v/>
      </c>
      <c r="B572" s="7">
        <f>Raw_Data!B572</f>
        <v/>
      </c>
      <c r="C572" s="2">
        <f>Raw_Data!C572</f>
        <v/>
      </c>
      <c r="D572" s="2">
        <f>Raw_Data!D572</f>
        <v/>
      </c>
      <c r="E572" s="8">
        <f>Raw_Data!F572</f>
        <v/>
      </c>
      <c r="F572" s="7">
        <f>Raw_Data!H572</f>
        <v/>
      </c>
      <c r="G572" s="7">
        <f>Raw_Data!I572</f>
        <v/>
      </c>
      <c r="H572" s="2">
        <f>Raw_Data!J572</f>
        <v/>
      </c>
      <c r="I572" s="2">
        <f>IF(G572="",0,G572-B572)</f>
        <v/>
      </c>
      <c r="J572" s="2">
        <f>IF(H572="Paid",MAX(0,G572-F572),MAX(0,DATE(2026,12,31)-F572))</f>
        <v/>
      </c>
      <c r="K572" s="8">
        <f>IF(H572="Paid",0,E572)</f>
        <v/>
      </c>
      <c r="L572" s="2">
        <f>IF(J572=0,"Current",IF(J572&lt;=30,"1-30 Days",IF(J572&lt;=60,"31-60 Days",IF(J572&lt;=90,"61-90 Days","90+ Days"))))</f>
        <v/>
      </c>
      <c r="M572" s="8">
        <f>IF(Raw_Data!K572="Yes",Raw_Data!F572*Raw_Data!L572,0)</f>
        <v/>
      </c>
      <c r="N572" s="2">
        <f>IF(H572&lt;&gt;"Paid","Outstanding",IF(J572=0,"On Time","Late"))</f>
        <v/>
      </c>
    </row>
    <row r="573">
      <c r="A573" s="2">
        <f>Raw_Data!A573</f>
        <v/>
      </c>
      <c r="B573" s="7">
        <f>Raw_Data!B573</f>
        <v/>
      </c>
      <c r="C573" s="2">
        <f>Raw_Data!C573</f>
        <v/>
      </c>
      <c r="D573" s="2">
        <f>Raw_Data!D573</f>
        <v/>
      </c>
      <c r="E573" s="8">
        <f>Raw_Data!F573</f>
        <v/>
      </c>
      <c r="F573" s="7">
        <f>Raw_Data!H573</f>
        <v/>
      </c>
      <c r="G573" s="7">
        <f>Raw_Data!I573</f>
        <v/>
      </c>
      <c r="H573" s="2">
        <f>Raw_Data!J573</f>
        <v/>
      </c>
      <c r="I573" s="2">
        <f>IF(G573="",0,G573-B573)</f>
        <v/>
      </c>
      <c r="J573" s="2">
        <f>IF(H573="Paid",MAX(0,G573-F573),MAX(0,DATE(2026,12,31)-F573))</f>
        <v/>
      </c>
      <c r="K573" s="8">
        <f>IF(H573="Paid",0,E573)</f>
        <v/>
      </c>
      <c r="L573" s="2">
        <f>IF(J573=0,"Current",IF(J573&lt;=30,"1-30 Days",IF(J573&lt;=60,"31-60 Days",IF(J573&lt;=90,"61-90 Days","90+ Days"))))</f>
        <v/>
      </c>
      <c r="M573" s="8">
        <f>IF(Raw_Data!K573="Yes",Raw_Data!F573*Raw_Data!L573,0)</f>
        <v/>
      </c>
      <c r="N573" s="2">
        <f>IF(H573&lt;&gt;"Paid","Outstanding",IF(J573=0,"On Time","Late"))</f>
        <v/>
      </c>
    </row>
    <row r="574">
      <c r="A574" s="2">
        <f>Raw_Data!A574</f>
        <v/>
      </c>
      <c r="B574" s="7">
        <f>Raw_Data!B574</f>
        <v/>
      </c>
      <c r="C574" s="2">
        <f>Raw_Data!C574</f>
        <v/>
      </c>
      <c r="D574" s="2">
        <f>Raw_Data!D574</f>
        <v/>
      </c>
      <c r="E574" s="8">
        <f>Raw_Data!F574</f>
        <v/>
      </c>
      <c r="F574" s="7">
        <f>Raw_Data!H574</f>
        <v/>
      </c>
      <c r="G574" s="7">
        <f>Raw_Data!I574</f>
        <v/>
      </c>
      <c r="H574" s="2">
        <f>Raw_Data!J574</f>
        <v/>
      </c>
      <c r="I574" s="2">
        <f>IF(G574="",0,G574-B574)</f>
        <v/>
      </c>
      <c r="J574" s="2">
        <f>IF(H574="Paid",MAX(0,G574-F574),MAX(0,DATE(2026,12,31)-F574))</f>
        <v/>
      </c>
      <c r="K574" s="8">
        <f>IF(H574="Paid",0,E574)</f>
        <v/>
      </c>
      <c r="L574" s="2">
        <f>IF(J574=0,"Current",IF(J574&lt;=30,"1-30 Days",IF(J574&lt;=60,"31-60 Days",IF(J574&lt;=90,"61-90 Days","90+ Days"))))</f>
        <v/>
      </c>
      <c r="M574" s="8">
        <f>IF(Raw_Data!K574="Yes",Raw_Data!F574*Raw_Data!L574,0)</f>
        <v/>
      </c>
      <c r="N574" s="2">
        <f>IF(H574&lt;&gt;"Paid","Outstanding",IF(J574=0,"On Time","Late"))</f>
        <v/>
      </c>
    </row>
    <row r="575">
      <c r="A575" s="2">
        <f>Raw_Data!A575</f>
        <v/>
      </c>
      <c r="B575" s="7">
        <f>Raw_Data!B575</f>
        <v/>
      </c>
      <c r="C575" s="2">
        <f>Raw_Data!C575</f>
        <v/>
      </c>
      <c r="D575" s="2">
        <f>Raw_Data!D575</f>
        <v/>
      </c>
      <c r="E575" s="8">
        <f>Raw_Data!F575</f>
        <v/>
      </c>
      <c r="F575" s="7">
        <f>Raw_Data!H575</f>
        <v/>
      </c>
      <c r="G575" s="7">
        <f>Raw_Data!I575</f>
        <v/>
      </c>
      <c r="H575" s="2">
        <f>Raw_Data!J575</f>
        <v/>
      </c>
      <c r="I575" s="2">
        <f>IF(G575="",0,G575-B575)</f>
        <v/>
      </c>
      <c r="J575" s="2">
        <f>IF(H575="Paid",MAX(0,G575-F575),MAX(0,DATE(2026,12,31)-F575))</f>
        <v/>
      </c>
      <c r="K575" s="8">
        <f>IF(H575="Paid",0,E575)</f>
        <v/>
      </c>
      <c r="L575" s="2">
        <f>IF(J575=0,"Current",IF(J575&lt;=30,"1-30 Days",IF(J575&lt;=60,"31-60 Days",IF(J575&lt;=90,"61-90 Days","90+ Days"))))</f>
        <v/>
      </c>
      <c r="M575" s="8">
        <f>IF(Raw_Data!K575="Yes",Raw_Data!F575*Raw_Data!L575,0)</f>
        <v/>
      </c>
      <c r="N575" s="2">
        <f>IF(H575&lt;&gt;"Paid","Outstanding",IF(J575=0,"On Time","Late"))</f>
        <v/>
      </c>
    </row>
    <row r="576">
      <c r="A576" s="2">
        <f>Raw_Data!A576</f>
        <v/>
      </c>
      <c r="B576" s="7">
        <f>Raw_Data!B576</f>
        <v/>
      </c>
      <c r="C576" s="2">
        <f>Raw_Data!C576</f>
        <v/>
      </c>
      <c r="D576" s="2">
        <f>Raw_Data!D576</f>
        <v/>
      </c>
      <c r="E576" s="8">
        <f>Raw_Data!F576</f>
        <v/>
      </c>
      <c r="F576" s="7">
        <f>Raw_Data!H576</f>
        <v/>
      </c>
      <c r="G576" s="7">
        <f>Raw_Data!I576</f>
        <v/>
      </c>
      <c r="H576" s="2">
        <f>Raw_Data!J576</f>
        <v/>
      </c>
      <c r="I576" s="2">
        <f>IF(G576="",0,G576-B576)</f>
        <v/>
      </c>
      <c r="J576" s="2">
        <f>IF(H576="Paid",MAX(0,G576-F576),MAX(0,DATE(2026,12,31)-F576))</f>
        <v/>
      </c>
      <c r="K576" s="8">
        <f>IF(H576="Paid",0,E576)</f>
        <v/>
      </c>
      <c r="L576" s="2">
        <f>IF(J576=0,"Current",IF(J576&lt;=30,"1-30 Days",IF(J576&lt;=60,"31-60 Days",IF(J576&lt;=90,"61-90 Days","90+ Days"))))</f>
        <v/>
      </c>
      <c r="M576" s="8">
        <f>IF(Raw_Data!K576="Yes",Raw_Data!F576*Raw_Data!L576,0)</f>
        <v/>
      </c>
      <c r="N576" s="2">
        <f>IF(H576&lt;&gt;"Paid","Outstanding",IF(J576=0,"On Time","Late"))</f>
        <v/>
      </c>
    </row>
    <row r="577">
      <c r="A577" s="2">
        <f>Raw_Data!A577</f>
        <v/>
      </c>
      <c r="B577" s="7">
        <f>Raw_Data!B577</f>
        <v/>
      </c>
      <c r="C577" s="2">
        <f>Raw_Data!C577</f>
        <v/>
      </c>
      <c r="D577" s="2">
        <f>Raw_Data!D577</f>
        <v/>
      </c>
      <c r="E577" s="8">
        <f>Raw_Data!F577</f>
        <v/>
      </c>
      <c r="F577" s="7">
        <f>Raw_Data!H577</f>
        <v/>
      </c>
      <c r="G577" s="7">
        <f>Raw_Data!I577</f>
        <v/>
      </c>
      <c r="H577" s="2">
        <f>Raw_Data!J577</f>
        <v/>
      </c>
      <c r="I577" s="2">
        <f>IF(G577="",0,G577-B577)</f>
        <v/>
      </c>
      <c r="J577" s="2">
        <f>IF(H577="Paid",MAX(0,G577-F577),MAX(0,DATE(2026,12,31)-F577))</f>
        <v/>
      </c>
      <c r="K577" s="8">
        <f>IF(H577="Paid",0,E577)</f>
        <v/>
      </c>
      <c r="L577" s="2">
        <f>IF(J577=0,"Current",IF(J577&lt;=30,"1-30 Days",IF(J577&lt;=60,"31-60 Days",IF(J577&lt;=90,"61-90 Days","90+ Days"))))</f>
        <v/>
      </c>
      <c r="M577" s="8">
        <f>IF(Raw_Data!K577="Yes",Raw_Data!F577*Raw_Data!L577,0)</f>
        <v/>
      </c>
      <c r="N577" s="2">
        <f>IF(H577&lt;&gt;"Paid","Outstanding",IF(J577=0,"On Time","Late"))</f>
        <v/>
      </c>
    </row>
    <row r="578">
      <c r="A578" s="2">
        <f>Raw_Data!A578</f>
        <v/>
      </c>
      <c r="B578" s="7">
        <f>Raw_Data!B578</f>
        <v/>
      </c>
      <c r="C578" s="2">
        <f>Raw_Data!C578</f>
        <v/>
      </c>
      <c r="D578" s="2">
        <f>Raw_Data!D578</f>
        <v/>
      </c>
      <c r="E578" s="8">
        <f>Raw_Data!F578</f>
        <v/>
      </c>
      <c r="F578" s="7">
        <f>Raw_Data!H578</f>
        <v/>
      </c>
      <c r="G578" s="7">
        <f>Raw_Data!I578</f>
        <v/>
      </c>
      <c r="H578" s="2">
        <f>Raw_Data!J578</f>
        <v/>
      </c>
      <c r="I578" s="2">
        <f>IF(G578="",0,G578-B578)</f>
        <v/>
      </c>
      <c r="J578" s="2">
        <f>IF(H578="Paid",MAX(0,G578-F578),MAX(0,DATE(2026,12,31)-F578))</f>
        <v/>
      </c>
      <c r="K578" s="8">
        <f>IF(H578="Paid",0,E578)</f>
        <v/>
      </c>
      <c r="L578" s="2">
        <f>IF(J578=0,"Current",IF(J578&lt;=30,"1-30 Days",IF(J578&lt;=60,"31-60 Days",IF(J578&lt;=90,"61-90 Days","90+ Days"))))</f>
        <v/>
      </c>
      <c r="M578" s="8">
        <f>IF(Raw_Data!K578="Yes",Raw_Data!F578*Raw_Data!L578,0)</f>
        <v/>
      </c>
      <c r="N578" s="2">
        <f>IF(H578&lt;&gt;"Paid","Outstanding",IF(J578=0,"On Time","Late"))</f>
        <v/>
      </c>
    </row>
    <row r="579">
      <c r="A579" s="2">
        <f>Raw_Data!A579</f>
        <v/>
      </c>
      <c r="B579" s="7">
        <f>Raw_Data!B579</f>
        <v/>
      </c>
      <c r="C579" s="2">
        <f>Raw_Data!C579</f>
        <v/>
      </c>
      <c r="D579" s="2">
        <f>Raw_Data!D579</f>
        <v/>
      </c>
      <c r="E579" s="8">
        <f>Raw_Data!F579</f>
        <v/>
      </c>
      <c r="F579" s="7">
        <f>Raw_Data!H579</f>
        <v/>
      </c>
      <c r="G579" s="7">
        <f>Raw_Data!I579</f>
        <v/>
      </c>
      <c r="H579" s="2">
        <f>Raw_Data!J579</f>
        <v/>
      </c>
      <c r="I579" s="2">
        <f>IF(G579="",0,G579-B579)</f>
        <v/>
      </c>
      <c r="J579" s="2">
        <f>IF(H579="Paid",MAX(0,G579-F579),MAX(0,DATE(2026,12,31)-F579))</f>
        <v/>
      </c>
      <c r="K579" s="8">
        <f>IF(H579="Paid",0,E579)</f>
        <v/>
      </c>
      <c r="L579" s="2">
        <f>IF(J579=0,"Current",IF(J579&lt;=30,"1-30 Days",IF(J579&lt;=60,"31-60 Days",IF(J579&lt;=90,"61-90 Days","90+ Days"))))</f>
        <v/>
      </c>
      <c r="M579" s="8">
        <f>IF(Raw_Data!K579="Yes",Raw_Data!F579*Raw_Data!L579,0)</f>
        <v/>
      </c>
      <c r="N579" s="2">
        <f>IF(H579&lt;&gt;"Paid","Outstanding",IF(J579=0,"On Time","Late"))</f>
        <v/>
      </c>
    </row>
    <row r="580">
      <c r="A580" s="2">
        <f>Raw_Data!A580</f>
        <v/>
      </c>
      <c r="B580" s="7">
        <f>Raw_Data!B580</f>
        <v/>
      </c>
      <c r="C580" s="2">
        <f>Raw_Data!C580</f>
        <v/>
      </c>
      <c r="D580" s="2">
        <f>Raw_Data!D580</f>
        <v/>
      </c>
      <c r="E580" s="8">
        <f>Raw_Data!F580</f>
        <v/>
      </c>
      <c r="F580" s="7">
        <f>Raw_Data!H580</f>
        <v/>
      </c>
      <c r="G580" s="7">
        <f>Raw_Data!I580</f>
        <v/>
      </c>
      <c r="H580" s="2">
        <f>Raw_Data!J580</f>
        <v/>
      </c>
      <c r="I580" s="2">
        <f>IF(G580="",0,G580-B580)</f>
        <v/>
      </c>
      <c r="J580" s="2">
        <f>IF(H580="Paid",MAX(0,G580-F580),MAX(0,DATE(2026,12,31)-F580))</f>
        <v/>
      </c>
      <c r="K580" s="8">
        <f>IF(H580="Paid",0,E580)</f>
        <v/>
      </c>
      <c r="L580" s="2">
        <f>IF(J580=0,"Current",IF(J580&lt;=30,"1-30 Days",IF(J580&lt;=60,"31-60 Days",IF(J580&lt;=90,"61-90 Days","90+ Days"))))</f>
        <v/>
      </c>
      <c r="M580" s="8">
        <f>IF(Raw_Data!K580="Yes",Raw_Data!F580*Raw_Data!L580,0)</f>
        <v/>
      </c>
      <c r="N580" s="2">
        <f>IF(H580&lt;&gt;"Paid","Outstanding",IF(J580=0,"On Time","Late"))</f>
        <v/>
      </c>
    </row>
    <row r="581">
      <c r="A581" s="2">
        <f>Raw_Data!A581</f>
        <v/>
      </c>
      <c r="B581" s="7">
        <f>Raw_Data!B581</f>
        <v/>
      </c>
      <c r="C581" s="2">
        <f>Raw_Data!C581</f>
        <v/>
      </c>
      <c r="D581" s="2">
        <f>Raw_Data!D581</f>
        <v/>
      </c>
      <c r="E581" s="8">
        <f>Raw_Data!F581</f>
        <v/>
      </c>
      <c r="F581" s="7">
        <f>Raw_Data!H581</f>
        <v/>
      </c>
      <c r="G581" s="7">
        <f>Raw_Data!I581</f>
        <v/>
      </c>
      <c r="H581" s="2">
        <f>Raw_Data!J581</f>
        <v/>
      </c>
      <c r="I581" s="2">
        <f>IF(G581="",0,G581-B581)</f>
        <v/>
      </c>
      <c r="J581" s="2">
        <f>IF(H581="Paid",MAX(0,G581-F581),MAX(0,DATE(2026,12,31)-F581))</f>
        <v/>
      </c>
      <c r="K581" s="8">
        <f>IF(H581="Paid",0,E581)</f>
        <v/>
      </c>
      <c r="L581" s="2">
        <f>IF(J581=0,"Current",IF(J581&lt;=30,"1-30 Days",IF(J581&lt;=60,"31-60 Days",IF(J581&lt;=90,"61-90 Days","90+ Days"))))</f>
        <v/>
      </c>
      <c r="M581" s="8">
        <f>IF(Raw_Data!K581="Yes",Raw_Data!F581*Raw_Data!L581,0)</f>
        <v/>
      </c>
      <c r="N581" s="2">
        <f>IF(H581&lt;&gt;"Paid","Outstanding",IF(J581=0,"On Time","Late"))</f>
        <v/>
      </c>
    </row>
    <row r="582">
      <c r="A582" s="2">
        <f>Raw_Data!A582</f>
        <v/>
      </c>
      <c r="B582" s="7">
        <f>Raw_Data!B582</f>
        <v/>
      </c>
      <c r="C582" s="2">
        <f>Raw_Data!C582</f>
        <v/>
      </c>
      <c r="D582" s="2">
        <f>Raw_Data!D582</f>
        <v/>
      </c>
      <c r="E582" s="8">
        <f>Raw_Data!F582</f>
        <v/>
      </c>
      <c r="F582" s="7">
        <f>Raw_Data!H582</f>
        <v/>
      </c>
      <c r="G582" s="7">
        <f>Raw_Data!I582</f>
        <v/>
      </c>
      <c r="H582" s="2">
        <f>Raw_Data!J582</f>
        <v/>
      </c>
      <c r="I582" s="2">
        <f>IF(G582="",0,G582-B582)</f>
        <v/>
      </c>
      <c r="J582" s="2">
        <f>IF(H582="Paid",MAX(0,G582-F582),MAX(0,DATE(2026,12,31)-F582))</f>
        <v/>
      </c>
      <c r="K582" s="8">
        <f>IF(H582="Paid",0,E582)</f>
        <v/>
      </c>
      <c r="L582" s="2">
        <f>IF(J582=0,"Current",IF(J582&lt;=30,"1-30 Days",IF(J582&lt;=60,"31-60 Days",IF(J582&lt;=90,"61-90 Days","90+ Days"))))</f>
        <v/>
      </c>
      <c r="M582" s="8">
        <f>IF(Raw_Data!K582="Yes",Raw_Data!F582*Raw_Data!L582,0)</f>
        <v/>
      </c>
      <c r="N582" s="2">
        <f>IF(H582&lt;&gt;"Paid","Outstanding",IF(J582=0,"On Time","Late"))</f>
        <v/>
      </c>
    </row>
    <row r="583">
      <c r="A583" s="2">
        <f>Raw_Data!A583</f>
        <v/>
      </c>
      <c r="B583" s="7">
        <f>Raw_Data!B583</f>
        <v/>
      </c>
      <c r="C583" s="2">
        <f>Raw_Data!C583</f>
        <v/>
      </c>
      <c r="D583" s="2">
        <f>Raw_Data!D583</f>
        <v/>
      </c>
      <c r="E583" s="8">
        <f>Raw_Data!F583</f>
        <v/>
      </c>
      <c r="F583" s="7">
        <f>Raw_Data!H583</f>
        <v/>
      </c>
      <c r="G583" s="7">
        <f>Raw_Data!I583</f>
        <v/>
      </c>
      <c r="H583" s="2">
        <f>Raw_Data!J583</f>
        <v/>
      </c>
      <c r="I583" s="2">
        <f>IF(G583="",0,G583-B583)</f>
        <v/>
      </c>
      <c r="J583" s="2">
        <f>IF(H583="Paid",MAX(0,G583-F583),MAX(0,DATE(2026,12,31)-F583))</f>
        <v/>
      </c>
      <c r="K583" s="8">
        <f>IF(H583="Paid",0,E583)</f>
        <v/>
      </c>
      <c r="L583" s="2">
        <f>IF(J583=0,"Current",IF(J583&lt;=30,"1-30 Days",IF(J583&lt;=60,"31-60 Days",IF(J583&lt;=90,"61-90 Days","90+ Days"))))</f>
        <v/>
      </c>
      <c r="M583" s="8">
        <f>IF(Raw_Data!K583="Yes",Raw_Data!F583*Raw_Data!L583,0)</f>
        <v/>
      </c>
      <c r="N583" s="2">
        <f>IF(H583&lt;&gt;"Paid","Outstanding",IF(J583=0,"On Time","Late"))</f>
        <v/>
      </c>
    </row>
    <row r="584">
      <c r="A584" s="2">
        <f>Raw_Data!A584</f>
        <v/>
      </c>
      <c r="B584" s="7">
        <f>Raw_Data!B584</f>
        <v/>
      </c>
      <c r="C584" s="2">
        <f>Raw_Data!C584</f>
        <v/>
      </c>
      <c r="D584" s="2">
        <f>Raw_Data!D584</f>
        <v/>
      </c>
      <c r="E584" s="8">
        <f>Raw_Data!F584</f>
        <v/>
      </c>
      <c r="F584" s="7">
        <f>Raw_Data!H584</f>
        <v/>
      </c>
      <c r="G584" s="7">
        <f>Raw_Data!I584</f>
        <v/>
      </c>
      <c r="H584" s="2">
        <f>Raw_Data!J584</f>
        <v/>
      </c>
      <c r="I584" s="2">
        <f>IF(G584="",0,G584-B584)</f>
        <v/>
      </c>
      <c r="J584" s="2">
        <f>IF(H584="Paid",MAX(0,G584-F584),MAX(0,DATE(2026,12,31)-F584))</f>
        <v/>
      </c>
      <c r="K584" s="8">
        <f>IF(H584="Paid",0,E584)</f>
        <v/>
      </c>
      <c r="L584" s="2">
        <f>IF(J584=0,"Current",IF(J584&lt;=30,"1-30 Days",IF(J584&lt;=60,"31-60 Days",IF(J584&lt;=90,"61-90 Days","90+ Days"))))</f>
        <v/>
      </c>
      <c r="M584" s="8">
        <f>IF(Raw_Data!K584="Yes",Raw_Data!F584*Raw_Data!L584,0)</f>
        <v/>
      </c>
      <c r="N584" s="2">
        <f>IF(H584&lt;&gt;"Paid","Outstanding",IF(J584=0,"On Time","Late"))</f>
        <v/>
      </c>
    </row>
    <row r="585">
      <c r="A585" s="2">
        <f>Raw_Data!A585</f>
        <v/>
      </c>
      <c r="B585" s="7">
        <f>Raw_Data!B585</f>
        <v/>
      </c>
      <c r="C585" s="2">
        <f>Raw_Data!C585</f>
        <v/>
      </c>
      <c r="D585" s="2">
        <f>Raw_Data!D585</f>
        <v/>
      </c>
      <c r="E585" s="8">
        <f>Raw_Data!F585</f>
        <v/>
      </c>
      <c r="F585" s="7">
        <f>Raw_Data!H585</f>
        <v/>
      </c>
      <c r="G585" s="7">
        <f>Raw_Data!I585</f>
        <v/>
      </c>
      <c r="H585" s="2">
        <f>Raw_Data!J585</f>
        <v/>
      </c>
      <c r="I585" s="2">
        <f>IF(G585="",0,G585-B585)</f>
        <v/>
      </c>
      <c r="J585" s="2">
        <f>IF(H585="Paid",MAX(0,G585-F585),MAX(0,DATE(2026,12,31)-F585))</f>
        <v/>
      </c>
      <c r="K585" s="8">
        <f>IF(H585="Paid",0,E585)</f>
        <v/>
      </c>
      <c r="L585" s="2">
        <f>IF(J585=0,"Current",IF(J585&lt;=30,"1-30 Days",IF(J585&lt;=60,"31-60 Days",IF(J585&lt;=90,"61-90 Days","90+ Days"))))</f>
        <v/>
      </c>
      <c r="M585" s="8">
        <f>IF(Raw_Data!K585="Yes",Raw_Data!F585*Raw_Data!L585,0)</f>
        <v/>
      </c>
      <c r="N585" s="2">
        <f>IF(H585&lt;&gt;"Paid","Outstanding",IF(J585=0,"On Time","Late"))</f>
        <v/>
      </c>
    </row>
    <row r="586">
      <c r="A586" s="2">
        <f>Raw_Data!A586</f>
        <v/>
      </c>
      <c r="B586" s="7">
        <f>Raw_Data!B586</f>
        <v/>
      </c>
      <c r="C586" s="2">
        <f>Raw_Data!C586</f>
        <v/>
      </c>
      <c r="D586" s="2">
        <f>Raw_Data!D586</f>
        <v/>
      </c>
      <c r="E586" s="8">
        <f>Raw_Data!F586</f>
        <v/>
      </c>
      <c r="F586" s="7">
        <f>Raw_Data!H586</f>
        <v/>
      </c>
      <c r="G586" s="7">
        <f>Raw_Data!I586</f>
        <v/>
      </c>
      <c r="H586" s="2">
        <f>Raw_Data!J586</f>
        <v/>
      </c>
      <c r="I586" s="2">
        <f>IF(G586="",0,G586-B586)</f>
        <v/>
      </c>
      <c r="J586" s="2">
        <f>IF(H586="Paid",MAX(0,G586-F586),MAX(0,DATE(2026,12,31)-F586))</f>
        <v/>
      </c>
      <c r="K586" s="8">
        <f>IF(H586="Paid",0,E586)</f>
        <v/>
      </c>
      <c r="L586" s="2">
        <f>IF(J586=0,"Current",IF(J586&lt;=30,"1-30 Days",IF(J586&lt;=60,"31-60 Days",IF(J586&lt;=90,"61-90 Days","90+ Days"))))</f>
        <v/>
      </c>
      <c r="M586" s="8">
        <f>IF(Raw_Data!K586="Yes",Raw_Data!F586*Raw_Data!L586,0)</f>
        <v/>
      </c>
      <c r="N586" s="2">
        <f>IF(H586&lt;&gt;"Paid","Outstanding",IF(J586=0,"On Time","Late"))</f>
        <v/>
      </c>
    </row>
    <row r="587">
      <c r="A587" s="2">
        <f>Raw_Data!A587</f>
        <v/>
      </c>
      <c r="B587" s="7">
        <f>Raw_Data!B587</f>
        <v/>
      </c>
      <c r="C587" s="2">
        <f>Raw_Data!C587</f>
        <v/>
      </c>
      <c r="D587" s="2">
        <f>Raw_Data!D587</f>
        <v/>
      </c>
      <c r="E587" s="8">
        <f>Raw_Data!F587</f>
        <v/>
      </c>
      <c r="F587" s="7">
        <f>Raw_Data!H587</f>
        <v/>
      </c>
      <c r="G587" s="7">
        <f>Raw_Data!I587</f>
        <v/>
      </c>
      <c r="H587" s="2">
        <f>Raw_Data!J587</f>
        <v/>
      </c>
      <c r="I587" s="2">
        <f>IF(G587="",0,G587-B587)</f>
        <v/>
      </c>
      <c r="J587" s="2">
        <f>IF(H587="Paid",MAX(0,G587-F587),MAX(0,DATE(2026,12,31)-F587))</f>
        <v/>
      </c>
      <c r="K587" s="8">
        <f>IF(H587="Paid",0,E587)</f>
        <v/>
      </c>
      <c r="L587" s="2">
        <f>IF(J587=0,"Current",IF(J587&lt;=30,"1-30 Days",IF(J587&lt;=60,"31-60 Days",IF(J587&lt;=90,"61-90 Days","90+ Days"))))</f>
        <v/>
      </c>
      <c r="M587" s="8">
        <f>IF(Raw_Data!K587="Yes",Raw_Data!F587*Raw_Data!L587,0)</f>
        <v/>
      </c>
      <c r="N587" s="2">
        <f>IF(H587&lt;&gt;"Paid","Outstanding",IF(J587=0,"On Time","Late"))</f>
        <v/>
      </c>
    </row>
    <row r="588">
      <c r="A588" s="2">
        <f>Raw_Data!A588</f>
        <v/>
      </c>
      <c r="B588" s="7">
        <f>Raw_Data!B588</f>
        <v/>
      </c>
      <c r="C588" s="2">
        <f>Raw_Data!C588</f>
        <v/>
      </c>
      <c r="D588" s="2">
        <f>Raw_Data!D588</f>
        <v/>
      </c>
      <c r="E588" s="8">
        <f>Raw_Data!F588</f>
        <v/>
      </c>
      <c r="F588" s="7">
        <f>Raw_Data!H588</f>
        <v/>
      </c>
      <c r="G588" s="7">
        <f>Raw_Data!I588</f>
        <v/>
      </c>
      <c r="H588" s="2">
        <f>Raw_Data!J588</f>
        <v/>
      </c>
      <c r="I588" s="2">
        <f>IF(G588="",0,G588-B588)</f>
        <v/>
      </c>
      <c r="J588" s="2">
        <f>IF(H588="Paid",MAX(0,G588-F588),MAX(0,DATE(2026,12,31)-F588))</f>
        <v/>
      </c>
      <c r="K588" s="8">
        <f>IF(H588="Paid",0,E588)</f>
        <v/>
      </c>
      <c r="L588" s="2">
        <f>IF(J588=0,"Current",IF(J588&lt;=30,"1-30 Days",IF(J588&lt;=60,"31-60 Days",IF(J588&lt;=90,"61-90 Days","90+ Days"))))</f>
        <v/>
      </c>
      <c r="M588" s="8">
        <f>IF(Raw_Data!K588="Yes",Raw_Data!F588*Raw_Data!L588,0)</f>
        <v/>
      </c>
      <c r="N588" s="2">
        <f>IF(H588&lt;&gt;"Paid","Outstanding",IF(J588=0,"On Time","Late"))</f>
        <v/>
      </c>
    </row>
    <row r="589">
      <c r="A589" s="2">
        <f>Raw_Data!A589</f>
        <v/>
      </c>
      <c r="B589" s="7">
        <f>Raw_Data!B589</f>
        <v/>
      </c>
      <c r="C589" s="2">
        <f>Raw_Data!C589</f>
        <v/>
      </c>
      <c r="D589" s="2">
        <f>Raw_Data!D589</f>
        <v/>
      </c>
      <c r="E589" s="8">
        <f>Raw_Data!F589</f>
        <v/>
      </c>
      <c r="F589" s="7">
        <f>Raw_Data!H589</f>
        <v/>
      </c>
      <c r="G589" s="7">
        <f>Raw_Data!I589</f>
        <v/>
      </c>
      <c r="H589" s="2">
        <f>Raw_Data!J589</f>
        <v/>
      </c>
      <c r="I589" s="2">
        <f>IF(G589="",0,G589-B589)</f>
        <v/>
      </c>
      <c r="J589" s="2">
        <f>IF(H589="Paid",MAX(0,G589-F589),MAX(0,DATE(2026,12,31)-F589))</f>
        <v/>
      </c>
      <c r="K589" s="8">
        <f>IF(H589="Paid",0,E589)</f>
        <v/>
      </c>
      <c r="L589" s="2">
        <f>IF(J589=0,"Current",IF(J589&lt;=30,"1-30 Days",IF(J589&lt;=60,"31-60 Days",IF(J589&lt;=90,"61-90 Days","90+ Days"))))</f>
        <v/>
      </c>
      <c r="M589" s="8">
        <f>IF(Raw_Data!K589="Yes",Raw_Data!F589*Raw_Data!L589,0)</f>
        <v/>
      </c>
      <c r="N589" s="2">
        <f>IF(H589&lt;&gt;"Paid","Outstanding",IF(J589=0,"On Time","Late"))</f>
        <v/>
      </c>
    </row>
    <row r="590">
      <c r="A590" s="2">
        <f>Raw_Data!A590</f>
        <v/>
      </c>
      <c r="B590" s="7">
        <f>Raw_Data!B590</f>
        <v/>
      </c>
      <c r="C590" s="2">
        <f>Raw_Data!C590</f>
        <v/>
      </c>
      <c r="D590" s="2">
        <f>Raw_Data!D590</f>
        <v/>
      </c>
      <c r="E590" s="8">
        <f>Raw_Data!F590</f>
        <v/>
      </c>
      <c r="F590" s="7">
        <f>Raw_Data!H590</f>
        <v/>
      </c>
      <c r="G590" s="7">
        <f>Raw_Data!I590</f>
        <v/>
      </c>
      <c r="H590" s="2">
        <f>Raw_Data!J590</f>
        <v/>
      </c>
      <c r="I590" s="2">
        <f>IF(G590="",0,G590-B590)</f>
        <v/>
      </c>
      <c r="J590" s="2">
        <f>IF(H590="Paid",MAX(0,G590-F590),MAX(0,DATE(2026,12,31)-F590))</f>
        <v/>
      </c>
      <c r="K590" s="8">
        <f>IF(H590="Paid",0,E590)</f>
        <v/>
      </c>
      <c r="L590" s="2">
        <f>IF(J590=0,"Current",IF(J590&lt;=30,"1-30 Days",IF(J590&lt;=60,"31-60 Days",IF(J590&lt;=90,"61-90 Days","90+ Days"))))</f>
        <v/>
      </c>
      <c r="M590" s="8">
        <f>IF(Raw_Data!K590="Yes",Raw_Data!F590*Raw_Data!L590,0)</f>
        <v/>
      </c>
      <c r="N590" s="2">
        <f>IF(H590&lt;&gt;"Paid","Outstanding",IF(J590=0,"On Time","Late"))</f>
        <v/>
      </c>
    </row>
    <row r="591">
      <c r="A591" s="2">
        <f>Raw_Data!A591</f>
        <v/>
      </c>
      <c r="B591" s="7">
        <f>Raw_Data!B591</f>
        <v/>
      </c>
      <c r="C591" s="2">
        <f>Raw_Data!C591</f>
        <v/>
      </c>
      <c r="D591" s="2">
        <f>Raw_Data!D591</f>
        <v/>
      </c>
      <c r="E591" s="8">
        <f>Raw_Data!F591</f>
        <v/>
      </c>
      <c r="F591" s="7">
        <f>Raw_Data!H591</f>
        <v/>
      </c>
      <c r="G591" s="7">
        <f>Raw_Data!I591</f>
        <v/>
      </c>
      <c r="H591" s="2">
        <f>Raw_Data!J591</f>
        <v/>
      </c>
      <c r="I591" s="2">
        <f>IF(G591="",0,G591-B591)</f>
        <v/>
      </c>
      <c r="J591" s="2">
        <f>IF(H591="Paid",MAX(0,G591-F591),MAX(0,DATE(2026,12,31)-F591))</f>
        <v/>
      </c>
      <c r="K591" s="8">
        <f>IF(H591="Paid",0,E591)</f>
        <v/>
      </c>
      <c r="L591" s="2">
        <f>IF(J591=0,"Current",IF(J591&lt;=30,"1-30 Days",IF(J591&lt;=60,"31-60 Days",IF(J591&lt;=90,"61-90 Days","90+ Days"))))</f>
        <v/>
      </c>
      <c r="M591" s="8">
        <f>IF(Raw_Data!K591="Yes",Raw_Data!F591*Raw_Data!L591,0)</f>
        <v/>
      </c>
      <c r="N591" s="2">
        <f>IF(H591&lt;&gt;"Paid","Outstanding",IF(J591=0,"On Time","Late"))</f>
        <v/>
      </c>
    </row>
    <row r="592">
      <c r="A592" s="2">
        <f>Raw_Data!A592</f>
        <v/>
      </c>
      <c r="B592" s="7">
        <f>Raw_Data!B592</f>
        <v/>
      </c>
      <c r="C592" s="2">
        <f>Raw_Data!C592</f>
        <v/>
      </c>
      <c r="D592" s="2">
        <f>Raw_Data!D592</f>
        <v/>
      </c>
      <c r="E592" s="8">
        <f>Raw_Data!F592</f>
        <v/>
      </c>
      <c r="F592" s="7">
        <f>Raw_Data!H592</f>
        <v/>
      </c>
      <c r="G592" s="7">
        <f>Raw_Data!I592</f>
        <v/>
      </c>
      <c r="H592" s="2">
        <f>Raw_Data!J592</f>
        <v/>
      </c>
      <c r="I592" s="2">
        <f>IF(G592="",0,G592-B592)</f>
        <v/>
      </c>
      <c r="J592" s="2">
        <f>IF(H592="Paid",MAX(0,G592-F592),MAX(0,DATE(2026,12,31)-F592))</f>
        <v/>
      </c>
      <c r="K592" s="8">
        <f>IF(H592="Paid",0,E592)</f>
        <v/>
      </c>
      <c r="L592" s="2">
        <f>IF(J592=0,"Current",IF(J592&lt;=30,"1-30 Days",IF(J592&lt;=60,"31-60 Days",IF(J592&lt;=90,"61-90 Days","90+ Days"))))</f>
        <v/>
      </c>
      <c r="M592" s="8">
        <f>IF(Raw_Data!K592="Yes",Raw_Data!F592*Raw_Data!L592,0)</f>
        <v/>
      </c>
      <c r="N592" s="2">
        <f>IF(H592&lt;&gt;"Paid","Outstanding",IF(J592=0,"On Time","Late"))</f>
        <v/>
      </c>
    </row>
    <row r="593">
      <c r="A593" s="2">
        <f>Raw_Data!A593</f>
        <v/>
      </c>
      <c r="B593" s="7">
        <f>Raw_Data!B593</f>
        <v/>
      </c>
      <c r="C593" s="2">
        <f>Raw_Data!C593</f>
        <v/>
      </c>
      <c r="D593" s="2">
        <f>Raw_Data!D593</f>
        <v/>
      </c>
      <c r="E593" s="8">
        <f>Raw_Data!F593</f>
        <v/>
      </c>
      <c r="F593" s="7">
        <f>Raw_Data!H593</f>
        <v/>
      </c>
      <c r="G593" s="7">
        <f>Raw_Data!I593</f>
        <v/>
      </c>
      <c r="H593" s="2">
        <f>Raw_Data!J593</f>
        <v/>
      </c>
      <c r="I593" s="2">
        <f>IF(G593="",0,G593-B593)</f>
        <v/>
      </c>
      <c r="J593" s="2">
        <f>IF(H593="Paid",MAX(0,G593-F593),MAX(0,DATE(2026,12,31)-F593))</f>
        <v/>
      </c>
      <c r="K593" s="8">
        <f>IF(H593="Paid",0,E593)</f>
        <v/>
      </c>
      <c r="L593" s="2">
        <f>IF(J593=0,"Current",IF(J593&lt;=30,"1-30 Days",IF(J593&lt;=60,"31-60 Days",IF(J593&lt;=90,"61-90 Days","90+ Days"))))</f>
        <v/>
      </c>
      <c r="M593" s="8">
        <f>IF(Raw_Data!K593="Yes",Raw_Data!F593*Raw_Data!L593,0)</f>
        <v/>
      </c>
      <c r="N593" s="2">
        <f>IF(H593&lt;&gt;"Paid","Outstanding",IF(J593=0,"On Time","Late"))</f>
        <v/>
      </c>
    </row>
    <row r="594">
      <c r="A594" s="2">
        <f>Raw_Data!A594</f>
        <v/>
      </c>
      <c r="B594" s="7">
        <f>Raw_Data!B594</f>
        <v/>
      </c>
      <c r="C594" s="2">
        <f>Raw_Data!C594</f>
        <v/>
      </c>
      <c r="D594" s="2">
        <f>Raw_Data!D594</f>
        <v/>
      </c>
      <c r="E594" s="8">
        <f>Raw_Data!F594</f>
        <v/>
      </c>
      <c r="F594" s="7">
        <f>Raw_Data!H594</f>
        <v/>
      </c>
      <c r="G594" s="7">
        <f>Raw_Data!I594</f>
        <v/>
      </c>
      <c r="H594" s="2">
        <f>Raw_Data!J594</f>
        <v/>
      </c>
      <c r="I594" s="2">
        <f>IF(G594="",0,G594-B594)</f>
        <v/>
      </c>
      <c r="J594" s="2">
        <f>IF(H594="Paid",MAX(0,G594-F594),MAX(0,DATE(2026,12,31)-F594))</f>
        <v/>
      </c>
      <c r="K594" s="8">
        <f>IF(H594="Paid",0,E594)</f>
        <v/>
      </c>
      <c r="L594" s="2">
        <f>IF(J594=0,"Current",IF(J594&lt;=30,"1-30 Days",IF(J594&lt;=60,"31-60 Days",IF(J594&lt;=90,"61-90 Days","90+ Days"))))</f>
        <v/>
      </c>
      <c r="M594" s="8">
        <f>IF(Raw_Data!K594="Yes",Raw_Data!F594*Raw_Data!L594,0)</f>
        <v/>
      </c>
      <c r="N594" s="2">
        <f>IF(H594&lt;&gt;"Paid","Outstanding",IF(J594=0,"On Time","Late"))</f>
        <v/>
      </c>
    </row>
    <row r="595">
      <c r="A595" s="2">
        <f>Raw_Data!A595</f>
        <v/>
      </c>
      <c r="B595" s="7">
        <f>Raw_Data!B595</f>
        <v/>
      </c>
      <c r="C595" s="2">
        <f>Raw_Data!C595</f>
        <v/>
      </c>
      <c r="D595" s="2">
        <f>Raw_Data!D595</f>
        <v/>
      </c>
      <c r="E595" s="8">
        <f>Raw_Data!F595</f>
        <v/>
      </c>
      <c r="F595" s="7">
        <f>Raw_Data!H595</f>
        <v/>
      </c>
      <c r="G595" s="7">
        <f>Raw_Data!I595</f>
        <v/>
      </c>
      <c r="H595" s="2">
        <f>Raw_Data!J595</f>
        <v/>
      </c>
      <c r="I595" s="2">
        <f>IF(G595="",0,G595-B595)</f>
        <v/>
      </c>
      <c r="J595" s="2">
        <f>IF(H595="Paid",MAX(0,G595-F595),MAX(0,DATE(2026,12,31)-F595))</f>
        <v/>
      </c>
      <c r="K595" s="8">
        <f>IF(H595="Paid",0,E595)</f>
        <v/>
      </c>
      <c r="L595" s="2">
        <f>IF(J595=0,"Current",IF(J595&lt;=30,"1-30 Days",IF(J595&lt;=60,"31-60 Days",IF(J595&lt;=90,"61-90 Days","90+ Days"))))</f>
        <v/>
      </c>
      <c r="M595" s="8">
        <f>IF(Raw_Data!K595="Yes",Raw_Data!F595*Raw_Data!L595,0)</f>
        <v/>
      </c>
      <c r="N595" s="2">
        <f>IF(H595&lt;&gt;"Paid","Outstanding",IF(J595=0,"On Time","Late"))</f>
        <v/>
      </c>
    </row>
    <row r="596">
      <c r="A596" s="2">
        <f>Raw_Data!A596</f>
        <v/>
      </c>
      <c r="B596" s="7">
        <f>Raw_Data!B596</f>
        <v/>
      </c>
      <c r="C596" s="2">
        <f>Raw_Data!C596</f>
        <v/>
      </c>
      <c r="D596" s="2">
        <f>Raw_Data!D596</f>
        <v/>
      </c>
      <c r="E596" s="8">
        <f>Raw_Data!F596</f>
        <v/>
      </c>
      <c r="F596" s="7">
        <f>Raw_Data!H596</f>
        <v/>
      </c>
      <c r="G596" s="7">
        <f>Raw_Data!I596</f>
        <v/>
      </c>
      <c r="H596" s="2">
        <f>Raw_Data!J596</f>
        <v/>
      </c>
      <c r="I596" s="2">
        <f>IF(G596="",0,G596-B596)</f>
        <v/>
      </c>
      <c r="J596" s="2">
        <f>IF(H596="Paid",MAX(0,G596-F596),MAX(0,DATE(2026,12,31)-F596))</f>
        <v/>
      </c>
      <c r="K596" s="8">
        <f>IF(H596="Paid",0,E596)</f>
        <v/>
      </c>
      <c r="L596" s="2">
        <f>IF(J596=0,"Current",IF(J596&lt;=30,"1-30 Days",IF(J596&lt;=60,"31-60 Days",IF(J596&lt;=90,"61-90 Days","90+ Days"))))</f>
        <v/>
      </c>
      <c r="M596" s="8">
        <f>IF(Raw_Data!K596="Yes",Raw_Data!F596*Raw_Data!L596,0)</f>
        <v/>
      </c>
      <c r="N596" s="2">
        <f>IF(H596&lt;&gt;"Paid","Outstanding",IF(J596=0,"On Time","Late"))</f>
        <v/>
      </c>
    </row>
    <row r="597">
      <c r="A597" s="2">
        <f>Raw_Data!A597</f>
        <v/>
      </c>
      <c r="B597" s="7">
        <f>Raw_Data!B597</f>
        <v/>
      </c>
      <c r="C597" s="2">
        <f>Raw_Data!C597</f>
        <v/>
      </c>
      <c r="D597" s="2">
        <f>Raw_Data!D597</f>
        <v/>
      </c>
      <c r="E597" s="8">
        <f>Raw_Data!F597</f>
        <v/>
      </c>
      <c r="F597" s="7">
        <f>Raw_Data!H597</f>
        <v/>
      </c>
      <c r="G597" s="7">
        <f>Raw_Data!I597</f>
        <v/>
      </c>
      <c r="H597" s="2">
        <f>Raw_Data!J597</f>
        <v/>
      </c>
      <c r="I597" s="2">
        <f>IF(G597="",0,G597-B597)</f>
        <v/>
      </c>
      <c r="J597" s="2">
        <f>IF(H597="Paid",MAX(0,G597-F597),MAX(0,DATE(2026,12,31)-F597))</f>
        <v/>
      </c>
      <c r="K597" s="8">
        <f>IF(H597="Paid",0,E597)</f>
        <v/>
      </c>
      <c r="L597" s="2">
        <f>IF(J597=0,"Current",IF(J597&lt;=30,"1-30 Days",IF(J597&lt;=60,"31-60 Days",IF(J597&lt;=90,"61-90 Days","90+ Days"))))</f>
        <v/>
      </c>
      <c r="M597" s="8">
        <f>IF(Raw_Data!K597="Yes",Raw_Data!F597*Raw_Data!L597,0)</f>
        <v/>
      </c>
      <c r="N597" s="2">
        <f>IF(H597&lt;&gt;"Paid","Outstanding",IF(J597=0,"On Time","Late"))</f>
        <v/>
      </c>
    </row>
    <row r="598">
      <c r="A598" s="2">
        <f>Raw_Data!A598</f>
        <v/>
      </c>
      <c r="B598" s="7">
        <f>Raw_Data!B598</f>
        <v/>
      </c>
      <c r="C598" s="2">
        <f>Raw_Data!C598</f>
        <v/>
      </c>
      <c r="D598" s="2">
        <f>Raw_Data!D598</f>
        <v/>
      </c>
      <c r="E598" s="8">
        <f>Raw_Data!F598</f>
        <v/>
      </c>
      <c r="F598" s="7">
        <f>Raw_Data!H598</f>
        <v/>
      </c>
      <c r="G598" s="7">
        <f>Raw_Data!I598</f>
        <v/>
      </c>
      <c r="H598" s="2">
        <f>Raw_Data!J598</f>
        <v/>
      </c>
      <c r="I598" s="2">
        <f>IF(G598="",0,G598-B598)</f>
        <v/>
      </c>
      <c r="J598" s="2">
        <f>IF(H598="Paid",MAX(0,G598-F598),MAX(0,DATE(2026,12,31)-F598))</f>
        <v/>
      </c>
      <c r="K598" s="8">
        <f>IF(H598="Paid",0,E598)</f>
        <v/>
      </c>
      <c r="L598" s="2">
        <f>IF(J598=0,"Current",IF(J598&lt;=30,"1-30 Days",IF(J598&lt;=60,"31-60 Days",IF(J598&lt;=90,"61-90 Days","90+ Days"))))</f>
        <v/>
      </c>
      <c r="M598" s="8">
        <f>IF(Raw_Data!K598="Yes",Raw_Data!F598*Raw_Data!L598,0)</f>
        <v/>
      </c>
      <c r="N598" s="2">
        <f>IF(H598&lt;&gt;"Paid","Outstanding",IF(J598=0,"On Time","Late"))</f>
        <v/>
      </c>
    </row>
    <row r="599">
      <c r="A599" s="2">
        <f>Raw_Data!A599</f>
        <v/>
      </c>
      <c r="B599" s="7">
        <f>Raw_Data!B599</f>
        <v/>
      </c>
      <c r="C599" s="2">
        <f>Raw_Data!C599</f>
        <v/>
      </c>
      <c r="D599" s="2">
        <f>Raw_Data!D599</f>
        <v/>
      </c>
      <c r="E599" s="8">
        <f>Raw_Data!F599</f>
        <v/>
      </c>
      <c r="F599" s="7">
        <f>Raw_Data!H599</f>
        <v/>
      </c>
      <c r="G599" s="7">
        <f>Raw_Data!I599</f>
        <v/>
      </c>
      <c r="H599" s="2">
        <f>Raw_Data!J599</f>
        <v/>
      </c>
      <c r="I599" s="2">
        <f>IF(G599="",0,G599-B599)</f>
        <v/>
      </c>
      <c r="J599" s="2">
        <f>IF(H599="Paid",MAX(0,G599-F599),MAX(0,DATE(2026,12,31)-F599))</f>
        <v/>
      </c>
      <c r="K599" s="8">
        <f>IF(H599="Paid",0,E599)</f>
        <v/>
      </c>
      <c r="L599" s="2">
        <f>IF(J599=0,"Current",IF(J599&lt;=30,"1-30 Days",IF(J599&lt;=60,"31-60 Days",IF(J599&lt;=90,"61-90 Days","90+ Days"))))</f>
        <v/>
      </c>
      <c r="M599" s="8">
        <f>IF(Raw_Data!K599="Yes",Raw_Data!F599*Raw_Data!L599,0)</f>
        <v/>
      </c>
      <c r="N599" s="2">
        <f>IF(H599&lt;&gt;"Paid","Outstanding",IF(J599=0,"On Time","Late"))</f>
        <v/>
      </c>
    </row>
    <row r="600">
      <c r="A600" s="2">
        <f>Raw_Data!A600</f>
        <v/>
      </c>
      <c r="B600" s="7">
        <f>Raw_Data!B600</f>
        <v/>
      </c>
      <c r="C600" s="2">
        <f>Raw_Data!C600</f>
        <v/>
      </c>
      <c r="D600" s="2">
        <f>Raw_Data!D600</f>
        <v/>
      </c>
      <c r="E600" s="8">
        <f>Raw_Data!F600</f>
        <v/>
      </c>
      <c r="F600" s="7">
        <f>Raw_Data!H600</f>
        <v/>
      </c>
      <c r="G600" s="7">
        <f>Raw_Data!I600</f>
        <v/>
      </c>
      <c r="H600" s="2">
        <f>Raw_Data!J600</f>
        <v/>
      </c>
      <c r="I600" s="2">
        <f>IF(G600="",0,G600-B600)</f>
        <v/>
      </c>
      <c r="J600" s="2">
        <f>IF(H600="Paid",MAX(0,G600-F600),MAX(0,DATE(2026,12,31)-F600))</f>
        <v/>
      </c>
      <c r="K600" s="8">
        <f>IF(H600="Paid",0,E600)</f>
        <v/>
      </c>
      <c r="L600" s="2">
        <f>IF(J600=0,"Current",IF(J600&lt;=30,"1-30 Days",IF(J600&lt;=60,"31-60 Days",IF(J600&lt;=90,"61-90 Days","90+ Days"))))</f>
        <v/>
      </c>
      <c r="M600" s="8">
        <f>IF(Raw_Data!K600="Yes",Raw_Data!F600*Raw_Data!L600,0)</f>
        <v/>
      </c>
      <c r="N600" s="2">
        <f>IF(H600&lt;&gt;"Paid","Outstanding",IF(J600=0,"On Time","Late"))</f>
        <v/>
      </c>
    </row>
    <row r="601">
      <c r="A601" s="2">
        <f>Raw_Data!A601</f>
        <v/>
      </c>
      <c r="B601" s="7">
        <f>Raw_Data!B601</f>
        <v/>
      </c>
      <c r="C601" s="2">
        <f>Raw_Data!C601</f>
        <v/>
      </c>
      <c r="D601" s="2">
        <f>Raw_Data!D601</f>
        <v/>
      </c>
      <c r="E601" s="8">
        <f>Raw_Data!F601</f>
        <v/>
      </c>
      <c r="F601" s="7">
        <f>Raw_Data!H601</f>
        <v/>
      </c>
      <c r="G601" s="7">
        <f>Raw_Data!I601</f>
        <v/>
      </c>
      <c r="H601" s="2">
        <f>Raw_Data!J601</f>
        <v/>
      </c>
      <c r="I601" s="2">
        <f>IF(G601="",0,G601-B601)</f>
        <v/>
      </c>
      <c r="J601" s="2">
        <f>IF(H601="Paid",MAX(0,G601-F601),MAX(0,DATE(2026,12,31)-F601))</f>
        <v/>
      </c>
      <c r="K601" s="8">
        <f>IF(H601="Paid",0,E601)</f>
        <v/>
      </c>
      <c r="L601" s="2">
        <f>IF(J601=0,"Current",IF(J601&lt;=30,"1-30 Days",IF(J601&lt;=60,"31-60 Days",IF(J601&lt;=90,"61-90 Days","90+ Days"))))</f>
        <v/>
      </c>
      <c r="M601" s="8">
        <f>IF(Raw_Data!K601="Yes",Raw_Data!F601*Raw_Data!L601,0)</f>
        <v/>
      </c>
      <c r="N601" s="2">
        <f>IF(H601&lt;&gt;"Paid","Outstanding",IF(J601=0,"On Time","Late"))</f>
        <v/>
      </c>
    </row>
    <row r="602">
      <c r="A602" s="2">
        <f>Raw_Data!A602</f>
        <v/>
      </c>
      <c r="B602" s="7">
        <f>Raw_Data!B602</f>
        <v/>
      </c>
      <c r="C602" s="2">
        <f>Raw_Data!C602</f>
        <v/>
      </c>
      <c r="D602" s="2">
        <f>Raw_Data!D602</f>
        <v/>
      </c>
      <c r="E602" s="8">
        <f>Raw_Data!F602</f>
        <v/>
      </c>
      <c r="F602" s="7">
        <f>Raw_Data!H602</f>
        <v/>
      </c>
      <c r="G602" s="7">
        <f>Raw_Data!I602</f>
        <v/>
      </c>
      <c r="H602" s="2">
        <f>Raw_Data!J602</f>
        <v/>
      </c>
      <c r="I602" s="2">
        <f>IF(G602="",0,G602-B602)</f>
        <v/>
      </c>
      <c r="J602" s="2">
        <f>IF(H602="Paid",MAX(0,G602-F602),MAX(0,DATE(2026,12,31)-F602))</f>
        <v/>
      </c>
      <c r="K602" s="8">
        <f>IF(H602="Paid",0,E602)</f>
        <v/>
      </c>
      <c r="L602" s="2">
        <f>IF(J602=0,"Current",IF(J602&lt;=30,"1-30 Days",IF(J602&lt;=60,"31-60 Days",IF(J602&lt;=90,"61-90 Days","90+ Days"))))</f>
        <v/>
      </c>
      <c r="M602" s="8">
        <f>IF(Raw_Data!K602="Yes",Raw_Data!F602*Raw_Data!L602,0)</f>
        <v/>
      </c>
      <c r="N602" s="2">
        <f>IF(H602&lt;&gt;"Paid","Outstanding",IF(J602=0,"On Time","Late"))</f>
        <v/>
      </c>
    </row>
    <row r="603">
      <c r="A603" s="2">
        <f>Raw_Data!A603</f>
        <v/>
      </c>
      <c r="B603" s="7">
        <f>Raw_Data!B603</f>
        <v/>
      </c>
      <c r="C603" s="2">
        <f>Raw_Data!C603</f>
        <v/>
      </c>
      <c r="D603" s="2">
        <f>Raw_Data!D603</f>
        <v/>
      </c>
      <c r="E603" s="8">
        <f>Raw_Data!F603</f>
        <v/>
      </c>
      <c r="F603" s="7">
        <f>Raw_Data!H603</f>
        <v/>
      </c>
      <c r="G603" s="7">
        <f>Raw_Data!I603</f>
        <v/>
      </c>
      <c r="H603" s="2">
        <f>Raw_Data!J603</f>
        <v/>
      </c>
      <c r="I603" s="2">
        <f>IF(G603="",0,G603-B603)</f>
        <v/>
      </c>
      <c r="J603" s="2">
        <f>IF(H603="Paid",MAX(0,G603-F603),MAX(0,DATE(2026,12,31)-F603))</f>
        <v/>
      </c>
      <c r="K603" s="8">
        <f>IF(H603="Paid",0,E603)</f>
        <v/>
      </c>
      <c r="L603" s="2">
        <f>IF(J603=0,"Current",IF(J603&lt;=30,"1-30 Days",IF(J603&lt;=60,"31-60 Days",IF(J603&lt;=90,"61-90 Days","90+ Days"))))</f>
        <v/>
      </c>
      <c r="M603" s="8">
        <f>IF(Raw_Data!K603="Yes",Raw_Data!F603*Raw_Data!L603,0)</f>
        <v/>
      </c>
      <c r="N603" s="2">
        <f>IF(H603&lt;&gt;"Paid","Outstanding",IF(J603=0,"On Time","Late"))</f>
        <v/>
      </c>
    </row>
    <row r="604">
      <c r="A604" s="2">
        <f>Raw_Data!A604</f>
        <v/>
      </c>
      <c r="B604" s="7">
        <f>Raw_Data!B604</f>
        <v/>
      </c>
      <c r="C604" s="2">
        <f>Raw_Data!C604</f>
        <v/>
      </c>
      <c r="D604" s="2">
        <f>Raw_Data!D604</f>
        <v/>
      </c>
      <c r="E604" s="8">
        <f>Raw_Data!F604</f>
        <v/>
      </c>
      <c r="F604" s="7">
        <f>Raw_Data!H604</f>
        <v/>
      </c>
      <c r="G604" s="7">
        <f>Raw_Data!I604</f>
        <v/>
      </c>
      <c r="H604" s="2">
        <f>Raw_Data!J604</f>
        <v/>
      </c>
      <c r="I604" s="2">
        <f>IF(G604="",0,G604-B604)</f>
        <v/>
      </c>
      <c r="J604" s="2">
        <f>IF(H604="Paid",MAX(0,G604-F604),MAX(0,DATE(2026,12,31)-F604))</f>
        <v/>
      </c>
      <c r="K604" s="8">
        <f>IF(H604="Paid",0,E604)</f>
        <v/>
      </c>
      <c r="L604" s="2">
        <f>IF(J604=0,"Current",IF(J604&lt;=30,"1-30 Days",IF(J604&lt;=60,"31-60 Days",IF(J604&lt;=90,"61-90 Days","90+ Days"))))</f>
        <v/>
      </c>
      <c r="M604" s="8">
        <f>IF(Raw_Data!K604="Yes",Raw_Data!F604*Raw_Data!L604,0)</f>
        <v/>
      </c>
      <c r="N604" s="2">
        <f>IF(H604&lt;&gt;"Paid","Outstanding",IF(J604=0,"On Time","Late"))</f>
        <v/>
      </c>
    </row>
    <row r="605">
      <c r="A605" s="2">
        <f>Raw_Data!A605</f>
        <v/>
      </c>
      <c r="B605" s="7">
        <f>Raw_Data!B605</f>
        <v/>
      </c>
      <c r="C605" s="2">
        <f>Raw_Data!C605</f>
        <v/>
      </c>
      <c r="D605" s="2">
        <f>Raw_Data!D605</f>
        <v/>
      </c>
      <c r="E605" s="8">
        <f>Raw_Data!F605</f>
        <v/>
      </c>
      <c r="F605" s="7">
        <f>Raw_Data!H605</f>
        <v/>
      </c>
      <c r="G605" s="7">
        <f>Raw_Data!I605</f>
        <v/>
      </c>
      <c r="H605" s="2">
        <f>Raw_Data!J605</f>
        <v/>
      </c>
      <c r="I605" s="2">
        <f>IF(G605="",0,G605-B605)</f>
        <v/>
      </c>
      <c r="J605" s="2">
        <f>IF(H605="Paid",MAX(0,G605-F605),MAX(0,DATE(2026,12,31)-F605))</f>
        <v/>
      </c>
      <c r="K605" s="8">
        <f>IF(H605="Paid",0,E605)</f>
        <v/>
      </c>
      <c r="L605" s="2">
        <f>IF(J605=0,"Current",IF(J605&lt;=30,"1-30 Days",IF(J605&lt;=60,"31-60 Days",IF(J605&lt;=90,"61-90 Days","90+ Days"))))</f>
        <v/>
      </c>
      <c r="M605" s="8">
        <f>IF(Raw_Data!K605="Yes",Raw_Data!F605*Raw_Data!L605,0)</f>
        <v/>
      </c>
      <c r="N605" s="2">
        <f>IF(H605&lt;&gt;"Paid","Outstanding",IF(J605=0,"On Time","Late"))</f>
        <v/>
      </c>
    </row>
    <row r="606">
      <c r="A606" s="2">
        <f>Raw_Data!A606</f>
        <v/>
      </c>
      <c r="B606" s="7">
        <f>Raw_Data!B606</f>
        <v/>
      </c>
      <c r="C606" s="2">
        <f>Raw_Data!C606</f>
        <v/>
      </c>
      <c r="D606" s="2">
        <f>Raw_Data!D606</f>
        <v/>
      </c>
      <c r="E606" s="8">
        <f>Raw_Data!F606</f>
        <v/>
      </c>
      <c r="F606" s="7">
        <f>Raw_Data!H606</f>
        <v/>
      </c>
      <c r="G606" s="7">
        <f>Raw_Data!I606</f>
        <v/>
      </c>
      <c r="H606" s="2">
        <f>Raw_Data!J606</f>
        <v/>
      </c>
      <c r="I606" s="2">
        <f>IF(G606="",0,G606-B606)</f>
        <v/>
      </c>
      <c r="J606" s="2">
        <f>IF(H606="Paid",MAX(0,G606-F606),MAX(0,DATE(2026,12,31)-F606))</f>
        <v/>
      </c>
      <c r="K606" s="8">
        <f>IF(H606="Paid",0,E606)</f>
        <v/>
      </c>
      <c r="L606" s="2">
        <f>IF(J606=0,"Current",IF(J606&lt;=30,"1-30 Days",IF(J606&lt;=60,"31-60 Days",IF(J606&lt;=90,"61-90 Days","90+ Days"))))</f>
        <v/>
      </c>
      <c r="M606" s="8">
        <f>IF(Raw_Data!K606="Yes",Raw_Data!F606*Raw_Data!L606,0)</f>
        <v/>
      </c>
      <c r="N606" s="2">
        <f>IF(H606&lt;&gt;"Paid","Outstanding",IF(J606=0,"On Time","Late"))</f>
        <v/>
      </c>
    </row>
    <row r="607">
      <c r="A607" s="2">
        <f>Raw_Data!A607</f>
        <v/>
      </c>
      <c r="B607" s="7">
        <f>Raw_Data!B607</f>
        <v/>
      </c>
      <c r="C607" s="2">
        <f>Raw_Data!C607</f>
        <v/>
      </c>
      <c r="D607" s="2">
        <f>Raw_Data!D607</f>
        <v/>
      </c>
      <c r="E607" s="8">
        <f>Raw_Data!F607</f>
        <v/>
      </c>
      <c r="F607" s="7">
        <f>Raw_Data!H607</f>
        <v/>
      </c>
      <c r="G607" s="7">
        <f>Raw_Data!I607</f>
        <v/>
      </c>
      <c r="H607" s="2">
        <f>Raw_Data!J607</f>
        <v/>
      </c>
      <c r="I607" s="2">
        <f>IF(G607="",0,G607-B607)</f>
        <v/>
      </c>
      <c r="J607" s="2">
        <f>IF(H607="Paid",MAX(0,G607-F607),MAX(0,DATE(2026,12,31)-F607))</f>
        <v/>
      </c>
      <c r="K607" s="8">
        <f>IF(H607="Paid",0,E607)</f>
        <v/>
      </c>
      <c r="L607" s="2">
        <f>IF(J607=0,"Current",IF(J607&lt;=30,"1-30 Days",IF(J607&lt;=60,"31-60 Days",IF(J607&lt;=90,"61-90 Days","90+ Days"))))</f>
        <v/>
      </c>
      <c r="M607" s="8">
        <f>IF(Raw_Data!K607="Yes",Raw_Data!F607*Raw_Data!L607,0)</f>
        <v/>
      </c>
      <c r="N607" s="2">
        <f>IF(H607&lt;&gt;"Paid","Outstanding",IF(J607=0,"On Time","Late"))</f>
        <v/>
      </c>
    </row>
    <row r="608">
      <c r="A608" s="2">
        <f>Raw_Data!A608</f>
        <v/>
      </c>
      <c r="B608" s="7">
        <f>Raw_Data!B608</f>
        <v/>
      </c>
      <c r="C608" s="2">
        <f>Raw_Data!C608</f>
        <v/>
      </c>
      <c r="D608" s="2">
        <f>Raw_Data!D608</f>
        <v/>
      </c>
      <c r="E608" s="8">
        <f>Raw_Data!F608</f>
        <v/>
      </c>
      <c r="F608" s="7">
        <f>Raw_Data!H608</f>
        <v/>
      </c>
      <c r="G608" s="7">
        <f>Raw_Data!I608</f>
        <v/>
      </c>
      <c r="H608" s="2">
        <f>Raw_Data!J608</f>
        <v/>
      </c>
      <c r="I608" s="2">
        <f>IF(G608="",0,G608-B608)</f>
        <v/>
      </c>
      <c r="J608" s="2">
        <f>IF(H608="Paid",MAX(0,G608-F608),MAX(0,DATE(2026,12,31)-F608))</f>
        <v/>
      </c>
      <c r="K608" s="8">
        <f>IF(H608="Paid",0,E608)</f>
        <v/>
      </c>
      <c r="L608" s="2">
        <f>IF(J608=0,"Current",IF(J608&lt;=30,"1-30 Days",IF(J608&lt;=60,"31-60 Days",IF(J608&lt;=90,"61-90 Days","90+ Days"))))</f>
        <v/>
      </c>
      <c r="M608" s="8">
        <f>IF(Raw_Data!K608="Yes",Raw_Data!F608*Raw_Data!L608,0)</f>
        <v/>
      </c>
      <c r="N608" s="2">
        <f>IF(H608&lt;&gt;"Paid","Outstanding",IF(J608=0,"On Time","Late"))</f>
        <v/>
      </c>
    </row>
    <row r="609">
      <c r="A609" s="2">
        <f>Raw_Data!A609</f>
        <v/>
      </c>
      <c r="B609" s="7">
        <f>Raw_Data!B609</f>
        <v/>
      </c>
      <c r="C609" s="2">
        <f>Raw_Data!C609</f>
        <v/>
      </c>
      <c r="D609" s="2">
        <f>Raw_Data!D609</f>
        <v/>
      </c>
      <c r="E609" s="8">
        <f>Raw_Data!F609</f>
        <v/>
      </c>
      <c r="F609" s="7">
        <f>Raw_Data!H609</f>
        <v/>
      </c>
      <c r="G609" s="7">
        <f>Raw_Data!I609</f>
        <v/>
      </c>
      <c r="H609" s="2">
        <f>Raw_Data!J609</f>
        <v/>
      </c>
      <c r="I609" s="2">
        <f>IF(G609="",0,G609-B609)</f>
        <v/>
      </c>
      <c r="J609" s="2">
        <f>IF(H609="Paid",MAX(0,G609-F609),MAX(0,DATE(2026,12,31)-F609))</f>
        <v/>
      </c>
      <c r="K609" s="8">
        <f>IF(H609="Paid",0,E609)</f>
        <v/>
      </c>
      <c r="L609" s="2">
        <f>IF(J609=0,"Current",IF(J609&lt;=30,"1-30 Days",IF(J609&lt;=60,"31-60 Days",IF(J609&lt;=90,"61-90 Days","90+ Days"))))</f>
        <v/>
      </c>
      <c r="M609" s="8">
        <f>IF(Raw_Data!K609="Yes",Raw_Data!F609*Raw_Data!L609,0)</f>
        <v/>
      </c>
      <c r="N609" s="2">
        <f>IF(H609&lt;&gt;"Paid","Outstanding",IF(J609=0,"On Time","Late"))</f>
        <v/>
      </c>
    </row>
    <row r="610">
      <c r="A610" s="2">
        <f>Raw_Data!A610</f>
        <v/>
      </c>
      <c r="B610" s="7">
        <f>Raw_Data!B610</f>
        <v/>
      </c>
      <c r="C610" s="2">
        <f>Raw_Data!C610</f>
        <v/>
      </c>
      <c r="D610" s="2">
        <f>Raw_Data!D610</f>
        <v/>
      </c>
      <c r="E610" s="8">
        <f>Raw_Data!F610</f>
        <v/>
      </c>
      <c r="F610" s="7">
        <f>Raw_Data!H610</f>
        <v/>
      </c>
      <c r="G610" s="7">
        <f>Raw_Data!I610</f>
        <v/>
      </c>
      <c r="H610" s="2">
        <f>Raw_Data!J610</f>
        <v/>
      </c>
      <c r="I610" s="2">
        <f>IF(G610="",0,G610-B610)</f>
        <v/>
      </c>
      <c r="J610" s="2">
        <f>IF(H610="Paid",MAX(0,G610-F610),MAX(0,DATE(2026,12,31)-F610))</f>
        <v/>
      </c>
      <c r="K610" s="8">
        <f>IF(H610="Paid",0,E610)</f>
        <v/>
      </c>
      <c r="L610" s="2">
        <f>IF(J610=0,"Current",IF(J610&lt;=30,"1-30 Days",IF(J610&lt;=60,"31-60 Days",IF(J610&lt;=90,"61-90 Days","90+ Days"))))</f>
        <v/>
      </c>
      <c r="M610" s="8">
        <f>IF(Raw_Data!K610="Yes",Raw_Data!F610*Raw_Data!L610,0)</f>
        <v/>
      </c>
      <c r="N610" s="2">
        <f>IF(H610&lt;&gt;"Paid","Outstanding",IF(J610=0,"On Time","Late"))</f>
        <v/>
      </c>
    </row>
    <row r="611">
      <c r="A611" s="2">
        <f>Raw_Data!A611</f>
        <v/>
      </c>
      <c r="B611" s="7">
        <f>Raw_Data!B611</f>
        <v/>
      </c>
      <c r="C611" s="2">
        <f>Raw_Data!C611</f>
        <v/>
      </c>
      <c r="D611" s="2">
        <f>Raw_Data!D611</f>
        <v/>
      </c>
      <c r="E611" s="8">
        <f>Raw_Data!F611</f>
        <v/>
      </c>
      <c r="F611" s="7">
        <f>Raw_Data!H611</f>
        <v/>
      </c>
      <c r="G611" s="7">
        <f>Raw_Data!I611</f>
        <v/>
      </c>
      <c r="H611" s="2">
        <f>Raw_Data!J611</f>
        <v/>
      </c>
      <c r="I611" s="2">
        <f>IF(G611="",0,G611-B611)</f>
        <v/>
      </c>
      <c r="J611" s="2">
        <f>IF(H611="Paid",MAX(0,G611-F611),MAX(0,DATE(2026,12,31)-F611))</f>
        <v/>
      </c>
      <c r="K611" s="8">
        <f>IF(H611="Paid",0,E611)</f>
        <v/>
      </c>
      <c r="L611" s="2">
        <f>IF(J611=0,"Current",IF(J611&lt;=30,"1-30 Days",IF(J611&lt;=60,"31-60 Days",IF(J611&lt;=90,"61-90 Days","90+ Days"))))</f>
        <v/>
      </c>
      <c r="M611" s="8">
        <f>IF(Raw_Data!K611="Yes",Raw_Data!F611*Raw_Data!L611,0)</f>
        <v/>
      </c>
      <c r="N611" s="2">
        <f>IF(H611&lt;&gt;"Paid","Outstanding",IF(J611=0,"On Time","Late"))</f>
        <v/>
      </c>
    </row>
    <row r="612">
      <c r="A612" s="2">
        <f>Raw_Data!A612</f>
        <v/>
      </c>
      <c r="B612" s="7">
        <f>Raw_Data!B612</f>
        <v/>
      </c>
      <c r="C612" s="2">
        <f>Raw_Data!C612</f>
        <v/>
      </c>
      <c r="D612" s="2">
        <f>Raw_Data!D612</f>
        <v/>
      </c>
      <c r="E612" s="8">
        <f>Raw_Data!F612</f>
        <v/>
      </c>
      <c r="F612" s="7">
        <f>Raw_Data!H612</f>
        <v/>
      </c>
      <c r="G612" s="7">
        <f>Raw_Data!I612</f>
        <v/>
      </c>
      <c r="H612" s="2">
        <f>Raw_Data!J612</f>
        <v/>
      </c>
      <c r="I612" s="2">
        <f>IF(G612="",0,G612-B612)</f>
        <v/>
      </c>
      <c r="J612" s="2">
        <f>IF(H612="Paid",MAX(0,G612-F612),MAX(0,DATE(2026,12,31)-F612))</f>
        <v/>
      </c>
      <c r="K612" s="8">
        <f>IF(H612="Paid",0,E612)</f>
        <v/>
      </c>
      <c r="L612" s="2">
        <f>IF(J612=0,"Current",IF(J612&lt;=30,"1-30 Days",IF(J612&lt;=60,"31-60 Days",IF(J612&lt;=90,"61-90 Days","90+ Days"))))</f>
        <v/>
      </c>
      <c r="M612" s="8">
        <f>IF(Raw_Data!K612="Yes",Raw_Data!F612*Raw_Data!L612,0)</f>
        <v/>
      </c>
      <c r="N612" s="2">
        <f>IF(H612&lt;&gt;"Paid","Outstanding",IF(J612=0,"On Time","Late"))</f>
        <v/>
      </c>
    </row>
    <row r="613">
      <c r="A613" s="2">
        <f>Raw_Data!A613</f>
        <v/>
      </c>
      <c r="B613" s="7">
        <f>Raw_Data!B613</f>
        <v/>
      </c>
      <c r="C613" s="2">
        <f>Raw_Data!C613</f>
        <v/>
      </c>
      <c r="D613" s="2">
        <f>Raw_Data!D613</f>
        <v/>
      </c>
      <c r="E613" s="8">
        <f>Raw_Data!F613</f>
        <v/>
      </c>
      <c r="F613" s="7">
        <f>Raw_Data!H613</f>
        <v/>
      </c>
      <c r="G613" s="7">
        <f>Raw_Data!I613</f>
        <v/>
      </c>
      <c r="H613" s="2">
        <f>Raw_Data!J613</f>
        <v/>
      </c>
      <c r="I613" s="2">
        <f>IF(G613="",0,G613-B613)</f>
        <v/>
      </c>
      <c r="J613" s="2">
        <f>IF(H613="Paid",MAX(0,G613-F613),MAX(0,DATE(2026,12,31)-F613))</f>
        <v/>
      </c>
      <c r="K613" s="8">
        <f>IF(H613="Paid",0,E613)</f>
        <v/>
      </c>
      <c r="L613" s="2">
        <f>IF(J613=0,"Current",IF(J613&lt;=30,"1-30 Days",IF(J613&lt;=60,"31-60 Days",IF(J613&lt;=90,"61-90 Days","90+ Days"))))</f>
        <v/>
      </c>
      <c r="M613" s="8">
        <f>IF(Raw_Data!K613="Yes",Raw_Data!F613*Raw_Data!L613,0)</f>
        <v/>
      </c>
      <c r="N613" s="2">
        <f>IF(H613&lt;&gt;"Paid","Outstanding",IF(J613=0,"On Time","Late"))</f>
        <v/>
      </c>
    </row>
    <row r="614">
      <c r="A614" s="2">
        <f>Raw_Data!A614</f>
        <v/>
      </c>
      <c r="B614" s="7">
        <f>Raw_Data!B614</f>
        <v/>
      </c>
      <c r="C614" s="2">
        <f>Raw_Data!C614</f>
        <v/>
      </c>
      <c r="D614" s="2">
        <f>Raw_Data!D614</f>
        <v/>
      </c>
      <c r="E614" s="8">
        <f>Raw_Data!F614</f>
        <v/>
      </c>
      <c r="F614" s="7">
        <f>Raw_Data!H614</f>
        <v/>
      </c>
      <c r="G614" s="7">
        <f>Raw_Data!I614</f>
        <v/>
      </c>
      <c r="H614" s="2">
        <f>Raw_Data!J614</f>
        <v/>
      </c>
      <c r="I614" s="2">
        <f>IF(G614="",0,G614-B614)</f>
        <v/>
      </c>
      <c r="J614" s="2">
        <f>IF(H614="Paid",MAX(0,G614-F614),MAX(0,DATE(2026,12,31)-F614))</f>
        <v/>
      </c>
      <c r="K614" s="8">
        <f>IF(H614="Paid",0,E614)</f>
        <v/>
      </c>
      <c r="L614" s="2">
        <f>IF(J614=0,"Current",IF(J614&lt;=30,"1-30 Days",IF(J614&lt;=60,"31-60 Days",IF(J614&lt;=90,"61-90 Days","90+ Days"))))</f>
        <v/>
      </c>
      <c r="M614" s="8">
        <f>IF(Raw_Data!K614="Yes",Raw_Data!F614*Raw_Data!L614,0)</f>
        <v/>
      </c>
      <c r="N614" s="2">
        <f>IF(H614&lt;&gt;"Paid","Outstanding",IF(J614=0,"On Time","Late"))</f>
        <v/>
      </c>
    </row>
    <row r="615">
      <c r="A615" s="2">
        <f>Raw_Data!A615</f>
        <v/>
      </c>
      <c r="B615" s="7">
        <f>Raw_Data!B615</f>
        <v/>
      </c>
      <c r="C615" s="2">
        <f>Raw_Data!C615</f>
        <v/>
      </c>
      <c r="D615" s="2">
        <f>Raw_Data!D615</f>
        <v/>
      </c>
      <c r="E615" s="8">
        <f>Raw_Data!F615</f>
        <v/>
      </c>
      <c r="F615" s="7">
        <f>Raw_Data!H615</f>
        <v/>
      </c>
      <c r="G615" s="7">
        <f>Raw_Data!I615</f>
        <v/>
      </c>
      <c r="H615" s="2">
        <f>Raw_Data!J615</f>
        <v/>
      </c>
      <c r="I615" s="2">
        <f>IF(G615="",0,G615-B615)</f>
        <v/>
      </c>
      <c r="J615" s="2">
        <f>IF(H615="Paid",MAX(0,G615-F615),MAX(0,DATE(2026,12,31)-F615))</f>
        <v/>
      </c>
      <c r="K615" s="8">
        <f>IF(H615="Paid",0,E615)</f>
        <v/>
      </c>
      <c r="L615" s="2">
        <f>IF(J615=0,"Current",IF(J615&lt;=30,"1-30 Days",IF(J615&lt;=60,"31-60 Days",IF(J615&lt;=90,"61-90 Days","90+ Days"))))</f>
        <v/>
      </c>
      <c r="M615" s="8">
        <f>IF(Raw_Data!K615="Yes",Raw_Data!F615*Raw_Data!L615,0)</f>
        <v/>
      </c>
      <c r="N615" s="2">
        <f>IF(H615&lt;&gt;"Paid","Outstanding",IF(J615=0,"On Time","Late"))</f>
        <v/>
      </c>
    </row>
    <row r="616">
      <c r="A616" s="2">
        <f>Raw_Data!A616</f>
        <v/>
      </c>
      <c r="B616" s="7">
        <f>Raw_Data!B616</f>
        <v/>
      </c>
      <c r="C616" s="2">
        <f>Raw_Data!C616</f>
        <v/>
      </c>
      <c r="D616" s="2">
        <f>Raw_Data!D616</f>
        <v/>
      </c>
      <c r="E616" s="8">
        <f>Raw_Data!F616</f>
        <v/>
      </c>
      <c r="F616" s="7">
        <f>Raw_Data!H616</f>
        <v/>
      </c>
      <c r="G616" s="7">
        <f>Raw_Data!I616</f>
        <v/>
      </c>
      <c r="H616" s="2">
        <f>Raw_Data!J616</f>
        <v/>
      </c>
      <c r="I616" s="2">
        <f>IF(G616="",0,G616-B616)</f>
        <v/>
      </c>
      <c r="J616" s="2">
        <f>IF(H616="Paid",MAX(0,G616-F616),MAX(0,DATE(2026,12,31)-F616))</f>
        <v/>
      </c>
      <c r="K616" s="8">
        <f>IF(H616="Paid",0,E616)</f>
        <v/>
      </c>
      <c r="L616" s="2">
        <f>IF(J616=0,"Current",IF(J616&lt;=30,"1-30 Days",IF(J616&lt;=60,"31-60 Days",IF(J616&lt;=90,"61-90 Days","90+ Days"))))</f>
        <v/>
      </c>
      <c r="M616" s="8">
        <f>IF(Raw_Data!K616="Yes",Raw_Data!F616*Raw_Data!L616,0)</f>
        <v/>
      </c>
      <c r="N616" s="2">
        <f>IF(H616&lt;&gt;"Paid","Outstanding",IF(J616=0,"On Time","Late"))</f>
        <v/>
      </c>
    </row>
    <row r="617">
      <c r="A617" s="2">
        <f>Raw_Data!A617</f>
        <v/>
      </c>
      <c r="B617" s="7">
        <f>Raw_Data!B617</f>
        <v/>
      </c>
      <c r="C617" s="2">
        <f>Raw_Data!C617</f>
        <v/>
      </c>
      <c r="D617" s="2">
        <f>Raw_Data!D617</f>
        <v/>
      </c>
      <c r="E617" s="8">
        <f>Raw_Data!F617</f>
        <v/>
      </c>
      <c r="F617" s="7">
        <f>Raw_Data!H617</f>
        <v/>
      </c>
      <c r="G617" s="7">
        <f>Raw_Data!I617</f>
        <v/>
      </c>
      <c r="H617" s="2">
        <f>Raw_Data!J617</f>
        <v/>
      </c>
      <c r="I617" s="2">
        <f>IF(G617="",0,G617-B617)</f>
        <v/>
      </c>
      <c r="J617" s="2">
        <f>IF(H617="Paid",MAX(0,G617-F617),MAX(0,DATE(2026,12,31)-F617))</f>
        <v/>
      </c>
      <c r="K617" s="8">
        <f>IF(H617="Paid",0,E617)</f>
        <v/>
      </c>
      <c r="L617" s="2">
        <f>IF(J617=0,"Current",IF(J617&lt;=30,"1-30 Days",IF(J617&lt;=60,"31-60 Days",IF(J617&lt;=90,"61-90 Days","90+ Days"))))</f>
        <v/>
      </c>
      <c r="M617" s="8">
        <f>IF(Raw_Data!K617="Yes",Raw_Data!F617*Raw_Data!L617,0)</f>
        <v/>
      </c>
      <c r="N617" s="2">
        <f>IF(H617&lt;&gt;"Paid","Outstanding",IF(J617=0,"On Time","Late"))</f>
        <v/>
      </c>
    </row>
    <row r="618">
      <c r="A618" s="2">
        <f>Raw_Data!A618</f>
        <v/>
      </c>
      <c r="B618" s="7">
        <f>Raw_Data!B618</f>
        <v/>
      </c>
      <c r="C618" s="2">
        <f>Raw_Data!C618</f>
        <v/>
      </c>
      <c r="D618" s="2">
        <f>Raw_Data!D618</f>
        <v/>
      </c>
      <c r="E618" s="8">
        <f>Raw_Data!F618</f>
        <v/>
      </c>
      <c r="F618" s="7">
        <f>Raw_Data!H618</f>
        <v/>
      </c>
      <c r="G618" s="7">
        <f>Raw_Data!I618</f>
        <v/>
      </c>
      <c r="H618" s="2">
        <f>Raw_Data!J618</f>
        <v/>
      </c>
      <c r="I618" s="2">
        <f>IF(G618="",0,G618-B618)</f>
        <v/>
      </c>
      <c r="J618" s="2">
        <f>IF(H618="Paid",MAX(0,G618-F618),MAX(0,DATE(2026,12,31)-F618))</f>
        <v/>
      </c>
      <c r="K618" s="8">
        <f>IF(H618="Paid",0,E618)</f>
        <v/>
      </c>
      <c r="L618" s="2">
        <f>IF(J618=0,"Current",IF(J618&lt;=30,"1-30 Days",IF(J618&lt;=60,"31-60 Days",IF(J618&lt;=90,"61-90 Days","90+ Days"))))</f>
        <v/>
      </c>
      <c r="M618" s="8">
        <f>IF(Raw_Data!K618="Yes",Raw_Data!F618*Raw_Data!L618,0)</f>
        <v/>
      </c>
      <c r="N618" s="2">
        <f>IF(H618&lt;&gt;"Paid","Outstanding",IF(J618=0,"On Time","Late"))</f>
        <v/>
      </c>
    </row>
    <row r="619">
      <c r="A619" s="2">
        <f>Raw_Data!A619</f>
        <v/>
      </c>
      <c r="B619" s="7">
        <f>Raw_Data!B619</f>
        <v/>
      </c>
      <c r="C619" s="2">
        <f>Raw_Data!C619</f>
        <v/>
      </c>
      <c r="D619" s="2">
        <f>Raw_Data!D619</f>
        <v/>
      </c>
      <c r="E619" s="8">
        <f>Raw_Data!F619</f>
        <v/>
      </c>
      <c r="F619" s="7">
        <f>Raw_Data!H619</f>
        <v/>
      </c>
      <c r="G619" s="7">
        <f>Raw_Data!I619</f>
        <v/>
      </c>
      <c r="H619" s="2">
        <f>Raw_Data!J619</f>
        <v/>
      </c>
      <c r="I619" s="2">
        <f>IF(G619="",0,G619-B619)</f>
        <v/>
      </c>
      <c r="J619" s="2">
        <f>IF(H619="Paid",MAX(0,G619-F619),MAX(0,DATE(2026,12,31)-F619))</f>
        <v/>
      </c>
      <c r="K619" s="8">
        <f>IF(H619="Paid",0,E619)</f>
        <v/>
      </c>
      <c r="L619" s="2">
        <f>IF(J619=0,"Current",IF(J619&lt;=30,"1-30 Days",IF(J619&lt;=60,"31-60 Days",IF(J619&lt;=90,"61-90 Days","90+ Days"))))</f>
        <v/>
      </c>
      <c r="M619" s="8">
        <f>IF(Raw_Data!K619="Yes",Raw_Data!F619*Raw_Data!L619,0)</f>
        <v/>
      </c>
      <c r="N619" s="2">
        <f>IF(H619&lt;&gt;"Paid","Outstanding",IF(J619=0,"On Time","Late"))</f>
        <v/>
      </c>
    </row>
    <row r="620">
      <c r="A620" s="2">
        <f>Raw_Data!A620</f>
        <v/>
      </c>
      <c r="B620" s="7">
        <f>Raw_Data!B620</f>
        <v/>
      </c>
      <c r="C620" s="2">
        <f>Raw_Data!C620</f>
        <v/>
      </c>
      <c r="D620" s="2">
        <f>Raw_Data!D620</f>
        <v/>
      </c>
      <c r="E620" s="8">
        <f>Raw_Data!F620</f>
        <v/>
      </c>
      <c r="F620" s="7">
        <f>Raw_Data!H620</f>
        <v/>
      </c>
      <c r="G620" s="7">
        <f>Raw_Data!I620</f>
        <v/>
      </c>
      <c r="H620" s="2">
        <f>Raw_Data!J620</f>
        <v/>
      </c>
      <c r="I620" s="2">
        <f>IF(G620="",0,G620-B620)</f>
        <v/>
      </c>
      <c r="J620" s="2">
        <f>IF(H620="Paid",MAX(0,G620-F620),MAX(0,DATE(2026,12,31)-F620))</f>
        <v/>
      </c>
      <c r="K620" s="8">
        <f>IF(H620="Paid",0,E620)</f>
        <v/>
      </c>
      <c r="L620" s="2">
        <f>IF(J620=0,"Current",IF(J620&lt;=30,"1-30 Days",IF(J620&lt;=60,"31-60 Days",IF(J620&lt;=90,"61-90 Days","90+ Days"))))</f>
        <v/>
      </c>
      <c r="M620" s="8">
        <f>IF(Raw_Data!K620="Yes",Raw_Data!F620*Raw_Data!L620,0)</f>
        <v/>
      </c>
      <c r="N620" s="2">
        <f>IF(H620&lt;&gt;"Paid","Outstanding",IF(J620=0,"On Time","Late"))</f>
        <v/>
      </c>
    </row>
    <row r="621">
      <c r="A621" s="2">
        <f>Raw_Data!A621</f>
        <v/>
      </c>
      <c r="B621" s="7">
        <f>Raw_Data!B621</f>
        <v/>
      </c>
      <c r="C621" s="2">
        <f>Raw_Data!C621</f>
        <v/>
      </c>
      <c r="D621" s="2">
        <f>Raw_Data!D621</f>
        <v/>
      </c>
      <c r="E621" s="8">
        <f>Raw_Data!F621</f>
        <v/>
      </c>
      <c r="F621" s="7">
        <f>Raw_Data!H621</f>
        <v/>
      </c>
      <c r="G621" s="7">
        <f>Raw_Data!I621</f>
        <v/>
      </c>
      <c r="H621" s="2">
        <f>Raw_Data!J621</f>
        <v/>
      </c>
      <c r="I621" s="2">
        <f>IF(G621="",0,G621-B621)</f>
        <v/>
      </c>
      <c r="J621" s="2">
        <f>IF(H621="Paid",MAX(0,G621-F621),MAX(0,DATE(2026,12,31)-F621))</f>
        <v/>
      </c>
      <c r="K621" s="8">
        <f>IF(H621="Paid",0,E621)</f>
        <v/>
      </c>
      <c r="L621" s="2">
        <f>IF(J621=0,"Current",IF(J621&lt;=30,"1-30 Days",IF(J621&lt;=60,"31-60 Days",IF(J621&lt;=90,"61-90 Days","90+ Days"))))</f>
        <v/>
      </c>
      <c r="M621" s="8">
        <f>IF(Raw_Data!K621="Yes",Raw_Data!F621*Raw_Data!L621,0)</f>
        <v/>
      </c>
      <c r="N621" s="2">
        <f>IF(H621&lt;&gt;"Paid","Outstanding",IF(J621=0,"On Time","Late"))</f>
        <v/>
      </c>
    </row>
    <row r="622">
      <c r="A622" s="2">
        <f>Raw_Data!A622</f>
        <v/>
      </c>
      <c r="B622" s="7">
        <f>Raw_Data!B622</f>
        <v/>
      </c>
      <c r="C622" s="2">
        <f>Raw_Data!C622</f>
        <v/>
      </c>
      <c r="D622" s="2">
        <f>Raw_Data!D622</f>
        <v/>
      </c>
      <c r="E622" s="8">
        <f>Raw_Data!F622</f>
        <v/>
      </c>
      <c r="F622" s="7">
        <f>Raw_Data!H622</f>
        <v/>
      </c>
      <c r="G622" s="7">
        <f>Raw_Data!I622</f>
        <v/>
      </c>
      <c r="H622" s="2">
        <f>Raw_Data!J622</f>
        <v/>
      </c>
      <c r="I622" s="2">
        <f>IF(G622="",0,G622-B622)</f>
        <v/>
      </c>
      <c r="J622" s="2">
        <f>IF(H622="Paid",MAX(0,G622-F622),MAX(0,DATE(2026,12,31)-F622))</f>
        <v/>
      </c>
      <c r="K622" s="8">
        <f>IF(H622="Paid",0,E622)</f>
        <v/>
      </c>
      <c r="L622" s="2">
        <f>IF(J622=0,"Current",IF(J622&lt;=30,"1-30 Days",IF(J622&lt;=60,"31-60 Days",IF(J622&lt;=90,"61-90 Days","90+ Days"))))</f>
        <v/>
      </c>
      <c r="M622" s="8">
        <f>IF(Raw_Data!K622="Yes",Raw_Data!F622*Raw_Data!L622,0)</f>
        <v/>
      </c>
      <c r="N622" s="2">
        <f>IF(H622&lt;&gt;"Paid","Outstanding",IF(J622=0,"On Time","Late"))</f>
        <v/>
      </c>
    </row>
    <row r="623">
      <c r="A623" s="2">
        <f>Raw_Data!A623</f>
        <v/>
      </c>
      <c r="B623" s="7">
        <f>Raw_Data!B623</f>
        <v/>
      </c>
      <c r="C623" s="2">
        <f>Raw_Data!C623</f>
        <v/>
      </c>
      <c r="D623" s="2">
        <f>Raw_Data!D623</f>
        <v/>
      </c>
      <c r="E623" s="8">
        <f>Raw_Data!F623</f>
        <v/>
      </c>
      <c r="F623" s="7">
        <f>Raw_Data!H623</f>
        <v/>
      </c>
      <c r="G623" s="7">
        <f>Raw_Data!I623</f>
        <v/>
      </c>
      <c r="H623" s="2">
        <f>Raw_Data!J623</f>
        <v/>
      </c>
      <c r="I623" s="2">
        <f>IF(G623="",0,G623-B623)</f>
        <v/>
      </c>
      <c r="J623" s="2">
        <f>IF(H623="Paid",MAX(0,G623-F623),MAX(0,DATE(2026,12,31)-F623))</f>
        <v/>
      </c>
      <c r="K623" s="8">
        <f>IF(H623="Paid",0,E623)</f>
        <v/>
      </c>
      <c r="L623" s="2">
        <f>IF(J623=0,"Current",IF(J623&lt;=30,"1-30 Days",IF(J623&lt;=60,"31-60 Days",IF(J623&lt;=90,"61-90 Days","90+ Days"))))</f>
        <v/>
      </c>
      <c r="M623" s="8">
        <f>IF(Raw_Data!K623="Yes",Raw_Data!F623*Raw_Data!L623,0)</f>
        <v/>
      </c>
      <c r="N623" s="2">
        <f>IF(H623&lt;&gt;"Paid","Outstanding",IF(J623=0,"On Time","Late"))</f>
        <v/>
      </c>
    </row>
    <row r="624">
      <c r="A624" s="2">
        <f>Raw_Data!A624</f>
        <v/>
      </c>
      <c r="B624" s="7">
        <f>Raw_Data!B624</f>
        <v/>
      </c>
      <c r="C624" s="2">
        <f>Raw_Data!C624</f>
        <v/>
      </c>
      <c r="D624" s="2">
        <f>Raw_Data!D624</f>
        <v/>
      </c>
      <c r="E624" s="8">
        <f>Raw_Data!F624</f>
        <v/>
      </c>
      <c r="F624" s="7">
        <f>Raw_Data!H624</f>
        <v/>
      </c>
      <c r="G624" s="7">
        <f>Raw_Data!I624</f>
        <v/>
      </c>
      <c r="H624" s="2">
        <f>Raw_Data!J624</f>
        <v/>
      </c>
      <c r="I624" s="2">
        <f>IF(G624="",0,G624-B624)</f>
        <v/>
      </c>
      <c r="J624" s="2">
        <f>IF(H624="Paid",MAX(0,G624-F624),MAX(0,DATE(2026,12,31)-F624))</f>
        <v/>
      </c>
      <c r="K624" s="8">
        <f>IF(H624="Paid",0,E624)</f>
        <v/>
      </c>
      <c r="L624" s="2">
        <f>IF(J624=0,"Current",IF(J624&lt;=30,"1-30 Days",IF(J624&lt;=60,"31-60 Days",IF(J624&lt;=90,"61-90 Days","90+ Days"))))</f>
        <v/>
      </c>
      <c r="M624" s="8">
        <f>IF(Raw_Data!K624="Yes",Raw_Data!F624*Raw_Data!L624,0)</f>
        <v/>
      </c>
      <c r="N624" s="2">
        <f>IF(H624&lt;&gt;"Paid","Outstanding",IF(J624=0,"On Time","Late"))</f>
        <v/>
      </c>
    </row>
    <row r="625">
      <c r="A625" s="2">
        <f>Raw_Data!A625</f>
        <v/>
      </c>
      <c r="B625" s="7">
        <f>Raw_Data!B625</f>
        <v/>
      </c>
      <c r="C625" s="2">
        <f>Raw_Data!C625</f>
        <v/>
      </c>
      <c r="D625" s="2">
        <f>Raw_Data!D625</f>
        <v/>
      </c>
      <c r="E625" s="8">
        <f>Raw_Data!F625</f>
        <v/>
      </c>
      <c r="F625" s="7">
        <f>Raw_Data!H625</f>
        <v/>
      </c>
      <c r="G625" s="7">
        <f>Raw_Data!I625</f>
        <v/>
      </c>
      <c r="H625" s="2">
        <f>Raw_Data!J625</f>
        <v/>
      </c>
      <c r="I625" s="2">
        <f>IF(G625="",0,G625-B625)</f>
        <v/>
      </c>
      <c r="J625" s="2">
        <f>IF(H625="Paid",MAX(0,G625-F625),MAX(0,DATE(2026,12,31)-F625))</f>
        <v/>
      </c>
      <c r="K625" s="8">
        <f>IF(H625="Paid",0,E625)</f>
        <v/>
      </c>
      <c r="L625" s="2">
        <f>IF(J625=0,"Current",IF(J625&lt;=30,"1-30 Days",IF(J625&lt;=60,"31-60 Days",IF(J625&lt;=90,"61-90 Days","90+ Days"))))</f>
        <v/>
      </c>
      <c r="M625" s="8">
        <f>IF(Raw_Data!K625="Yes",Raw_Data!F625*Raw_Data!L625,0)</f>
        <v/>
      </c>
      <c r="N625" s="2">
        <f>IF(H625&lt;&gt;"Paid","Outstanding",IF(J625=0,"On Time","Late"))</f>
        <v/>
      </c>
    </row>
    <row r="626">
      <c r="A626" s="2">
        <f>Raw_Data!A626</f>
        <v/>
      </c>
      <c r="B626" s="7">
        <f>Raw_Data!B626</f>
        <v/>
      </c>
      <c r="C626" s="2">
        <f>Raw_Data!C626</f>
        <v/>
      </c>
      <c r="D626" s="2">
        <f>Raw_Data!D626</f>
        <v/>
      </c>
      <c r="E626" s="8">
        <f>Raw_Data!F626</f>
        <v/>
      </c>
      <c r="F626" s="7">
        <f>Raw_Data!H626</f>
        <v/>
      </c>
      <c r="G626" s="7">
        <f>Raw_Data!I626</f>
        <v/>
      </c>
      <c r="H626" s="2">
        <f>Raw_Data!J626</f>
        <v/>
      </c>
      <c r="I626" s="2">
        <f>IF(G626="",0,G626-B626)</f>
        <v/>
      </c>
      <c r="J626" s="2">
        <f>IF(H626="Paid",MAX(0,G626-F626),MAX(0,DATE(2026,12,31)-F626))</f>
        <v/>
      </c>
      <c r="K626" s="8">
        <f>IF(H626="Paid",0,E626)</f>
        <v/>
      </c>
      <c r="L626" s="2">
        <f>IF(J626=0,"Current",IF(J626&lt;=30,"1-30 Days",IF(J626&lt;=60,"31-60 Days",IF(J626&lt;=90,"61-90 Days","90+ Days"))))</f>
        <v/>
      </c>
      <c r="M626" s="8">
        <f>IF(Raw_Data!K626="Yes",Raw_Data!F626*Raw_Data!L626,0)</f>
        <v/>
      </c>
      <c r="N626" s="2">
        <f>IF(H626&lt;&gt;"Paid","Outstanding",IF(J626=0,"On Time","Late"))</f>
        <v/>
      </c>
    </row>
    <row r="627">
      <c r="A627" s="2">
        <f>Raw_Data!A627</f>
        <v/>
      </c>
      <c r="B627" s="7">
        <f>Raw_Data!B627</f>
        <v/>
      </c>
      <c r="C627" s="2">
        <f>Raw_Data!C627</f>
        <v/>
      </c>
      <c r="D627" s="2">
        <f>Raw_Data!D627</f>
        <v/>
      </c>
      <c r="E627" s="8">
        <f>Raw_Data!F627</f>
        <v/>
      </c>
      <c r="F627" s="7">
        <f>Raw_Data!H627</f>
        <v/>
      </c>
      <c r="G627" s="7">
        <f>Raw_Data!I627</f>
        <v/>
      </c>
      <c r="H627" s="2">
        <f>Raw_Data!J627</f>
        <v/>
      </c>
      <c r="I627" s="2">
        <f>IF(G627="",0,G627-B627)</f>
        <v/>
      </c>
      <c r="J627" s="2">
        <f>IF(H627="Paid",MAX(0,G627-F627),MAX(0,DATE(2026,12,31)-F627))</f>
        <v/>
      </c>
      <c r="K627" s="8">
        <f>IF(H627="Paid",0,E627)</f>
        <v/>
      </c>
      <c r="L627" s="2">
        <f>IF(J627=0,"Current",IF(J627&lt;=30,"1-30 Days",IF(J627&lt;=60,"31-60 Days",IF(J627&lt;=90,"61-90 Days","90+ Days"))))</f>
        <v/>
      </c>
      <c r="M627" s="8">
        <f>IF(Raw_Data!K627="Yes",Raw_Data!F627*Raw_Data!L627,0)</f>
        <v/>
      </c>
      <c r="N627" s="2">
        <f>IF(H627&lt;&gt;"Paid","Outstanding",IF(J627=0,"On Time","Late"))</f>
        <v/>
      </c>
    </row>
    <row r="628">
      <c r="A628" s="2">
        <f>Raw_Data!A628</f>
        <v/>
      </c>
      <c r="B628" s="7">
        <f>Raw_Data!B628</f>
        <v/>
      </c>
      <c r="C628" s="2">
        <f>Raw_Data!C628</f>
        <v/>
      </c>
      <c r="D628" s="2">
        <f>Raw_Data!D628</f>
        <v/>
      </c>
      <c r="E628" s="8">
        <f>Raw_Data!F628</f>
        <v/>
      </c>
      <c r="F628" s="7">
        <f>Raw_Data!H628</f>
        <v/>
      </c>
      <c r="G628" s="7">
        <f>Raw_Data!I628</f>
        <v/>
      </c>
      <c r="H628" s="2">
        <f>Raw_Data!J628</f>
        <v/>
      </c>
      <c r="I628" s="2">
        <f>IF(G628="",0,G628-B628)</f>
        <v/>
      </c>
      <c r="J628" s="2">
        <f>IF(H628="Paid",MAX(0,G628-F628),MAX(0,DATE(2026,12,31)-F628))</f>
        <v/>
      </c>
      <c r="K628" s="8">
        <f>IF(H628="Paid",0,E628)</f>
        <v/>
      </c>
      <c r="L628" s="2">
        <f>IF(J628=0,"Current",IF(J628&lt;=30,"1-30 Days",IF(J628&lt;=60,"31-60 Days",IF(J628&lt;=90,"61-90 Days","90+ Days"))))</f>
        <v/>
      </c>
      <c r="M628" s="8">
        <f>IF(Raw_Data!K628="Yes",Raw_Data!F628*Raw_Data!L628,0)</f>
        <v/>
      </c>
      <c r="N628" s="2">
        <f>IF(H628&lt;&gt;"Paid","Outstanding",IF(J628=0,"On Time","Late"))</f>
        <v/>
      </c>
    </row>
    <row r="629">
      <c r="A629" s="2">
        <f>Raw_Data!A629</f>
        <v/>
      </c>
      <c r="B629" s="7">
        <f>Raw_Data!B629</f>
        <v/>
      </c>
      <c r="C629" s="2">
        <f>Raw_Data!C629</f>
        <v/>
      </c>
      <c r="D629" s="2">
        <f>Raw_Data!D629</f>
        <v/>
      </c>
      <c r="E629" s="8">
        <f>Raw_Data!F629</f>
        <v/>
      </c>
      <c r="F629" s="7">
        <f>Raw_Data!H629</f>
        <v/>
      </c>
      <c r="G629" s="7">
        <f>Raw_Data!I629</f>
        <v/>
      </c>
      <c r="H629" s="2">
        <f>Raw_Data!J629</f>
        <v/>
      </c>
      <c r="I629" s="2">
        <f>IF(G629="",0,G629-B629)</f>
        <v/>
      </c>
      <c r="J629" s="2">
        <f>IF(H629="Paid",MAX(0,G629-F629),MAX(0,DATE(2026,12,31)-F629))</f>
        <v/>
      </c>
      <c r="K629" s="8">
        <f>IF(H629="Paid",0,E629)</f>
        <v/>
      </c>
      <c r="L629" s="2">
        <f>IF(J629=0,"Current",IF(J629&lt;=30,"1-30 Days",IF(J629&lt;=60,"31-60 Days",IF(J629&lt;=90,"61-90 Days","90+ Days"))))</f>
        <v/>
      </c>
      <c r="M629" s="8">
        <f>IF(Raw_Data!K629="Yes",Raw_Data!F629*Raw_Data!L629,0)</f>
        <v/>
      </c>
      <c r="N629" s="2">
        <f>IF(H629&lt;&gt;"Paid","Outstanding",IF(J629=0,"On Time","Late"))</f>
        <v/>
      </c>
    </row>
    <row r="630">
      <c r="A630" s="2">
        <f>Raw_Data!A630</f>
        <v/>
      </c>
      <c r="B630" s="7">
        <f>Raw_Data!B630</f>
        <v/>
      </c>
      <c r="C630" s="2">
        <f>Raw_Data!C630</f>
        <v/>
      </c>
      <c r="D630" s="2">
        <f>Raw_Data!D630</f>
        <v/>
      </c>
      <c r="E630" s="8">
        <f>Raw_Data!F630</f>
        <v/>
      </c>
      <c r="F630" s="7">
        <f>Raw_Data!H630</f>
        <v/>
      </c>
      <c r="G630" s="7">
        <f>Raw_Data!I630</f>
        <v/>
      </c>
      <c r="H630" s="2">
        <f>Raw_Data!J630</f>
        <v/>
      </c>
      <c r="I630" s="2">
        <f>IF(G630="",0,G630-B630)</f>
        <v/>
      </c>
      <c r="J630" s="2">
        <f>IF(H630="Paid",MAX(0,G630-F630),MAX(0,DATE(2026,12,31)-F630))</f>
        <v/>
      </c>
      <c r="K630" s="8">
        <f>IF(H630="Paid",0,E630)</f>
        <v/>
      </c>
      <c r="L630" s="2">
        <f>IF(J630=0,"Current",IF(J630&lt;=30,"1-30 Days",IF(J630&lt;=60,"31-60 Days",IF(J630&lt;=90,"61-90 Days","90+ Days"))))</f>
        <v/>
      </c>
      <c r="M630" s="8">
        <f>IF(Raw_Data!K630="Yes",Raw_Data!F630*Raw_Data!L630,0)</f>
        <v/>
      </c>
      <c r="N630" s="2">
        <f>IF(H630&lt;&gt;"Paid","Outstanding",IF(J630=0,"On Time","Late"))</f>
        <v/>
      </c>
    </row>
    <row r="631">
      <c r="A631" s="2">
        <f>Raw_Data!A631</f>
        <v/>
      </c>
      <c r="B631" s="7">
        <f>Raw_Data!B631</f>
        <v/>
      </c>
      <c r="C631" s="2">
        <f>Raw_Data!C631</f>
        <v/>
      </c>
      <c r="D631" s="2">
        <f>Raw_Data!D631</f>
        <v/>
      </c>
      <c r="E631" s="8">
        <f>Raw_Data!F631</f>
        <v/>
      </c>
      <c r="F631" s="7">
        <f>Raw_Data!H631</f>
        <v/>
      </c>
      <c r="G631" s="7">
        <f>Raw_Data!I631</f>
        <v/>
      </c>
      <c r="H631" s="2">
        <f>Raw_Data!J631</f>
        <v/>
      </c>
      <c r="I631" s="2">
        <f>IF(G631="",0,G631-B631)</f>
        <v/>
      </c>
      <c r="J631" s="2">
        <f>IF(H631="Paid",MAX(0,G631-F631),MAX(0,DATE(2026,12,31)-F631))</f>
        <v/>
      </c>
      <c r="K631" s="8">
        <f>IF(H631="Paid",0,E631)</f>
        <v/>
      </c>
      <c r="L631" s="2">
        <f>IF(J631=0,"Current",IF(J631&lt;=30,"1-30 Days",IF(J631&lt;=60,"31-60 Days",IF(J631&lt;=90,"61-90 Days","90+ Days"))))</f>
        <v/>
      </c>
      <c r="M631" s="8">
        <f>IF(Raw_Data!K631="Yes",Raw_Data!F631*Raw_Data!L631,0)</f>
        <v/>
      </c>
      <c r="N631" s="2">
        <f>IF(H631&lt;&gt;"Paid","Outstanding",IF(J631=0,"On Time","Late"))</f>
        <v/>
      </c>
    </row>
    <row r="632">
      <c r="A632" s="2">
        <f>Raw_Data!A632</f>
        <v/>
      </c>
      <c r="B632" s="7">
        <f>Raw_Data!B632</f>
        <v/>
      </c>
      <c r="C632" s="2">
        <f>Raw_Data!C632</f>
        <v/>
      </c>
      <c r="D632" s="2">
        <f>Raw_Data!D632</f>
        <v/>
      </c>
      <c r="E632" s="8">
        <f>Raw_Data!F632</f>
        <v/>
      </c>
      <c r="F632" s="7">
        <f>Raw_Data!H632</f>
        <v/>
      </c>
      <c r="G632" s="7">
        <f>Raw_Data!I632</f>
        <v/>
      </c>
      <c r="H632" s="2">
        <f>Raw_Data!J632</f>
        <v/>
      </c>
      <c r="I632" s="2">
        <f>IF(G632="",0,G632-B632)</f>
        <v/>
      </c>
      <c r="J632" s="2">
        <f>IF(H632="Paid",MAX(0,G632-F632),MAX(0,DATE(2026,12,31)-F632))</f>
        <v/>
      </c>
      <c r="K632" s="8">
        <f>IF(H632="Paid",0,E632)</f>
        <v/>
      </c>
      <c r="L632" s="2">
        <f>IF(J632=0,"Current",IF(J632&lt;=30,"1-30 Days",IF(J632&lt;=60,"31-60 Days",IF(J632&lt;=90,"61-90 Days","90+ Days"))))</f>
        <v/>
      </c>
      <c r="M632" s="8">
        <f>IF(Raw_Data!K632="Yes",Raw_Data!F632*Raw_Data!L632,0)</f>
        <v/>
      </c>
      <c r="N632" s="2">
        <f>IF(H632&lt;&gt;"Paid","Outstanding",IF(J632=0,"On Time","Late"))</f>
        <v/>
      </c>
    </row>
    <row r="633">
      <c r="A633" s="2">
        <f>Raw_Data!A633</f>
        <v/>
      </c>
      <c r="B633" s="7">
        <f>Raw_Data!B633</f>
        <v/>
      </c>
      <c r="C633" s="2">
        <f>Raw_Data!C633</f>
        <v/>
      </c>
      <c r="D633" s="2">
        <f>Raw_Data!D633</f>
        <v/>
      </c>
      <c r="E633" s="8">
        <f>Raw_Data!F633</f>
        <v/>
      </c>
      <c r="F633" s="7">
        <f>Raw_Data!H633</f>
        <v/>
      </c>
      <c r="G633" s="7">
        <f>Raw_Data!I633</f>
        <v/>
      </c>
      <c r="H633" s="2">
        <f>Raw_Data!J633</f>
        <v/>
      </c>
      <c r="I633" s="2">
        <f>IF(G633="",0,G633-B633)</f>
        <v/>
      </c>
      <c r="J633" s="2">
        <f>IF(H633="Paid",MAX(0,G633-F633),MAX(0,DATE(2026,12,31)-F633))</f>
        <v/>
      </c>
      <c r="K633" s="8">
        <f>IF(H633="Paid",0,E633)</f>
        <v/>
      </c>
      <c r="L633" s="2">
        <f>IF(J633=0,"Current",IF(J633&lt;=30,"1-30 Days",IF(J633&lt;=60,"31-60 Days",IF(J633&lt;=90,"61-90 Days","90+ Days"))))</f>
        <v/>
      </c>
      <c r="M633" s="8">
        <f>IF(Raw_Data!K633="Yes",Raw_Data!F633*Raw_Data!L633,0)</f>
        <v/>
      </c>
      <c r="N633" s="2">
        <f>IF(H633&lt;&gt;"Paid","Outstanding",IF(J633=0,"On Time","Late"))</f>
        <v/>
      </c>
    </row>
    <row r="634">
      <c r="A634" s="2">
        <f>Raw_Data!A634</f>
        <v/>
      </c>
      <c r="B634" s="7">
        <f>Raw_Data!B634</f>
        <v/>
      </c>
      <c r="C634" s="2">
        <f>Raw_Data!C634</f>
        <v/>
      </c>
      <c r="D634" s="2">
        <f>Raw_Data!D634</f>
        <v/>
      </c>
      <c r="E634" s="8">
        <f>Raw_Data!F634</f>
        <v/>
      </c>
      <c r="F634" s="7">
        <f>Raw_Data!H634</f>
        <v/>
      </c>
      <c r="G634" s="7">
        <f>Raw_Data!I634</f>
        <v/>
      </c>
      <c r="H634" s="2">
        <f>Raw_Data!J634</f>
        <v/>
      </c>
      <c r="I634" s="2">
        <f>IF(G634="",0,G634-B634)</f>
        <v/>
      </c>
      <c r="J634" s="2">
        <f>IF(H634="Paid",MAX(0,G634-F634),MAX(0,DATE(2026,12,31)-F634))</f>
        <v/>
      </c>
      <c r="K634" s="8">
        <f>IF(H634="Paid",0,E634)</f>
        <v/>
      </c>
      <c r="L634" s="2">
        <f>IF(J634=0,"Current",IF(J634&lt;=30,"1-30 Days",IF(J634&lt;=60,"31-60 Days",IF(J634&lt;=90,"61-90 Days","90+ Days"))))</f>
        <v/>
      </c>
      <c r="M634" s="8">
        <f>IF(Raw_Data!K634="Yes",Raw_Data!F634*Raw_Data!L634,0)</f>
        <v/>
      </c>
      <c r="N634" s="2">
        <f>IF(H634&lt;&gt;"Paid","Outstanding",IF(J634=0,"On Time","Late"))</f>
        <v/>
      </c>
    </row>
    <row r="635">
      <c r="A635" s="2">
        <f>Raw_Data!A635</f>
        <v/>
      </c>
      <c r="B635" s="7">
        <f>Raw_Data!B635</f>
        <v/>
      </c>
      <c r="C635" s="2">
        <f>Raw_Data!C635</f>
        <v/>
      </c>
      <c r="D635" s="2">
        <f>Raw_Data!D635</f>
        <v/>
      </c>
      <c r="E635" s="8">
        <f>Raw_Data!F635</f>
        <v/>
      </c>
      <c r="F635" s="7">
        <f>Raw_Data!H635</f>
        <v/>
      </c>
      <c r="G635" s="7">
        <f>Raw_Data!I635</f>
        <v/>
      </c>
      <c r="H635" s="2">
        <f>Raw_Data!J635</f>
        <v/>
      </c>
      <c r="I635" s="2">
        <f>IF(G635="",0,G635-B635)</f>
        <v/>
      </c>
      <c r="J635" s="2">
        <f>IF(H635="Paid",MAX(0,G635-F635),MAX(0,DATE(2026,12,31)-F635))</f>
        <v/>
      </c>
      <c r="K635" s="8">
        <f>IF(H635="Paid",0,E635)</f>
        <v/>
      </c>
      <c r="L635" s="2">
        <f>IF(J635=0,"Current",IF(J635&lt;=30,"1-30 Days",IF(J635&lt;=60,"31-60 Days",IF(J635&lt;=90,"61-90 Days","90+ Days"))))</f>
        <v/>
      </c>
      <c r="M635" s="8">
        <f>IF(Raw_Data!K635="Yes",Raw_Data!F635*Raw_Data!L635,0)</f>
        <v/>
      </c>
      <c r="N635" s="2">
        <f>IF(H635&lt;&gt;"Paid","Outstanding",IF(J635=0,"On Time","Late"))</f>
        <v/>
      </c>
    </row>
    <row r="636">
      <c r="A636" s="2">
        <f>Raw_Data!A636</f>
        <v/>
      </c>
      <c r="B636" s="7">
        <f>Raw_Data!B636</f>
        <v/>
      </c>
      <c r="C636" s="2">
        <f>Raw_Data!C636</f>
        <v/>
      </c>
      <c r="D636" s="2">
        <f>Raw_Data!D636</f>
        <v/>
      </c>
      <c r="E636" s="8">
        <f>Raw_Data!F636</f>
        <v/>
      </c>
      <c r="F636" s="7">
        <f>Raw_Data!H636</f>
        <v/>
      </c>
      <c r="G636" s="7">
        <f>Raw_Data!I636</f>
        <v/>
      </c>
      <c r="H636" s="2">
        <f>Raw_Data!J636</f>
        <v/>
      </c>
      <c r="I636" s="2">
        <f>IF(G636="",0,G636-B636)</f>
        <v/>
      </c>
      <c r="J636" s="2">
        <f>IF(H636="Paid",MAX(0,G636-F636),MAX(0,DATE(2026,12,31)-F636))</f>
        <v/>
      </c>
      <c r="K636" s="8">
        <f>IF(H636="Paid",0,E636)</f>
        <v/>
      </c>
      <c r="L636" s="2">
        <f>IF(J636=0,"Current",IF(J636&lt;=30,"1-30 Days",IF(J636&lt;=60,"31-60 Days",IF(J636&lt;=90,"61-90 Days","90+ Days"))))</f>
        <v/>
      </c>
      <c r="M636" s="8">
        <f>IF(Raw_Data!K636="Yes",Raw_Data!F636*Raw_Data!L636,0)</f>
        <v/>
      </c>
      <c r="N636" s="2">
        <f>IF(H636&lt;&gt;"Paid","Outstanding",IF(J636=0,"On Time","Late"))</f>
        <v/>
      </c>
    </row>
    <row r="637">
      <c r="A637" s="2">
        <f>Raw_Data!A637</f>
        <v/>
      </c>
      <c r="B637" s="7">
        <f>Raw_Data!B637</f>
        <v/>
      </c>
      <c r="C637" s="2">
        <f>Raw_Data!C637</f>
        <v/>
      </c>
      <c r="D637" s="2">
        <f>Raw_Data!D637</f>
        <v/>
      </c>
      <c r="E637" s="8">
        <f>Raw_Data!F637</f>
        <v/>
      </c>
      <c r="F637" s="7">
        <f>Raw_Data!H637</f>
        <v/>
      </c>
      <c r="G637" s="7">
        <f>Raw_Data!I637</f>
        <v/>
      </c>
      <c r="H637" s="2">
        <f>Raw_Data!J637</f>
        <v/>
      </c>
      <c r="I637" s="2">
        <f>IF(G637="",0,G637-B637)</f>
        <v/>
      </c>
      <c r="J637" s="2">
        <f>IF(H637="Paid",MAX(0,G637-F637),MAX(0,DATE(2026,12,31)-F637))</f>
        <v/>
      </c>
      <c r="K637" s="8">
        <f>IF(H637="Paid",0,E637)</f>
        <v/>
      </c>
      <c r="L637" s="2">
        <f>IF(J637=0,"Current",IF(J637&lt;=30,"1-30 Days",IF(J637&lt;=60,"31-60 Days",IF(J637&lt;=90,"61-90 Days","90+ Days"))))</f>
        <v/>
      </c>
      <c r="M637" s="8">
        <f>IF(Raw_Data!K637="Yes",Raw_Data!F637*Raw_Data!L637,0)</f>
        <v/>
      </c>
      <c r="N637" s="2">
        <f>IF(H637&lt;&gt;"Paid","Outstanding",IF(J637=0,"On Time","Late"))</f>
        <v/>
      </c>
    </row>
    <row r="638">
      <c r="A638" s="2">
        <f>Raw_Data!A638</f>
        <v/>
      </c>
      <c r="B638" s="7">
        <f>Raw_Data!B638</f>
        <v/>
      </c>
      <c r="C638" s="2">
        <f>Raw_Data!C638</f>
        <v/>
      </c>
      <c r="D638" s="2">
        <f>Raw_Data!D638</f>
        <v/>
      </c>
      <c r="E638" s="8">
        <f>Raw_Data!F638</f>
        <v/>
      </c>
      <c r="F638" s="7">
        <f>Raw_Data!H638</f>
        <v/>
      </c>
      <c r="G638" s="7">
        <f>Raw_Data!I638</f>
        <v/>
      </c>
      <c r="H638" s="2">
        <f>Raw_Data!J638</f>
        <v/>
      </c>
      <c r="I638" s="2">
        <f>IF(G638="",0,G638-B638)</f>
        <v/>
      </c>
      <c r="J638" s="2">
        <f>IF(H638="Paid",MAX(0,G638-F638),MAX(0,DATE(2026,12,31)-F638))</f>
        <v/>
      </c>
      <c r="K638" s="8">
        <f>IF(H638="Paid",0,E638)</f>
        <v/>
      </c>
      <c r="L638" s="2">
        <f>IF(J638=0,"Current",IF(J638&lt;=30,"1-30 Days",IF(J638&lt;=60,"31-60 Days",IF(J638&lt;=90,"61-90 Days","90+ Days"))))</f>
        <v/>
      </c>
      <c r="M638" s="8">
        <f>IF(Raw_Data!K638="Yes",Raw_Data!F638*Raw_Data!L638,0)</f>
        <v/>
      </c>
      <c r="N638" s="2">
        <f>IF(H638&lt;&gt;"Paid","Outstanding",IF(J638=0,"On Time","Late"))</f>
        <v/>
      </c>
    </row>
    <row r="639">
      <c r="A639" s="2">
        <f>Raw_Data!A639</f>
        <v/>
      </c>
      <c r="B639" s="7">
        <f>Raw_Data!B639</f>
        <v/>
      </c>
      <c r="C639" s="2">
        <f>Raw_Data!C639</f>
        <v/>
      </c>
      <c r="D639" s="2">
        <f>Raw_Data!D639</f>
        <v/>
      </c>
      <c r="E639" s="8">
        <f>Raw_Data!F639</f>
        <v/>
      </c>
      <c r="F639" s="7">
        <f>Raw_Data!H639</f>
        <v/>
      </c>
      <c r="G639" s="7">
        <f>Raw_Data!I639</f>
        <v/>
      </c>
      <c r="H639" s="2">
        <f>Raw_Data!J639</f>
        <v/>
      </c>
      <c r="I639" s="2">
        <f>IF(G639="",0,G639-B639)</f>
        <v/>
      </c>
      <c r="J639" s="2">
        <f>IF(H639="Paid",MAX(0,G639-F639),MAX(0,DATE(2026,12,31)-F639))</f>
        <v/>
      </c>
      <c r="K639" s="8">
        <f>IF(H639="Paid",0,E639)</f>
        <v/>
      </c>
      <c r="L639" s="2">
        <f>IF(J639=0,"Current",IF(J639&lt;=30,"1-30 Days",IF(J639&lt;=60,"31-60 Days",IF(J639&lt;=90,"61-90 Days","90+ Days"))))</f>
        <v/>
      </c>
      <c r="M639" s="8">
        <f>IF(Raw_Data!K639="Yes",Raw_Data!F639*Raw_Data!L639,0)</f>
        <v/>
      </c>
      <c r="N639" s="2">
        <f>IF(H639&lt;&gt;"Paid","Outstanding",IF(J639=0,"On Time","Late"))</f>
        <v/>
      </c>
    </row>
    <row r="640">
      <c r="A640" s="2">
        <f>Raw_Data!A640</f>
        <v/>
      </c>
      <c r="B640" s="7">
        <f>Raw_Data!B640</f>
        <v/>
      </c>
      <c r="C640" s="2">
        <f>Raw_Data!C640</f>
        <v/>
      </c>
      <c r="D640" s="2">
        <f>Raw_Data!D640</f>
        <v/>
      </c>
      <c r="E640" s="8">
        <f>Raw_Data!F640</f>
        <v/>
      </c>
      <c r="F640" s="7">
        <f>Raw_Data!H640</f>
        <v/>
      </c>
      <c r="G640" s="7">
        <f>Raw_Data!I640</f>
        <v/>
      </c>
      <c r="H640" s="2">
        <f>Raw_Data!J640</f>
        <v/>
      </c>
      <c r="I640" s="2">
        <f>IF(G640="",0,G640-B640)</f>
        <v/>
      </c>
      <c r="J640" s="2">
        <f>IF(H640="Paid",MAX(0,G640-F640),MAX(0,DATE(2026,12,31)-F640))</f>
        <v/>
      </c>
      <c r="K640" s="8">
        <f>IF(H640="Paid",0,E640)</f>
        <v/>
      </c>
      <c r="L640" s="2">
        <f>IF(J640=0,"Current",IF(J640&lt;=30,"1-30 Days",IF(J640&lt;=60,"31-60 Days",IF(J640&lt;=90,"61-90 Days","90+ Days"))))</f>
        <v/>
      </c>
      <c r="M640" s="8">
        <f>IF(Raw_Data!K640="Yes",Raw_Data!F640*Raw_Data!L640,0)</f>
        <v/>
      </c>
      <c r="N640" s="2">
        <f>IF(H640&lt;&gt;"Paid","Outstanding",IF(J640=0,"On Time","Late"))</f>
        <v/>
      </c>
    </row>
    <row r="641">
      <c r="A641" s="2">
        <f>Raw_Data!A641</f>
        <v/>
      </c>
      <c r="B641" s="7">
        <f>Raw_Data!B641</f>
        <v/>
      </c>
      <c r="C641" s="2">
        <f>Raw_Data!C641</f>
        <v/>
      </c>
      <c r="D641" s="2">
        <f>Raw_Data!D641</f>
        <v/>
      </c>
      <c r="E641" s="8">
        <f>Raw_Data!F641</f>
        <v/>
      </c>
      <c r="F641" s="7">
        <f>Raw_Data!H641</f>
        <v/>
      </c>
      <c r="G641" s="7">
        <f>Raw_Data!I641</f>
        <v/>
      </c>
      <c r="H641" s="2">
        <f>Raw_Data!J641</f>
        <v/>
      </c>
      <c r="I641" s="2">
        <f>IF(G641="",0,G641-B641)</f>
        <v/>
      </c>
      <c r="J641" s="2">
        <f>IF(H641="Paid",MAX(0,G641-F641),MAX(0,DATE(2026,12,31)-F641))</f>
        <v/>
      </c>
      <c r="K641" s="8">
        <f>IF(H641="Paid",0,E641)</f>
        <v/>
      </c>
      <c r="L641" s="2">
        <f>IF(J641=0,"Current",IF(J641&lt;=30,"1-30 Days",IF(J641&lt;=60,"31-60 Days",IF(J641&lt;=90,"61-90 Days","90+ Days"))))</f>
        <v/>
      </c>
      <c r="M641" s="8">
        <f>IF(Raw_Data!K641="Yes",Raw_Data!F641*Raw_Data!L641,0)</f>
        <v/>
      </c>
      <c r="N641" s="2">
        <f>IF(H641&lt;&gt;"Paid","Outstanding",IF(J641=0,"On Time","Late"))</f>
        <v/>
      </c>
    </row>
    <row r="642">
      <c r="A642" s="2">
        <f>Raw_Data!A642</f>
        <v/>
      </c>
      <c r="B642" s="7">
        <f>Raw_Data!B642</f>
        <v/>
      </c>
      <c r="C642" s="2">
        <f>Raw_Data!C642</f>
        <v/>
      </c>
      <c r="D642" s="2">
        <f>Raw_Data!D642</f>
        <v/>
      </c>
      <c r="E642" s="8">
        <f>Raw_Data!F642</f>
        <v/>
      </c>
      <c r="F642" s="7">
        <f>Raw_Data!H642</f>
        <v/>
      </c>
      <c r="G642" s="7">
        <f>Raw_Data!I642</f>
        <v/>
      </c>
      <c r="H642" s="2">
        <f>Raw_Data!J642</f>
        <v/>
      </c>
      <c r="I642" s="2">
        <f>IF(G642="",0,G642-B642)</f>
        <v/>
      </c>
      <c r="J642" s="2">
        <f>IF(H642="Paid",MAX(0,G642-F642),MAX(0,DATE(2026,12,31)-F642))</f>
        <v/>
      </c>
      <c r="K642" s="8">
        <f>IF(H642="Paid",0,E642)</f>
        <v/>
      </c>
      <c r="L642" s="2">
        <f>IF(J642=0,"Current",IF(J642&lt;=30,"1-30 Days",IF(J642&lt;=60,"31-60 Days",IF(J642&lt;=90,"61-90 Days","90+ Days"))))</f>
        <v/>
      </c>
      <c r="M642" s="8">
        <f>IF(Raw_Data!K642="Yes",Raw_Data!F642*Raw_Data!L642,0)</f>
        <v/>
      </c>
      <c r="N642" s="2">
        <f>IF(H642&lt;&gt;"Paid","Outstanding",IF(J642=0,"On Time","Late"))</f>
        <v/>
      </c>
    </row>
    <row r="643">
      <c r="A643" s="2">
        <f>Raw_Data!A643</f>
        <v/>
      </c>
      <c r="B643" s="7">
        <f>Raw_Data!B643</f>
        <v/>
      </c>
      <c r="C643" s="2">
        <f>Raw_Data!C643</f>
        <v/>
      </c>
      <c r="D643" s="2">
        <f>Raw_Data!D643</f>
        <v/>
      </c>
      <c r="E643" s="8">
        <f>Raw_Data!F643</f>
        <v/>
      </c>
      <c r="F643" s="7">
        <f>Raw_Data!H643</f>
        <v/>
      </c>
      <c r="G643" s="7">
        <f>Raw_Data!I643</f>
        <v/>
      </c>
      <c r="H643" s="2">
        <f>Raw_Data!J643</f>
        <v/>
      </c>
      <c r="I643" s="2">
        <f>IF(G643="",0,G643-B643)</f>
        <v/>
      </c>
      <c r="J643" s="2">
        <f>IF(H643="Paid",MAX(0,G643-F643),MAX(0,DATE(2026,12,31)-F643))</f>
        <v/>
      </c>
      <c r="K643" s="8">
        <f>IF(H643="Paid",0,E643)</f>
        <v/>
      </c>
      <c r="L643" s="2">
        <f>IF(J643=0,"Current",IF(J643&lt;=30,"1-30 Days",IF(J643&lt;=60,"31-60 Days",IF(J643&lt;=90,"61-90 Days","90+ Days"))))</f>
        <v/>
      </c>
      <c r="M643" s="8">
        <f>IF(Raw_Data!K643="Yes",Raw_Data!F643*Raw_Data!L643,0)</f>
        <v/>
      </c>
      <c r="N643" s="2">
        <f>IF(H643&lt;&gt;"Paid","Outstanding",IF(J643=0,"On Time","Late"))</f>
        <v/>
      </c>
    </row>
    <row r="644">
      <c r="A644" s="2">
        <f>Raw_Data!A644</f>
        <v/>
      </c>
      <c r="B644" s="7">
        <f>Raw_Data!B644</f>
        <v/>
      </c>
      <c r="C644" s="2">
        <f>Raw_Data!C644</f>
        <v/>
      </c>
      <c r="D644" s="2">
        <f>Raw_Data!D644</f>
        <v/>
      </c>
      <c r="E644" s="8">
        <f>Raw_Data!F644</f>
        <v/>
      </c>
      <c r="F644" s="7">
        <f>Raw_Data!H644</f>
        <v/>
      </c>
      <c r="G644" s="7">
        <f>Raw_Data!I644</f>
        <v/>
      </c>
      <c r="H644" s="2">
        <f>Raw_Data!J644</f>
        <v/>
      </c>
      <c r="I644" s="2">
        <f>IF(G644="",0,G644-B644)</f>
        <v/>
      </c>
      <c r="J644" s="2">
        <f>IF(H644="Paid",MAX(0,G644-F644),MAX(0,DATE(2026,12,31)-F644))</f>
        <v/>
      </c>
      <c r="K644" s="8">
        <f>IF(H644="Paid",0,E644)</f>
        <v/>
      </c>
      <c r="L644" s="2">
        <f>IF(J644=0,"Current",IF(J644&lt;=30,"1-30 Days",IF(J644&lt;=60,"31-60 Days",IF(J644&lt;=90,"61-90 Days","90+ Days"))))</f>
        <v/>
      </c>
      <c r="M644" s="8">
        <f>IF(Raw_Data!K644="Yes",Raw_Data!F644*Raw_Data!L644,0)</f>
        <v/>
      </c>
      <c r="N644" s="2">
        <f>IF(H644&lt;&gt;"Paid","Outstanding",IF(J644=0,"On Time","Late"))</f>
        <v/>
      </c>
    </row>
    <row r="645">
      <c r="A645" s="2">
        <f>Raw_Data!A645</f>
        <v/>
      </c>
      <c r="B645" s="7">
        <f>Raw_Data!B645</f>
        <v/>
      </c>
      <c r="C645" s="2">
        <f>Raw_Data!C645</f>
        <v/>
      </c>
      <c r="D645" s="2">
        <f>Raw_Data!D645</f>
        <v/>
      </c>
      <c r="E645" s="8">
        <f>Raw_Data!F645</f>
        <v/>
      </c>
      <c r="F645" s="7">
        <f>Raw_Data!H645</f>
        <v/>
      </c>
      <c r="G645" s="7">
        <f>Raw_Data!I645</f>
        <v/>
      </c>
      <c r="H645" s="2">
        <f>Raw_Data!J645</f>
        <v/>
      </c>
      <c r="I645" s="2">
        <f>IF(G645="",0,G645-B645)</f>
        <v/>
      </c>
      <c r="J645" s="2">
        <f>IF(H645="Paid",MAX(0,G645-F645),MAX(0,DATE(2026,12,31)-F645))</f>
        <v/>
      </c>
      <c r="K645" s="8">
        <f>IF(H645="Paid",0,E645)</f>
        <v/>
      </c>
      <c r="L645" s="2">
        <f>IF(J645=0,"Current",IF(J645&lt;=30,"1-30 Days",IF(J645&lt;=60,"31-60 Days",IF(J645&lt;=90,"61-90 Days","90+ Days"))))</f>
        <v/>
      </c>
      <c r="M645" s="8">
        <f>IF(Raw_Data!K645="Yes",Raw_Data!F645*Raw_Data!L645,0)</f>
        <v/>
      </c>
      <c r="N645" s="2">
        <f>IF(H645&lt;&gt;"Paid","Outstanding",IF(J645=0,"On Time","Late"))</f>
        <v/>
      </c>
    </row>
    <row r="646">
      <c r="A646" s="2">
        <f>Raw_Data!A646</f>
        <v/>
      </c>
      <c r="B646" s="7">
        <f>Raw_Data!B646</f>
        <v/>
      </c>
      <c r="C646" s="2">
        <f>Raw_Data!C646</f>
        <v/>
      </c>
      <c r="D646" s="2">
        <f>Raw_Data!D646</f>
        <v/>
      </c>
      <c r="E646" s="8">
        <f>Raw_Data!F646</f>
        <v/>
      </c>
      <c r="F646" s="7">
        <f>Raw_Data!H646</f>
        <v/>
      </c>
      <c r="G646" s="7">
        <f>Raw_Data!I646</f>
        <v/>
      </c>
      <c r="H646" s="2">
        <f>Raw_Data!J646</f>
        <v/>
      </c>
      <c r="I646" s="2">
        <f>IF(G646="",0,G646-B646)</f>
        <v/>
      </c>
      <c r="J646" s="2">
        <f>IF(H646="Paid",MAX(0,G646-F646),MAX(0,DATE(2026,12,31)-F646))</f>
        <v/>
      </c>
      <c r="K646" s="8">
        <f>IF(H646="Paid",0,E646)</f>
        <v/>
      </c>
      <c r="L646" s="2">
        <f>IF(J646=0,"Current",IF(J646&lt;=30,"1-30 Days",IF(J646&lt;=60,"31-60 Days",IF(J646&lt;=90,"61-90 Days","90+ Days"))))</f>
        <v/>
      </c>
      <c r="M646" s="8">
        <f>IF(Raw_Data!K646="Yes",Raw_Data!F646*Raw_Data!L646,0)</f>
        <v/>
      </c>
      <c r="N646" s="2">
        <f>IF(H646&lt;&gt;"Paid","Outstanding",IF(J646=0,"On Time","Late"))</f>
        <v/>
      </c>
    </row>
    <row r="647">
      <c r="A647" s="2">
        <f>Raw_Data!A647</f>
        <v/>
      </c>
      <c r="B647" s="7">
        <f>Raw_Data!B647</f>
        <v/>
      </c>
      <c r="C647" s="2">
        <f>Raw_Data!C647</f>
        <v/>
      </c>
      <c r="D647" s="2">
        <f>Raw_Data!D647</f>
        <v/>
      </c>
      <c r="E647" s="8">
        <f>Raw_Data!F647</f>
        <v/>
      </c>
      <c r="F647" s="7">
        <f>Raw_Data!H647</f>
        <v/>
      </c>
      <c r="G647" s="7">
        <f>Raw_Data!I647</f>
        <v/>
      </c>
      <c r="H647" s="2">
        <f>Raw_Data!J647</f>
        <v/>
      </c>
      <c r="I647" s="2">
        <f>IF(G647="",0,G647-B647)</f>
        <v/>
      </c>
      <c r="J647" s="2">
        <f>IF(H647="Paid",MAX(0,G647-F647),MAX(0,DATE(2026,12,31)-F647))</f>
        <v/>
      </c>
      <c r="K647" s="8">
        <f>IF(H647="Paid",0,E647)</f>
        <v/>
      </c>
      <c r="L647" s="2">
        <f>IF(J647=0,"Current",IF(J647&lt;=30,"1-30 Days",IF(J647&lt;=60,"31-60 Days",IF(J647&lt;=90,"61-90 Days","90+ Days"))))</f>
        <v/>
      </c>
      <c r="M647" s="8">
        <f>IF(Raw_Data!K647="Yes",Raw_Data!F647*Raw_Data!L647,0)</f>
        <v/>
      </c>
      <c r="N647" s="2">
        <f>IF(H647&lt;&gt;"Paid","Outstanding",IF(J647=0,"On Time","Late"))</f>
        <v/>
      </c>
    </row>
    <row r="648">
      <c r="A648" s="2">
        <f>Raw_Data!A648</f>
        <v/>
      </c>
      <c r="B648" s="7">
        <f>Raw_Data!B648</f>
        <v/>
      </c>
      <c r="C648" s="2">
        <f>Raw_Data!C648</f>
        <v/>
      </c>
      <c r="D648" s="2">
        <f>Raw_Data!D648</f>
        <v/>
      </c>
      <c r="E648" s="8">
        <f>Raw_Data!F648</f>
        <v/>
      </c>
      <c r="F648" s="7">
        <f>Raw_Data!H648</f>
        <v/>
      </c>
      <c r="G648" s="7">
        <f>Raw_Data!I648</f>
        <v/>
      </c>
      <c r="H648" s="2">
        <f>Raw_Data!J648</f>
        <v/>
      </c>
      <c r="I648" s="2">
        <f>IF(G648="",0,G648-B648)</f>
        <v/>
      </c>
      <c r="J648" s="2">
        <f>IF(H648="Paid",MAX(0,G648-F648),MAX(0,DATE(2026,12,31)-F648))</f>
        <v/>
      </c>
      <c r="K648" s="8">
        <f>IF(H648="Paid",0,E648)</f>
        <v/>
      </c>
      <c r="L648" s="2">
        <f>IF(J648=0,"Current",IF(J648&lt;=30,"1-30 Days",IF(J648&lt;=60,"31-60 Days",IF(J648&lt;=90,"61-90 Days","90+ Days"))))</f>
        <v/>
      </c>
      <c r="M648" s="8">
        <f>IF(Raw_Data!K648="Yes",Raw_Data!F648*Raw_Data!L648,0)</f>
        <v/>
      </c>
      <c r="N648" s="2">
        <f>IF(H648&lt;&gt;"Paid","Outstanding",IF(J648=0,"On Time","Late"))</f>
        <v/>
      </c>
    </row>
    <row r="649">
      <c r="A649" s="2">
        <f>Raw_Data!A649</f>
        <v/>
      </c>
      <c r="B649" s="7">
        <f>Raw_Data!B649</f>
        <v/>
      </c>
      <c r="C649" s="2">
        <f>Raw_Data!C649</f>
        <v/>
      </c>
      <c r="D649" s="2">
        <f>Raw_Data!D649</f>
        <v/>
      </c>
      <c r="E649" s="8">
        <f>Raw_Data!F649</f>
        <v/>
      </c>
      <c r="F649" s="7">
        <f>Raw_Data!H649</f>
        <v/>
      </c>
      <c r="G649" s="7">
        <f>Raw_Data!I649</f>
        <v/>
      </c>
      <c r="H649" s="2">
        <f>Raw_Data!J649</f>
        <v/>
      </c>
      <c r="I649" s="2">
        <f>IF(G649="",0,G649-B649)</f>
        <v/>
      </c>
      <c r="J649" s="2">
        <f>IF(H649="Paid",MAX(0,G649-F649),MAX(0,DATE(2026,12,31)-F649))</f>
        <v/>
      </c>
      <c r="K649" s="8">
        <f>IF(H649="Paid",0,E649)</f>
        <v/>
      </c>
      <c r="L649" s="2">
        <f>IF(J649=0,"Current",IF(J649&lt;=30,"1-30 Days",IF(J649&lt;=60,"31-60 Days",IF(J649&lt;=90,"61-90 Days","90+ Days"))))</f>
        <v/>
      </c>
      <c r="M649" s="8">
        <f>IF(Raw_Data!K649="Yes",Raw_Data!F649*Raw_Data!L649,0)</f>
        <v/>
      </c>
      <c r="N649" s="2">
        <f>IF(H649&lt;&gt;"Paid","Outstanding",IF(J649=0,"On Time","Late"))</f>
        <v/>
      </c>
    </row>
    <row r="650">
      <c r="A650" s="2">
        <f>Raw_Data!A650</f>
        <v/>
      </c>
      <c r="B650" s="7">
        <f>Raw_Data!B650</f>
        <v/>
      </c>
      <c r="C650" s="2">
        <f>Raw_Data!C650</f>
        <v/>
      </c>
      <c r="D650" s="2">
        <f>Raw_Data!D650</f>
        <v/>
      </c>
      <c r="E650" s="8">
        <f>Raw_Data!F650</f>
        <v/>
      </c>
      <c r="F650" s="7">
        <f>Raw_Data!H650</f>
        <v/>
      </c>
      <c r="G650" s="7">
        <f>Raw_Data!I650</f>
        <v/>
      </c>
      <c r="H650" s="2">
        <f>Raw_Data!J650</f>
        <v/>
      </c>
      <c r="I650" s="2">
        <f>IF(G650="",0,G650-B650)</f>
        <v/>
      </c>
      <c r="J650" s="2">
        <f>IF(H650="Paid",MAX(0,G650-F650),MAX(0,DATE(2026,12,31)-F650))</f>
        <v/>
      </c>
      <c r="K650" s="8">
        <f>IF(H650="Paid",0,E650)</f>
        <v/>
      </c>
      <c r="L650" s="2">
        <f>IF(J650=0,"Current",IF(J650&lt;=30,"1-30 Days",IF(J650&lt;=60,"31-60 Days",IF(J650&lt;=90,"61-90 Days","90+ Days"))))</f>
        <v/>
      </c>
      <c r="M650" s="8">
        <f>IF(Raw_Data!K650="Yes",Raw_Data!F650*Raw_Data!L650,0)</f>
        <v/>
      </c>
      <c r="N650" s="2">
        <f>IF(H650&lt;&gt;"Paid","Outstanding",IF(J650=0,"On Time","Late"))</f>
        <v/>
      </c>
    </row>
    <row r="651">
      <c r="A651" s="2">
        <f>Raw_Data!A651</f>
        <v/>
      </c>
      <c r="B651" s="7">
        <f>Raw_Data!B651</f>
        <v/>
      </c>
      <c r="C651" s="2">
        <f>Raw_Data!C651</f>
        <v/>
      </c>
      <c r="D651" s="2">
        <f>Raw_Data!D651</f>
        <v/>
      </c>
      <c r="E651" s="8">
        <f>Raw_Data!F651</f>
        <v/>
      </c>
      <c r="F651" s="7">
        <f>Raw_Data!H651</f>
        <v/>
      </c>
      <c r="G651" s="7">
        <f>Raw_Data!I651</f>
        <v/>
      </c>
      <c r="H651" s="2">
        <f>Raw_Data!J651</f>
        <v/>
      </c>
      <c r="I651" s="2">
        <f>IF(G651="",0,G651-B651)</f>
        <v/>
      </c>
      <c r="J651" s="2">
        <f>IF(H651="Paid",MAX(0,G651-F651),MAX(0,DATE(2026,12,31)-F651))</f>
        <v/>
      </c>
      <c r="K651" s="8">
        <f>IF(H651="Paid",0,E651)</f>
        <v/>
      </c>
      <c r="L651" s="2">
        <f>IF(J651=0,"Current",IF(J651&lt;=30,"1-30 Days",IF(J651&lt;=60,"31-60 Days",IF(J651&lt;=90,"61-90 Days","90+ Days"))))</f>
        <v/>
      </c>
      <c r="M651" s="8">
        <f>IF(Raw_Data!K651="Yes",Raw_Data!F651*Raw_Data!L651,0)</f>
        <v/>
      </c>
      <c r="N651" s="2">
        <f>IF(H651&lt;&gt;"Paid","Outstanding",IF(J651=0,"On Time","Late"))</f>
        <v/>
      </c>
    </row>
    <row r="652">
      <c r="A652" s="2">
        <f>Raw_Data!A652</f>
        <v/>
      </c>
      <c r="B652" s="7">
        <f>Raw_Data!B652</f>
        <v/>
      </c>
      <c r="C652" s="2">
        <f>Raw_Data!C652</f>
        <v/>
      </c>
      <c r="D652" s="2">
        <f>Raw_Data!D652</f>
        <v/>
      </c>
      <c r="E652" s="8">
        <f>Raw_Data!F652</f>
        <v/>
      </c>
      <c r="F652" s="7">
        <f>Raw_Data!H652</f>
        <v/>
      </c>
      <c r="G652" s="7">
        <f>Raw_Data!I652</f>
        <v/>
      </c>
      <c r="H652" s="2">
        <f>Raw_Data!J652</f>
        <v/>
      </c>
      <c r="I652" s="2">
        <f>IF(G652="",0,G652-B652)</f>
        <v/>
      </c>
      <c r="J652" s="2">
        <f>IF(H652="Paid",MAX(0,G652-F652),MAX(0,DATE(2026,12,31)-F652))</f>
        <v/>
      </c>
      <c r="K652" s="8">
        <f>IF(H652="Paid",0,E652)</f>
        <v/>
      </c>
      <c r="L652" s="2">
        <f>IF(J652=0,"Current",IF(J652&lt;=30,"1-30 Days",IF(J652&lt;=60,"31-60 Days",IF(J652&lt;=90,"61-90 Days","90+ Days"))))</f>
        <v/>
      </c>
      <c r="M652" s="8">
        <f>IF(Raw_Data!K652="Yes",Raw_Data!F652*Raw_Data!L652,0)</f>
        <v/>
      </c>
      <c r="N652" s="2">
        <f>IF(H652&lt;&gt;"Paid","Outstanding",IF(J652=0,"On Time","Late"))</f>
        <v/>
      </c>
    </row>
    <row r="653">
      <c r="A653" s="2">
        <f>Raw_Data!A653</f>
        <v/>
      </c>
      <c r="B653" s="7">
        <f>Raw_Data!B653</f>
        <v/>
      </c>
      <c r="C653" s="2">
        <f>Raw_Data!C653</f>
        <v/>
      </c>
      <c r="D653" s="2">
        <f>Raw_Data!D653</f>
        <v/>
      </c>
      <c r="E653" s="8">
        <f>Raw_Data!F653</f>
        <v/>
      </c>
      <c r="F653" s="7">
        <f>Raw_Data!H653</f>
        <v/>
      </c>
      <c r="G653" s="7">
        <f>Raw_Data!I653</f>
        <v/>
      </c>
      <c r="H653" s="2">
        <f>Raw_Data!J653</f>
        <v/>
      </c>
      <c r="I653" s="2">
        <f>IF(G653="",0,G653-B653)</f>
        <v/>
      </c>
      <c r="J653" s="2">
        <f>IF(H653="Paid",MAX(0,G653-F653),MAX(0,DATE(2026,12,31)-F653))</f>
        <v/>
      </c>
      <c r="K653" s="8">
        <f>IF(H653="Paid",0,E653)</f>
        <v/>
      </c>
      <c r="L653" s="2">
        <f>IF(J653=0,"Current",IF(J653&lt;=30,"1-30 Days",IF(J653&lt;=60,"31-60 Days",IF(J653&lt;=90,"61-90 Days","90+ Days"))))</f>
        <v/>
      </c>
      <c r="M653" s="8">
        <f>IF(Raw_Data!K653="Yes",Raw_Data!F653*Raw_Data!L653,0)</f>
        <v/>
      </c>
      <c r="N653" s="2">
        <f>IF(H653&lt;&gt;"Paid","Outstanding",IF(J653=0,"On Time","Late"))</f>
        <v/>
      </c>
    </row>
    <row r="654">
      <c r="A654" s="2">
        <f>Raw_Data!A654</f>
        <v/>
      </c>
      <c r="B654" s="7">
        <f>Raw_Data!B654</f>
        <v/>
      </c>
      <c r="C654" s="2">
        <f>Raw_Data!C654</f>
        <v/>
      </c>
      <c r="D654" s="2">
        <f>Raw_Data!D654</f>
        <v/>
      </c>
      <c r="E654" s="8">
        <f>Raw_Data!F654</f>
        <v/>
      </c>
      <c r="F654" s="7">
        <f>Raw_Data!H654</f>
        <v/>
      </c>
      <c r="G654" s="7">
        <f>Raw_Data!I654</f>
        <v/>
      </c>
      <c r="H654" s="2">
        <f>Raw_Data!J654</f>
        <v/>
      </c>
      <c r="I654" s="2">
        <f>IF(G654="",0,G654-B654)</f>
        <v/>
      </c>
      <c r="J654" s="2">
        <f>IF(H654="Paid",MAX(0,G654-F654),MAX(0,DATE(2026,12,31)-F654))</f>
        <v/>
      </c>
      <c r="K654" s="8">
        <f>IF(H654="Paid",0,E654)</f>
        <v/>
      </c>
      <c r="L654" s="2">
        <f>IF(J654=0,"Current",IF(J654&lt;=30,"1-30 Days",IF(J654&lt;=60,"31-60 Days",IF(J654&lt;=90,"61-90 Days","90+ Days"))))</f>
        <v/>
      </c>
      <c r="M654" s="8">
        <f>IF(Raw_Data!K654="Yes",Raw_Data!F654*Raw_Data!L654,0)</f>
        <v/>
      </c>
      <c r="N654" s="2">
        <f>IF(H654&lt;&gt;"Paid","Outstanding",IF(J654=0,"On Time","Late"))</f>
        <v/>
      </c>
    </row>
    <row r="655">
      <c r="A655" s="2">
        <f>Raw_Data!A655</f>
        <v/>
      </c>
      <c r="B655" s="7">
        <f>Raw_Data!B655</f>
        <v/>
      </c>
      <c r="C655" s="2">
        <f>Raw_Data!C655</f>
        <v/>
      </c>
      <c r="D655" s="2">
        <f>Raw_Data!D655</f>
        <v/>
      </c>
      <c r="E655" s="8">
        <f>Raw_Data!F655</f>
        <v/>
      </c>
      <c r="F655" s="7">
        <f>Raw_Data!H655</f>
        <v/>
      </c>
      <c r="G655" s="7">
        <f>Raw_Data!I655</f>
        <v/>
      </c>
      <c r="H655" s="2">
        <f>Raw_Data!J655</f>
        <v/>
      </c>
      <c r="I655" s="2">
        <f>IF(G655="",0,G655-B655)</f>
        <v/>
      </c>
      <c r="J655" s="2">
        <f>IF(H655="Paid",MAX(0,G655-F655),MAX(0,DATE(2026,12,31)-F655))</f>
        <v/>
      </c>
      <c r="K655" s="8">
        <f>IF(H655="Paid",0,E655)</f>
        <v/>
      </c>
      <c r="L655" s="2">
        <f>IF(J655=0,"Current",IF(J655&lt;=30,"1-30 Days",IF(J655&lt;=60,"31-60 Days",IF(J655&lt;=90,"61-90 Days","90+ Days"))))</f>
        <v/>
      </c>
      <c r="M655" s="8">
        <f>IF(Raw_Data!K655="Yes",Raw_Data!F655*Raw_Data!L655,0)</f>
        <v/>
      </c>
      <c r="N655" s="2">
        <f>IF(H655&lt;&gt;"Paid","Outstanding",IF(J655=0,"On Time","Late"))</f>
        <v/>
      </c>
    </row>
    <row r="656">
      <c r="A656" s="2">
        <f>Raw_Data!A656</f>
        <v/>
      </c>
      <c r="B656" s="7">
        <f>Raw_Data!B656</f>
        <v/>
      </c>
      <c r="C656" s="2">
        <f>Raw_Data!C656</f>
        <v/>
      </c>
      <c r="D656" s="2">
        <f>Raw_Data!D656</f>
        <v/>
      </c>
      <c r="E656" s="8">
        <f>Raw_Data!F656</f>
        <v/>
      </c>
      <c r="F656" s="7">
        <f>Raw_Data!H656</f>
        <v/>
      </c>
      <c r="G656" s="7">
        <f>Raw_Data!I656</f>
        <v/>
      </c>
      <c r="H656" s="2">
        <f>Raw_Data!J656</f>
        <v/>
      </c>
      <c r="I656" s="2">
        <f>IF(G656="",0,G656-B656)</f>
        <v/>
      </c>
      <c r="J656" s="2">
        <f>IF(H656="Paid",MAX(0,G656-F656),MAX(0,DATE(2026,12,31)-F656))</f>
        <v/>
      </c>
      <c r="K656" s="8">
        <f>IF(H656="Paid",0,E656)</f>
        <v/>
      </c>
      <c r="L656" s="2">
        <f>IF(J656=0,"Current",IF(J656&lt;=30,"1-30 Days",IF(J656&lt;=60,"31-60 Days",IF(J656&lt;=90,"61-90 Days","90+ Days"))))</f>
        <v/>
      </c>
      <c r="M656" s="8">
        <f>IF(Raw_Data!K656="Yes",Raw_Data!F656*Raw_Data!L656,0)</f>
        <v/>
      </c>
      <c r="N656" s="2">
        <f>IF(H656&lt;&gt;"Paid","Outstanding",IF(J656=0,"On Time","Late"))</f>
        <v/>
      </c>
    </row>
    <row r="657">
      <c r="A657" s="2">
        <f>Raw_Data!A657</f>
        <v/>
      </c>
      <c r="B657" s="7">
        <f>Raw_Data!B657</f>
        <v/>
      </c>
      <c r="C657" s="2">
        <f>Raw_Data!C657</f>
        <v/>
      </c>
      <c r="D657" s="2">
        <f>Raw_Data!D657</f>
        <v/>
      </c>
      <c r="E657" s="8">
        <f>Raw_Data!F657</f>
        <v/>
      </c>
      <c r="F657" s="7">
        <f>Raw_Data!H657</f>
        <v/>
      </c>
      <c r="G657" s="7">
        <f>Raw_Data!I657</f>
        <v/>
      </c>
      <c r="H657" s="2">
        <f>Raw_Data!J657</f>
        <v/>
      </c>
      <c r="I657" s="2">
        <f>IF(G657="",0,G657-B657)</f>
        <v/>
      </c>
      <c r="J657" s="2">
        <f>IF(H657="Paid",MAX(0,G657-F657),MAX(0,DATE(2026,12,31)-F657))</f>
        <v/>
      </c>
      <c r="K657" s="8">
        <f>IF(H657="Paid",0,E657)</f>
        <v/>
      </c>
      <c r="L657" s="2">
        <f>IF(J657=0,"Current",IF(J657&lt;=30,"1-30 Days",IF(J657&lt;=60,"31-60 Days",IF(J657&lt;=90,"61-90 Days","90+ Days"))))</f>
        <v/>
      </c>
      <c r="M657" s="8">
        <f>IF(Raw_Data!K657="Yes",Raw_Data!F657*Raw_Data!L657,0)</f>
        <v/>
      </c>
      <c r="N657" s="2">
        <f>IF(H657&lt;&gt;"Paid","Outstanding",IF(J657=0,"On Time","Late"))</f>
        <v/>
      </c>
    </row>
    <row r="658">
      <c r="A658" s="2">
        <f>Raw_Data!A658</f>
        <v/>
      </c>
      <c r="B658" s="7">
        <f>Raw_Data!B658</f>
        <v/>
      </c>
      <c r="C658" s="2">
        <f>Raw_Data!C658</f>
        <v/>
      </c>
      <c r="D658" s="2">
        <f>Raw_Data!D658</f>
        <v/>
      </c>
      <c r="E658" s="8">
        <f>Raw_Data!F658</f>
        <v/>
      </c>
      <c r="F658" s="7">
        <f>Raw_Data!H658</f>
        <v/>
      </c>
      <c r="G658" s="7">
        <f>Raw_Data!I658</f>
        <v/>
      </c>
      <c r="H658" s="2">
        <f>Raw_Data!J658</f>
        <v/>
      </c>
      <c r="I658" s="2">
        <f>IF(G658="",0,G658-B658)</f>
        <v/>
      </c>
      <c r="J658" s="2">
        <f>IF(H658="Paid",MAX(0,G658-F658),MAX(0,DATE(2026,12,31)-F658))</f>
        <v/>
      </c>
      <c r="K658" s="8">
        <f>IF(H658="Paid",0,E658)</f>
        <v/>
      </c>
      <c r="L658" s="2">
        <f>IF(J658=0,"Current",IF(J658&lt;=30,"1-30 Days",IF(J658&lt;=60,"31-60 Days",IF(J658&lt;=90,"61-90 Days","90+ Days"))))</f>
        <v/>
      </c>
      <c r="M658" s="8">
        <f>IF(Raw_Data!K658="Yes",Raw_Data!F658*Raw_Data!L658,0)</f>
        <v/>
      </c>
      <c r="N658" s="2">
        <f>IF(H658&lt;&gt;"Paid","Outstanding",IF(J658=0,"On Time","Late"))</f>
        <v/>
      </c>
    </row>
    <row r="659">
      <c r="A659" s="2">
        <f>Raw_Data!A659</f>
        <v/>
      </c>
      <c r="B659" s="7">
        <f>Raw_Data!B659</f>
        <v/>
      </c>
      <c r="C659" s="2">
        <f>Raw_Data!C659</f>
        <v/>
      </c>
      <c r="D659" s="2">
        <f>Raw_Data!D659</f>
        <v/>
      </c>
      <c r="E659" s="8">
        <f>Raw_Data!F659</f>
        <v/>
      </c>
      <c r="F659" s="7">
        <f>Raw_Data!H659</f>
        <v/>
      </c>
      <c r="G659" s="7">
        <f>Raw_Data!I659</f>
        <v/>
      </c>
      <c r="H659" s="2">
        <f>Raw_Data!J659</f>
        <v/>
      </c>
      <c r="I659" s="2">
        <f>IF(G659="",0,G659-B659)</f>
        <v/>
      </c>
      <c r="J659" s="2">
        <f>IF(H659="Paid",MAX(0,G659-F659),MAX(0,DATE(2026,12,31)-F659))</f>
        <v/>
      </c>
      <c r="K659" s="8">
        <f>IF(H659="Paid",0,E659)</f>
        <v/>
      </c>
      <c r="L659" s="2">
        <f>IF(J659=0,"Current",IF(J659&lt;=30,"1-30 Days",IF(J659&lt;=60,"31-60 Days",IF(J659&lt;=90,"61-90 Days","90+ Days"))))</f>
        <v/>
      </c>
      <c r="M659" s="8">
        <f>IF(Raw_Data!K659="Yes",Raw_Data!F659*Raw_Data!L659,0)</f>
        <v/>
      </c>
      <c r="N659" s="2">
        <f>IF(H659&lt;&gt;"Paid","Outstanding",IF(J659=0,"On Time","Late"))</f>
        <v/>
      </c>
    </row>
    <row r="660">
      <c r="A660" s="2">
        <f>Raw_Data!A660</f>
        <v/>
      </c>
      <c r="B660" s="7">
        <f>Raw_Data!B660</f>
        <v/>
      </c>
      <c r="C660" s="2">
        <f>Raw_Data!C660</f>
        <v/>
      </c>
      <c r="D660" s="2">
        <f>Raw_Data!D660</f>
        <v/>
      </c>
      <c r="E660" s="8">
        <f>Raw_Data!F660</f>
        <v/>
      </c>
      <c r="F660" s="7">
        <f>Raw_Data!H660</f>
        <v/>
      </c>
      <c r="G660" s="7">
        <f>Raw_Data!I660</f>
        <v/>
      </c>
      <c r="H660" s="2">
        <f>Raw_Data!J660</f>
        <v/>
      </c>
      <c r="I660" s="2">
        <f>IF(G660="",0,G660-B660)</f>
        <v/>
      </c>
      <c r="J660" s="2">
        <f>IF(H660="Paid",MAX(0,G660-F660),MAX(0,DATE(2026,12,31)-F660))</f>
        <v/>
      </c>
      <c r="K660" s="8">
        <f>IF(H660="Paid",0,E660)</f>
        <v/>
      </c>
      <c r="L660" s="2">
        <f>IF(J660=0,"Current",IF(J660&lt;=30,"1-30 Days",IF(J660&lt;=60,"31-60 Days",IF(J660&lt;=90,"61-90 Days","90+ Days"))))</f>
        <v/>
      </c>
      <c r="M660" s="8">
        <f>IF(Raw_Data!K660="Yes",Raw_Data!F660*Raw_Data!L660,0)</f>
        <v/>
      </c>
      <c r="N660" s="2">
        <f>IF(H660&lt;&gt;"Paid","Outstanding",IF(J660=0,"On Time","Late"))</f>
        <v/>
      </c>
    </row>
    <row r="661">
      <c r="A661" s="2">
        <f>Raw_Data!A661</f>
        <v/>
      </c>
      <c r="B661" s="7">
        <f>Raw_Data!B661</f>
        <v/>
      </c>
      <c r="C661" s="2">
        <f>Raw_Data!C661</f>
        <v/>
      </c>
      <c r="D661" s="2">
        <f>Raw_Data!D661</f>
        <v/>
      </c>
      <c r="E661" s="8">
        <f>Raw_Data!F661</f>
        <v/>
      </c>
      <c r="F661" s="7">
        <f>Raw_Data!H661</f>
        <v/>
      </c>
      <c r="G661" s="7">
        <f>Raw_Data!I661</f>
        <v/>
      </c>
      <c r="H661" s="2">
        <f>Raw_Data!J661</f>
        <v/>
      </c>
      <c r="I661" s="2">
        <f>IF(G661="",0,G661-B661)</f>
        <v/>
      </c>
      <c r="J661" s="2">
        <f>IF(H661="Paid",MAX(0,G661-F661),MAX(0,DATE(2026,12,31)-F661))</f>
        <v/>
      </c>
      <c r="K661" s="8">
        <f>IF(H661="Paid",0,E661)</f>
        <v/>
      </c>
      <c r="L661" s="2">
        <f>IF(J661=0,"Current",IF(J661&lt;=30,"1-30 Days",IF(J661&lt;=60,"31-60 Days",IF(J661&lt;=90,"61-90 Days","90+ Days"))))</f>
        <v/>
      </c>
      <c r="M661" s="8">
        <f>IF(Raw_Data!K661="Yes",Raw_Data!F661*Raw_Data!L661,0)</f>
        <v/>
      </c>
      <c r="N661" s="2">
        <f>IF(H661&lt;&gt;"Paid","Outstanding",IF(J661=0,"On Time","Late"))</f>
        <v/>
      </c>
    </row>
    <row r="662">
      <c r="A662" s="2">
        <f>Raw_Data!A662</f>
        <v/>
      </c>
      <c r="B662" s="7">
        <f>Raw_Data!B662</f>
        <v/>
      </c>
      <c r="C662" s="2">
        <f>Raw_Data!C662</f>
        <v/>
      </c>
      <c r="D662" s="2">
        <f>Raw_Data!D662</f>
        <v/>
      </c>
      <c r="E662" s="8">
        <f>Raw_Data!F662</f>
        <v/>
      </c>
      <c r="F662" s="7">
        <f>Raw_Data!H662</f>
        <v/>
      </c>
      <c r="G662" s="7">
        <f>Raw_Data!I662</f>
        <v/>
      </c>
      <c r="H662" s="2">
        <f>Raw_Data!J662</f>
        <v/>
      </c>
      <c r="I662" s="2">
        <f>IF(G662="",0,G662-B662)</f>
        <v/>
      </c>
      <c r="J662" s="2">
        <f>IF(H662="Paid",MAX(0,G662-F662),MAX(0,DATE(2026,12,31)-F662))</f>
        <v/>
      </c>
      <c r="K662" s="8">
        <f>IF(H662="Paid",0,E662)</f>
        <v/>
      </c>
      <c r="L662" s="2">
        <f>IF(J662=0,"Current",IF(J662&lt;=30,"1-30 Days",IF(J662&lt;=60,"31-60 Days",IF(J662&lt;=90,"61-90 Days","90+ Days"))))</f>
        <v/>
      </c>
      <c r="M662" s="8">
        <f>IF(Raw_Data!K662="Yes",Raw_Data!F662*Raw_Data!L662,0)</f>
        <v/>
      </c>
      <c r="N662" s="2">
        <f>IF(H662&lt;&gt;"Paid","Outstanding",IF(J662=0,"On Time","Late"))</f>
        <v/>
      </c>
    </row>
    <row r="663">
      <c r="A663" s="2">
        <f>Raw_Data!A663</f>
        <v/>
      </c>
      <c r="B663" s="7">
        <f>Raw_Data!B663</f>
        <v/>
      </c>
      <c r="C663" s="2">
        <f>Raw_Data!C663</f>
        <v/>
      </c>
      <c r="D663" s="2">
        <f>Raw_Data!D663</f>
        <v/>
      </c>
      <c r="E663" s="8">
        <f>Raw_Data!F663</f>
        <v/>
      </c>
      <c r="F663" s="7">
        <f>Raw_Data!H663</f>
        <v/>
      </c>
      <c r="G663" s="7">
        <f>Raw_Data!I663</f>
        <v/>
      </c>
      <c r="H663" s="2">
        <f>Raw_Data!J663</f>
        <v/>
      </c>
      <c r="I663" s="2">
        <f>IF(G663="",0,G663-B663)</f>
        <v/>
      </c>
      <c r="J663" s="2">
        <f>IF(H663="Paid",MAX(0,G663-F663),MAX(0,DATE(2026,12,31)-F663))</f>
        <v/>
      </c>
      <c r="K663" s="8">
        <f>IF(H663="Paid",0,E663)</f>
        <v/>
      </c>
      <c r="L663" s="2">
        <f>IF(J663=0,"Current",IF(J663&lt;=30,"1-30 Days",IF(J663&lt;=60,"31-60 Days",IF(J663&lt;=90,"61-90 Days","90+ Days"))))</f>
        <v/>
      </c>
      <c r="M663" s="8">
        <f>IF(Raw_Data!K663="Yes",Raw_Data!F663*Raw_Data!L663,0)</f>
        <v/>
      </c>
      <c r="N663" s="2">
        <f>IF(H663&lt;&gt;"Paid","Outstanding",IF(J663=0,"On Time","Late"))</f>
        <v/>
      </c>
    </row>
    <row r="664">
      <c r="A664" s="2">
        <f>Raw_Data!A664</f>
        <v/>
      </c>
      <c r="B664" s="7">
        <f>Raw_Data!B664</f>
        <v/>
      </c>
      <c r="C664" s="2">
        <f>Raw_Data!C664</f>
        <v/>
      </c>
      <c r="D664" s="2">
        <f>Raw_Data!D664</f>
        <v/>
      </c>
      <c r="E664" s="8">
        <f>Raw_Data!F664</f>
        <v/>
      </c>
      <c r="F664" s="7">
        <f>Raw_Data!H664</f>
        <v/>
      </c>
      <c r="G664" s="7">
        <f>Raw_Data!I664</f>
        <v/>
      </c>
      <c r="H664" s="2">
        <f>Raw_Data!J664</f>
        <v/>
      </c>
      <c r="I664" s="2">
        <f>IF(G664="",0,G664-B664)</f>
        <v/>
      </c>
      <c r="J664" s="2">
        <f>IF(H664="Paid",MAX(0,G664-F664),MAX(0,DATE(2026,12,31)-F664))</f>
        <v/>
      </c>
      <c r="K664" s="8">
        <f>IF(H664="Paid",0,E664)</f>
        <v/>
      </c>
      <c r="L664" s="2">
        <f>IF(J664=0,"Current",IF(J664&lt;=30,"1-30 Days",IF(J664&lt;=60,"31-60 Days",IF(J664&lt;=90,"61-90 Days","90+ Days"))))</f>
        <v/>
      </c>
      <c r="M664" s="8">
        <f>IF(Raw_Data!K664="Yes",Raw_Data!F664*Raw_Data!L664,0)</f>
        <v/>
      </c>
      <c r="N664" s="2">
        <f>IF(H664&lt;&gt;"Paid","Outstanding",IF(J664=0,"On Time","Late"))</f>
        <v/>
      </c>
    </row>
    <row r="665">
      <c r="A665" s="2">
        <f>Raw_Data!A665</f>
        <v/>
      </c>
      <c r="B665" s="7">
        <f>Raw_Data!B665</f>
        <v/>
      </c>
      <c r="C665" s="2">
        <f>Raw_Data!C665</f>
        <v/>
      </c>
      <c r="D665" s="2">
        <f>Raw_Data!D665</f>
        <v/>
      </c>
      <c r="E665" s="8">
        <f>Raw_Data!F665</f>
        <v/>
      </c>
      <c r="F665" s="7">
        <f>Raw_Data!H665</f>
        <v/>
      </c>
      <c r="G665" s="7">
        <f>Raw_Data!I665</f>
        <v/>
      </c>
      <c r="H665" s="2">
        <f>Raw_Data!J665</f>
        <v/>
      </c>
      <c r="I665" s="2">
        <f>IF(G665="",0,G665-B665)</f>
        <v/>
      </c>
      <c r="J665" s="2">
        <f>IF(H665="Paid",MAX(0,G665-F665),MAX(0,DATE(2026,12,31)-F665))</f>
        <v/>
      </c>
      <c r="K665" s="8">
        <f>IF(H665="Paid",0,E665)</f>
        <v/>
      </c>
      <c r="L665" s="2">
        <f>IF(J665=0,"Current",IF(J665&lt;=30,"1-30 Days",IF(J665&lt;=60,"31-60 Days",IF(J665&lt;=90,"61-90 Days","90+ Days"))))</f>
        <v/>
      </c>
      <c r="M665" s="8">
        <f>IF(Raw_Data!K665="Yes",Raw_Data!F665*Raw_Data!L665,0)</f>
        <v/>
      </c>
      <c r="N665" s="2">
        <f>IF(H665&lt;&gt;"Paid","Outstanding",IF(J665=0,"On Time","Late"))</f>
        <v/>
      </c>
    </row>
    <row r="666">
      <c r="A666" s="2">
        <f>Raw_Data!A666</f>
        <v/>
      </c>
      <c r="B666" s="7">
        <f>Raw_Data!B666</f>
        <v/>
      </c>
      <c r="C666" s="2">
        <f>Raw_Data!C666</f>
        <v/>
      </c>
      <c r="D666" s="2">
        <f>Raw_Data!D666</f>
        <v/>
      </c>
      <c r="E666" s="8">
        <f>Raw_Data!F666</f>
        <v/>
      </c>
      <c r="F666" s="7">
        <f>Raw_Data!H666</f>
        <v/>
      </c>
      <c r="G666" s="7">
        <f>Raw_Data!I666</f>
        <v/>
      </c>
      <c r="H666" s="2">
        <f>Raw_Data!J666</f>
        <v/>
      </c>
      <c r="I666" s="2">
        <f>IF(G666="",0,G666-B666)</f>
        <v/>
      </c>
      <c r="J666" s="2">
        <f>IF(H666="Paid",MAX(0,G666-F666),MAX(0,DATE(2026,12,31)-F666))</f>
        <v/>
      </c>
      <c r="K666" s="8">
        <f>IF(H666="Paid",0,E666)</f>
        <v/>
      </c>
      <c r="L666" s="2">
        <f>IF(J666=0,"Current",IF(J666&lt;=30,"1-30 Days",IF(J666&lt;=60,"31-60 Days",IF(J666&lt;=90,"61-90 Days","90+ Days"))))</f>
        <v/>
      </c>
      <c r="M666" s="8">
        <f>IF(Raw_Data!K666="Yes",Raw_Data!F666*Raw_Data!L666,0)</f>
        <v/>
      </c>
      <c r="N666" s="2">
        <f>IF(H666&lt;&gt;"Paid","Outstanding",IF(J666=0,"On Time","Late"))</f>
        <v/>
      </c>
    </row>
    <row r="667">
      <c r="A667" s="2">
        <f>Raw_Data!A667</f>
        <v/>
      </c>
      <c r="B667" s="7">
        <f>Raw_Data!B667</f>
        <v/>
      </c>
      <c r="C667" s="2">
        <f>Raw_Data!C667</f>
        <v/>
      </c>
      <c r="D667" s="2">
        <f>Raw_Data!D667</f>
        <v/>
      </c>
      <c r="E667" s="8">
        <f>Raw_Data!F667</f>
        <v/>
      </c>
      <c r="F667" s="7">
        <f>Raw_Data!H667</f>
        <v/>
      </c>
      <c r="G667" s="7">
        <f>Raw_Data!I667</f>
        <v/>
      </c>
      <c r="H667" s="2">
        <f>Raw_Data!J667</f>
        <v/>
      </c>
      <c r="I667" s="2">
        <f>IF(G667="",0,G667-B667)</f>
        <v/>
      </c>
      <c r="J667" s="2">
        <f>IF(H667="Paid",MAX(0,G667-F667),MAX(0,DATE(2026,12,31)-F667))</f>
        <v/>
      </c>
      <c r="K667" s="8">
        <f>IF(H667="Paid",0,E667)</f>
        <v/>
      </c>
      <c r="L667" s="2">
        <f>IF(J667=0,"Current",IF(J667&lt;=30,"1-30 Days",IF(J667&lt;=60,"31-60 Days",IF(J667&lt;=90,"61-90 Days","90+ Days"))))</f>
        <v/>
      </c>
      <c r="M667" s="8">
        <f>IF(Raw_Data!K667="Yes",Raw_Data!F667*Raw_Data!L667,0)</f>
        <v/>
      </c>
      <c r="N667" s="2">
        <f>IF(H667&lt;&gt;"Paid","Outstanding",IF(J667=0,"On Time","Late"))</f>
        <v/>
      </c>
    </row>
    <row r="668">
      <c r="A668" s="2">
        <f>Raw_Data!A668</f>
        <v/>
      </c>
      <c r="B668" s="7">
        <f>Raw_Data!B668</f>
        <v/>
      </c>
      <c r="C668" s="2">
        <f>Raw_Data!C668</f>
        <v/>
      </c>
      <c r="D668" s="2">
        <f>Raw_Data!D668</f>
        <v/>
      </c>
      <c r="E668" s="8">
        <f>Raw_Data!F668</f>
        <v/>
      </c>
      <c r="F668" s="7">
        <f>Raw_Data!H668</f>
        <v/>
      </c>
      <c r="G668" s="7">
        <f>Raw_Data!I668</f>
        <v/>
      </c>
      <c r="H668" s="2">
        <f>Raw_Data!J668</f>
        <v/>
      </c>
      <c r="I668" s="2">
        <f>IF(G668="",0,G668-B668)</f>
        <v/>
      </c>
      <c r="J668" s="2">
        <f>IF(H668="Paid",MAX(0,G668-F668),MAX(0,DATE(2026,12,31)-F668))</f>
        <v/>
      </c>
      <c r="K668" s="8">
        <f>IF(H668="Paid",0,E668)</f>
        <v/>
      </c>
      <c r="L668" s="2">
        <f>IF(J668=0,"Current",IF(J668&lt;=30,"1-30 Days",IF(J668&lt;=60,"31-60 Days",IF(J668&lt;=90,"61-90 Days","90+ Days"))))</f>
        <v/>
      </c>
      <c r="M668" s="8">
        <f>IF(Raw_Data!K668="Yes",Raw_Data!F668*Raw_Data!L668,0)</f>
        <v/>
      </c>
      <c r="N668" s="2">
        <f>IF(H668&lt;&gt;"Paid","Outstanding",IF(J668=0,"On Time","Late"))</f>
        <v/>
      </c>
    </row>
    <row r="669">
      <c r="A669" s="2">
        <f>Raw_Data!A669</f>
        <v/>
      </c>
      <c r="B669" s="7">
        <f>Raw_Data!B669</f>
        <v/>
      </c>
      <c r="C669" s="2">
        <f>Raw_Data!C669</f>
        <v/>
      </c>
      <c r="D669" s="2">
        <f>Raw_Data!D669</f>
        <v/>
      </c>
      <c r="E669" s="8">
        <f>Raw_Data!F669</f>
        <v/>
      </c>
      <c r="F669" s="7">
        <f>Raw_Data!H669</f>
        <v/>
      </c>
      <c r="G669" s="7">
        <f>Raw_Data!I669</f>
        <v/>
      </c>
      <c r="H669" s="2">
        <f>Raw_Data!J669</f>
        <v/>
      </c>
      <c r="I669" s="2">
        <f>IF(G669="",0,G669-B669)</f>
        <v/>
      </c>
      <c r="J669" s="2">
        <f>IF(H669="Paid",MAX(0,G669-F669),MAX(0,DATE(2026,12,31)-F669))</f>
        <v/>
      </c>
      <c r="K669" s="8">
        <f>IF(H669="Paid",0,E669)</f>
        <v/>
      </c>
      <c r="L669" s="2">
        <f>IF(J669=0,"Current",IF(J669&lt;=30,"1-30 Days",IF(J669&lt;=60,"31-60 Days",IF(J669&lt;=90,"61-90 Days","90+ Days"))))</f>
        <v/>
      </c>
      <c r="M669" s="8">
        <f>IF(Raw_Data!K669="Yes",Raw_Data!F669*Raw_Data!L669,0)</f>
        <v/>
      </c>
      <c r="N669" s="2">
        <f>IF(H669&lt;&gt;"Paid","Outstanding",IF(J669=0,"On Time","Late"))</f>
        <v/>
      </c>
    </row>
    <row r="670">
      <c r="A670" s="2">
        <f>Raw_Data!A670</f>
        <v/>
      </c>
      <c r="B670" s="7">
        <f>Raw_Data!B670</f>
        <v/>
      </c>
      <c r="C670" s="2">
        <f>Raw_Data!C670</f>
        <v/>
      </c>
      <c r="D670" s="2">
        <f>Raw_Data!D670</f>
        <v/>
      </c>
      <c r="E670" s="8">
        <f>Raw_Data!F670</f>
        <v/>
      </c>
      <c r="F670" s="7">
        <f>Raw_Data!H670</f>
        <v/>
      </c>
      <c r="G670" s="7">
        <f>Raw_Data!I670</f>
        <v/>
      </c>
      <c r="H670" s="2">
        <f>Raw_Data!J670</f>
        <v/>
      </c>
      <c r="I670" s="2">
        <f>IF(G670="",0,G670-B670)</f>
        <v/>
      </c>
      <c r="J670" s="2">
        <f>IF(H670="Paid",MAX(0,G670-F670),MAX(0,DATE(2026,12,31)-F670))</f>
        <v/>
      </c>
      <c r="K670" s="8">
        <f>IF(H670="Paid",0,E670)</f>
        <v/>
      </c>
      <c r="L670" s="2">
        <f>IF(J670=0,"Current",IF(J670&lt;=30,"1-30 Days",IF(J670&lt;=60,"31-60 Days",IF(J670&lt;=90,"61-90 Days","90+ Days"))))</f>
        <v/>
      </c>
      <c r="M670" s="8">
        <f>IF(Raw_Data!K670="Yes",Raw_Data!F670*Raw_Data!L670,0)</f>
        <v/>
      </c>
      <c r="N670" s="2">
        <f>IF(H670&lt;&gt;"Paid","Outstanding",IF(J670=0,"On Time","Late"))</f>
        <v/>
      </c>
    </row>
    <row r="671">
      <c r="A671" s="2">
        <f>Raw_Data!A671</f>
        <v/>
      </c>
      <c r="B671" s="7">
        <f>Raw_Data!B671</f>
        <v/>
      </c>
      <c r="C671" s="2">
        <f>Raw_Data!C671</f>
        <v/>
      </c>
      <c r="D671" s="2">
        <f>Raw_Data!D671</f>
        <v/>
      </c>
      <c r="E671" s="8">
        <f>Raw_Data!F671</f>
        <v/>
      </c>
      <c r="F671" s="7">
        <f>Raw_Data!H671</f>
        <v/>
      </c>
      <c r="G671" s="7">
        <f>Raw_Data!I671</f>
        <v/>
      </c>
      <c r="H671" s="2">
        <f>Raw_Data!J671</f>
        <v/>
      </c>
      <c r="I671" s="2">
        <f>IF(G671="",0,G671-B671)</f>
        <v/>
      </c>
      <c r="J671" s="2">
        <f>IF(H671="Paid",MAX(0,G671-F671),MAX(0,DATE(2026,12,31)-F671))</f>
        <v/>
      </c>
      <c r="K671" s="8">
        <f>IF(H671="Paid",0,E671)</f>
        <v/>
      </c>
      <c r="L671" s="2">
        <f>IF(J671=0,"Current",IF(J671&lt;=30,"1-30 Days",IF(J671&lt;=60,"31-60 Days",IF(J671&lt;=90,"61-90 Days","90+ Days"))))</f>
        <v/>
      </c>
      <c r="M671" s="8">
        <f>IF(Raw_Data!K671="Yes",Raw_Data!F671*Raw_Data!L671,0)</f>
        <v/>
      </c>
      <c r="N671" s="2">
        <f>IF(H671&lt;&gt;"Paid","Outstanding",IF(J671=0,"On Time","Late"))</f>
        <v/>
      </c>
    </row>
    <row r="672">
      <c r="A672" s="2">
        <f>Raw_Data!A672</f>
        <v/>
      </c>
      <c r="B672" s="7">
        <f>Raw_Data!B672</f>
        <v/>
      </c>
      <c r="C672" s="2">
        <f>Raw_Data!C672</f>
        <v/>
      </c>
      <c r="D672" s="2">
        <f>Raw_Data!D672</f>
        <v/>
      </c>
      <c r="E672" s="8">
        <f>Raw_Data!F672</f>
        <v/>
      </c>
      <c r="F672" s="7">
        <f>Raw_Data!H672</f>
        <v/>
      </c>
      <c r="G672" s="7">
        <f>Raw_Data!I672</f>
        <v/>
      </c>
      <c r="H672" s="2">
        <f>Raw_Data!J672</f>
        <v/>
      </c>
      <c r="I672" s="2">
        <f>IF(G672="",0,G672-B672)</f>
        <v/>
      </c>
      <c r="J672" s="2">
        <f>IF(H672="Paid",MAX(0,G672-F672),MAX(0,DATE(2026,12,31)-F672))</f>
        <v/>
      </c>
      <c r="K672" s="8">
        <f>IF(H672="Paid",0,E672)</f>
        <v/>
      </c>
      <c r="L672" s="2">
        <f>IF(J672=0,"Current",IF(J672&lt;=30,"1-30 Days",IF(J672&lt;=60,"31-60 Days",IF(J672&lt;=90,"61-90 Days","90+ Days"))))</f>
        <v/>
      </c>
      <c r="M672" s="8">
        <f>IF(Raw_Data!K672="Yes",Raw_Data!F672*Raw_Data!L672,0)</f>
        <v/>
      </c>
      <c r="N672" s="2">
        <f>IF(H672&lt;&gt;"Paid","Outstanding",IF(J672=0,"On Time","Late"))</f>
        <v/>
      </c>
    </row>
    <row r="673">
      <c r="A673" s="2">
        <f>Raw_Data!A673</f>
        <v/>
      </c>
      <c r="B673" s="7">
        <f>Raw_Data!B673</f>
        <v/>
      </c>
      <c r="C673" s="2">
        <f>Raw_Data!C673</f>
        <v/>
      </c>
      <c r="D673" s="2">
        <f>Raw_Data!D673</f>
        <v/>
      </c>
      <c r="E673" s="8">
        <f>Raw_Data!F673</f>
        <v/>
      </c>
      <c r="F673" s="7">
        <f>Raw_Data!H673</f>
        <v/>
      </c>
      <c r="G673" s="7">
        <f>Raw_Data!I673</f>
        <v/>
      </c>
      <c r="H673" s="2">
        <f>Raw_Data!J673</f>
        <v/>
      </c>
      <c r="I673" s="2">
        <f>IF(G673="",0,G673-B673)</f>
        <v/>
      </c>
      <c r="J673" s="2">
        <f>IF(H673="Paid",MAX(0,G673-F673),MAX(0,DATE(2026,12,31)-F673))</f>
        <v/>
      </c>
      <c r="K673" s="8">
        <f>IF(H673="Paid",0,E673)</f>
        <v/>
      </c>
      <c r="L673" s="2">
        <f>IF(J673=0,"Current",IF(J673&lt;=30,"1-30 Days",IF(J673&lt;=60,"31-60 Days",IF(J673&lt;=90,"61-90 Days","90+ Days"))))</f>
        <v/>
      </c>
      <c r="M673" s="8">
        <f>IF(Raw_Data!K673="Yes",Raw_Data!F673*Raw_Data!L673,0)</f>
        <v/>
      </c>
      <c r="N673" s="2">
        <f>IF(H673&lt;&gt;"Paid","Outstanding",IF(J673=0,"On Time","Late"))</f>
        <v/>
      </c>
    </row>
    <row r="674">
      <c r="A674" s="2">
        <f>Raw_Data!A674</f>
        <v/>
      </c>
      <c r="B674" s="7">
        <f>Raw_Data!B674</f>
        <v/>
      </c>
      <c r="C674" s="2">
        <f>Raw_Data!C674</f>
        <v/>
      </c>
      <c r="D674" s="2">
        <f>Raw_Data!D674</f>
        <v/>
      </c>
      <c r="E674" s="8">
        <f>Raw_Data!F674</f>
        <v/>
      </c>
      <c r="F674" s="7">
        <f>Raw_Data!H674</f>
        <v/>
      </c>
      <c r="G674" s="7">
        <f>Raw_Data!I674</f>
        <v/>
      </c>
      <c r="H674" s="2">
        <f>Raw_Data!J674</f>
        <v/>
      </c>
      <c r="I674" s="2">
        <f>IF(G674="",0,G674-B674)</f>
        <v/>
      </c>
      <c r="J674" s="2">
        <f>IF(H674="Paid",MAX(0,G674-F674),MAX(0,DATE(2026,12,31)-F674))</f>
        <v/>
      </c>
      <c r="K674" s="8">
        <f>IF(H674="Paid",0,E674)</f>
        <v/>
      </c>
      <c r="L674" s="2">
        <f>IF(J674=0,"Current",IF(J674&lt;=30,"1-30 Days",IF(J674&lt;=60,"31-60 Days",IF(J674&lt;=90,"61-90 Days","90+ Days"))))</f>
        <v/>
      </c>
      <c r="M674" s="8">
        <f>IF(Raw_Data!K674="Yes",Raw_Data!F674*Raw_Data!L674,0)</f>
        <v/>
      </c>
      <c r="N674" s="2">
        <f>IF(H674&lt;&gt;"Paid","Outstanding",IF(J674=0,"On Time","Late"))</f>
        <v/>
      </c>
    </row>
    <row r="675">
      <c r="A675" s="2">
        <f>Raw_Data!A675</f>
        <v/>
      </c>
      <c r="B675" s="7">
        <f>Raw_Data!B675</f>
        <v/>
      </c>
      <c r="C675" s="2">
        <f>Raw_Data!C675</f>
        <v/>
      </c>
      <c r="D675" s="2">
        <f>Raw_Data!D675</f>
        <v/>
      </c>
      <c r="E675" s="8">
        <f>Raw_Data!F675</f>
        <v/>
      </c>
      <c r="F675" s="7">
        <f>Raw_Data!H675</f>
        <v/>
      </c>
      <c r="G675" s="7">
        <f>Raw_Data!I675</f>
        <v/>
      </c>
      <c r="H675" s="2">
        <f>Raw_Data!J675</f>
        <v/>
      </c>
      <c r="I675" s="2">
        <f>IF(G675="",0,G675-B675)</f>
        <v/>
      </c>
      <c r="J675" s="2">
        <f>IF(H675="Paid",MAX(0,G675-F675),MAX(0,DATE(2026,12,31)-F675))</f>
        <v/>
      </c>
      <c r="K675" s="8">
        <f>IF(H675="Paid",0,E675)</f>
        <v/>
      </c>
      <c r="L675" s="2">
        <f>IF(J675=0,"Current",IF(J675&lt;=30,"1-30 Days",IF(J675&lt;=60,"31-60 Days",IF(J675&lt;=90,"61-90 Days","90+ Days"))))</f>
        <v/>
      </c>
      <c r="M675" s="8">
        <f>IF(Raw_Data!K675="Yes",Raw_Data!F675*Raw_Data!L675,0)</f>
        <v/>
      </c>
      <c r="N675" s="2">
        <f>IF(H675&lt;&gt;"Paid","Outstanding",IF(J675=0,"On Time","Late"))</f>
        <v/>
      </c>
    </row>
    <row r="676">
      <c r="A676" s="2">
        <f>Raw_Data!A676</f>
        <v/>
      </c>
      <c r="B676" s="7">
        <f>Raw_Data!B676</f>
        <v/>
      </c>
      <c r="C676" s="2">
        <f>Raw_Data!C676</f>
        <v/>
      </c>
      <c r="D676" s="2">
        <f>Raw_Data!D676</f>
        <v/>
      </c>
      <c r="E676" s="8">
        <f>Raw_Data!F676</f>
        <v/>
      </c>
      <c r="F676" s="7">
        <f>Raw_Data!H676</f>
        <v/>
      </c>
      <c r="G676" s="7">
        <f>Raw_Data!I676</f>
        <v/>
      </c>
      <c r="H676" s="2">
        <f>Raw_Data!J676</f>
        <v/>
      </c>
      <c r="I676" s="2">
        <f>IF(G676="",0,G676-B676)</f>
        <v/>
      </c>
      <c r="J676" s="2">
        <f>IF(H676="Paid",MAX(0,G676-F676),MAX(0,DATE(2026,12,31)-F676))</f>
        <v/>
      </c>
      <c r="K676" s="8">
        <f>IF(H676="Paid",0,E676)</f>
        <v/>
      </c>
      <c r="L676" s="2">
        <f>IF(J676=0,"Current",IF(J676&lt;=30,"1-30 Days",IF(J676&lt;=60,"31-60 Days",IF(J676&lt;=90,"61-90 Days","90+ Days"))))</f>
        <v/>
      </c>
      <c r="M676" s="8">
        <f>IF(Raw_Data!K676="Yes",Raw_Data!F676*Raw_Data!L676,0)</f>
        <v/>
      </c>
      <c r="N676" s="2">
        <f>IF(H676&lt;&gt;"Paid","Outstanding",IF(J676=0,"On Time","Late"))</f>
        <v/>
      </c>
    </row>
    <row r="677">
      <c r="A677" s="2">
        <f>Raw_Data!A677</f>
        <v/>
      </c>
      <c r="B677" s="7">
        <f>Raw_Data!B677</f>
        <v/>
      </c>
      <c r="C677" s="2">
        <f>Raw_Data!C677</f>
        <v/>
      </c>
      <c r="D677" s="2">
        <f>Raw_Data!D677</f>
        <v/>
      </c>
      <c r="E677" s="8">
        <f>Raw_Data!F677</f>
        <v/>
      </c>
      <c r="F677" s="7">
        <f>Raw_Data!H677</f>
        <v/>
      </c>
      <c r="G677" s="7">
        <f>Raw_Data!I677</f>
        <v/>
      </c>
      <c r="H677" s="2">
        <f>Raw_Data!J677</f>
        <v/>
      </c>
      <c r="I677" s="2">
        <f>IF(G677="",0,G677-B677)</f>
        <v/>
      </c>
      <c r="J677" s="2">
        <f>IF(H677="Paid",MAX(0,G677-F677),MAX(0,DATE(2026,12,31)-F677))</f>
        <v/>
      </c>
      <c r="K677" s="8">
        <f>IF(H677="Paid",0,E677)</f>
        <v/>
      </c>
      <c r="L677" s="2">
        <f>IF(J677=0,"Current",IF(J677&lt;=30,"1-30 Days",IF(J677&lt;=60,"31-60 Days",IF(J677&lt;=90,"61-90 Days","90+ Days"))))</f>
        <v/>
      </c>
      <c r="M677" s="8">
        <f>IF(Raw_Data!K677="Yes",Raw_Data!F677*Raw_Data!L677,0)</f>
        <v/>
      </c>
      <c r="N677" s="2">
        <f>IF(H677&lt;&gt;"Paid","Outstanding",IF(J677=0,"On Time","Late"))</f>
        <v/>
      </c>
    </row>
    <row r="678">
      <c r="A678" s="2">
        <f>Raw_Data!A678</f>
        <v/>
      </c>
      <c r="B678" s="7">
        <f>Raw_Data!B678</f>
        <v/>
      </c>
      <c r="C678" s="2">
        <f>Raw_Data!C678</f>
        <v/>
      </c>
      <c r="D678" s="2">
        <f>Raw_Data!D678</f>
        <v/>
      </c>
      <c r="E678" s="8">
        <f>Raw_Data!F678</f>
        <v/>
      </c>
      <c r="F678" s="7">
        <f>Raw_Data!H678</f>
        <v/>
      </c>
      <c r="G678" s="7">
        <f>Raw_Data!I678</f>
        <v/>
      </c>
      <c r="H678" s="2">
        <f>Raw_Data!J678</f>
        <v/>
      </c>
      <c r="I678" s="2">
        <f>IF(G678="",0,G678-B678)</f>
        <v/>
      </c>
      <c r="J678" s="2">
        <f>IF(H678="Paid",MAX(0,G678-F678),MAX(0,DATE(2026,12,31)-F678))</f>
        <v/>
      </c>
      <c r="K678" s="8">
        <f>IF(H678="Paid",0,E678)</f>
        <v/>
      </c>
      <c r="L678" s="2">
        <f>IF(J678=0,"Current",IF(J678&lt;=30,"1-30 Days",IF(J678&lt;=60,"31-60 Days",IF(J678&lt;=90,"61-90 Days","90+ Days"))))</f>
        <v/>
      </c>
      <c r="M678" s="8">
        <f>IF(Raw_Data!K678="Yes",Raw_Data!F678*Raw_Data!L678,0)</f>
        <v/>
      </c>
      <c r="N678" s="2">
        <f>IF(H678&lt;&gt;"Paid","Outstanding",IF(J678=0,"On Time","Late"))</f>
        <v/>
      </c>
    </row>
    <row r="679">
      <c r="A679" s="2">
        <f>Raw_Data!A679</f>
        <v/>
      </c>
      <c r="B679" s="7">
        <f>Raw_Data!B679</f>
        <v/>
      </c>
      <c r="C679" s="2">
        <f>Raw_Data!C679</f>
        <v/>
      </c>
      <c r="D679" s="2">
        <f>Raw_Data!D679</f>
        <v/>
      </c>
      <c r="E679" s="8">
        <f>Raw_Data!F679</f>
        <v/>
      </c>
      <c r="F679" s="7">
        <f>Raw_Data!H679</f>
        <v/>
      </c>
      <c r="G679" s="7">
        <f>Raw_Data!I679</f>
        <v/>
      </c>
      <c r="H679" s="2">
        <f>Raw_Data!J679</f>
        <v/>
      </c>
      <c r="I679" s="2">
        <f>IF(G679="",0,G679-B679)</f>
        <v/>
      </c>
      <c r="J679" s="2">
        <f>IF(H679="Paid",MAX(0,G679-F679),MAX(0,DATE(2026,12,31)-F679))</f>
        <v/>
      </c>
      <c r="K679" s="8">
        <f>IF(H679="Paid",0,E679)</f>
        <v/>
      </c>
      <c r="L679" s="2">
        <f>IF(J679=0,"Current",IF(J679&lt;=30,"1-30 Days",IF(J679&lt;=60,"31-60 Days",IF(J679&lt;=90,"61-90 Days","90+ Days"))))</f>
        <v/>
      </c>
      <c r="M679" s="8">
        <f>IF(Raw_Data!K679="Yes",Raw_Data!F679*Raw_Data!L679,0)</f>
        <v/>
      </c>
      <c r="N679" s="2">
        <f>IF(H679&lt;&gt;"Paid","Outstanding",IF(J679=0,"On Time","Late"))</f>
        <v/>
      </c>
    </row>
    <row r="680">
      <c r="A680" s="2">
        <f>Raw_Data!A680</f>
        <v/>
      </c>
      <c r="B680" s="7">
        <f>Raw_Data!B680</f>
        <v/>
      </c>
      <c r="C680" s="2">
        <f>Raw_Data!C680</f>
        <v/>
      </c>
      <c r="D680" s="2">
        <f>Raw_Data!D680</f>
        <v/>
      </c>
      <c r="E680" s="8">
        <f>Raw_Data!F680</f>
        <v/>
      </c>
      <c r="F680" s="7">
        <f>Raw_Data!H680</f>
        <v/>
      </c>
      <c r="G680" s="7">
        <f>Raw_Data!I680</f>
        <v/>
      </c>
      <c r="H680" s="2">
        <f>Raw_Data!J680</f>
        <v/>
      </c>
      <c r="I680" s="2">
        <f>IF(G680="",0,G680-B680)</f>
        <v/>
      </c>
      <c r="J680" s="2">
        <f>IF(H680="Paid",MAX(0,G680-F680),MAX(0,DATE(2026,12,31)-F680))</f>
        <v/>
      </c>
      <c r="K680" s="8">
        <f>IF(H680="Paid",0,E680)</f>
        <v/>
      </c>
      <c r="L680" s="2">
        <f>IF(J680=0,"Current",IF(J680&lt;=30,"1-30 Days",IF(J680&lt;=60,"31-60 Days",IF(J680&lt;=90,"61-90 Days","90+ Days"))))</f>
        <v/>
      </c>
      <c r="M680" s="8">
        <f>IF(Raw_Data!K680="Yes",Raw_Data!F680*Raw_Data!L680,0)</f>
        <v/>
      </c>
      <c r="N680" s="2">
        <f>IF(H680&lt;&gt;"Paid","Outstanding",IF(J680=0,"On Time","Late"))</f>
        <v/>
      </c>
    </row>
    <row r="681">
      <c r="A681" s="2">
        <f>Raw_Data!A681</f>
        <v/>
      </c>
      <c r="B681" s="7">
        <f>Raw_Data!B681</f>
        <v/>
      </c>
      <c r="C681" s="2">
        <f>Raw_Data!C681</f>
        <v/>
      </c>
      <c r="D681" s="2">
        <f>Raw_Data!D681</f>
        <v/>
      </c>
      <c r="E681" s="8">
        <f>Raw_Data!F681</f>
        <v/>
      </c>
      <c r="F681" s="7">
        <f>Raw_Data!H681</f>
        <v/>
      </c>
      <c r="G681" s="7">
        <f>Raw_Data!I681</f>
        <v/>
      </c>
      <c r="H681" s="2">
        <f>Raw_Data!J681</f>
        <v/>
      </c>
      <c r="I681" s="2">
        <f>IF(G681="",0,G681-B681)</f>
        <v/>
      </c>
      <c r="J681" s="2">
        <f>IF(H681="Paid",MAX(0,G681-F681),MAX(0,DATE(2026,12,31)-F681))</f>
        <v/>
      </c>
      <c r="K681" s="8">
        <f>IF(H681="Paid",0,E681)</f>
        <v/>
      </c>
      <c r="L681" s="2">
        <f>IF(J681=0,"Current",IF(J681&lt;=30,"1-30 Days",IF(J681&lt;=60,"31-60 Days",IF(J681&lt;=90,"61-90 Days","90+ Days"))))</f>
        <v/>
      </c>
      <c r="M681" s="8">
        <f>IF(Raw_Data!K681="Yes",Raw_Data!F681*Raw_Data!L681,0)</f>
        <v/>
      </c>
      <c r="N681" s="2">
        <f>IF(H681&lt;&gt;"Paid","Outstanding",IF(J681=0,"On Time","Late"))</f>
        <v/>
      </c>
    </row>
    <row r="682">
      <c r="A682" s="2">
        <f>Raw_Data!A682</f>
        <v/>
      </c>
      <c r="B682" s="7">
        <f>Raw_Data!B682</f>
        <v/>
      </c>
      <c r="C682" s="2">
        <f>Raw_Data!C682</f>
        <v/>
      </c>
      <c r="D682" s="2">
        <f>Raw_Data!D682</f>
        <v/>
      </c>
      <c r="E682" s="8">
        <f>Raw_Data!F682</f>
        <v/>
      </c>
      <c r="F682" s="7">
        <f>Raw_Data!H682</f>
        <v/>
      </c>
      <c r="G682" s="7">
        <f>Raw_Data!I682</f>
        <v/>
      </c>
      <c r="H682" s="2">
        <f>Raw_Data!J682</f>
        <v/>
      </c>
      <c r="I682" s="2">
        <f>IF(G682="",0,G682-B682)</f>
        <v/>
      </c>
      <c r="J682" s="2">
        <f>IF(H682="Paid",MAX(0,G682-F682),MAX(0,DATE(2026,12,31)-F682))</f>
        <v/>
      </c>
      <c r="K682" s="8">
        <f>IF(H682="Paid",0,E682)</f>
        <v/>
      </c>
      <c r="L682" s="2">
        <f>IF(J682=0,"Current",IF(J682&lt;=30,"1-30 Days",IF(J682&lt;=60,"31-60 Days",IF(J682&lt;=90,"61-90 Days","90+ Days"))))</f>
        <v/>
      </c>
      <c r="M682" s="8">
        <f>IF(Raw_Data!K682="Yes",Raw_Data!F682*Raw_Data!L682,0)</f>
        <v/>
      </c>
      <c r="N682" s="2">
        <f>IF(H682&lt;&gt;"Paid","Outstanding",IF(J682=0,"On Time","Late"))</f>
        <v/>
      </c>
    </row>
    <row r="683">
      <c r="A683" s="2">
        <f>Raw_Data!A683</f>
        <v/>
      </c>
      <c r="B683" s="7">
        <f>Raw_Data!B683</f>
        <v/>
      </c>
      <c r="C683" s="2">
        <f>Raw_Data!C683</f>
        <v/>
      </c>
      <c r="D683" s="2">
        <f>Raw_Data!D683</f>
        <v/>
      </c>
      <c r="E683" s="8">
        <f>Raw_Data!F683</f>
        <v/>
      </c>
      <c r="F683" s="7">
        <f>Raw_Data!H683</f>
        <v/>
      </c>
      <c r="G683" s="7">
        <f>Raw_Data!I683</f>
        <v/>
      </c>
      <c r="H683" s="2">
        <f>Raw_Data!J683</f>
        <v/>
      </c>
      <c r="I683" s="2">
        <f>IF(G683="",0,G683-B683)</f>
        <v/>
      </c>
      <c r="J683" s="2">
        <f>IF(H683="Paid",MAX(0,G683-F683),MAX(0,DATE(2026,12,31)-F683))</f>
        <v/>
      </c>
      <c r="K683" s="8">
        <f>IF(H683="Paid",0,E683)</f>
        <v/>
      </c>
      <c r="L683" s="2">
        <f>IF(J683=0,"Current",IF(J683&lt;=30,"1-30 Days",IF(J683&lt;=60,"31-60 Days",IF(J683&lt;=90,"61-90 Days","90+ Days"))))</f>
        <v/>
      </c>
      <c r="M683" s="8">
        <f>IF(Raw_Data!K683="Yes",Raw_Data!F683*Raw_Data!L683,0)</f>
        <v/>
      </c>
      <c r="N683" s="2">
        <f>IF(H683&lt;&gt;"Paid","Outstanding",IF(J683=0,"On Time","Late"))</f>
        <v/>
      </c>
    </row>
    <row r="684">
      <c r="A684" s="2">
        <f>Raw_Data!A684</f>
        <v/>
      </c>
      <c r="B684" s="7">
        <f>Raw_Data!B684</f>
        <v/>
      </c>
      <c r="C684" s="2">
        <f>Raw_Data!C684</f>
        <v/>
      </c>
      <c r="D684" s="2">
        <f>Raw_Data!D684</f>
        <v/>
      </c>
      <c r="E684" s="8">
        <f>Raw_Data!F684</f>
        <v/>
      </c>
      <c r="F684" s="7">
        <f>Raw_Data!H684</f>
        <v/>
      </c>
      <c r="G684" s="7">
        <f>Raw_Data!I684</f>
        <v/>
      </c>
      <c r="H684" s="2">
        <f>Raw_Data!J684</f>
        <v/>
      </c>
      <c r="I684" s="2">
        <f>IF(G684="",0,G684-B684)</f>
        <v/>
      </c>
      <c r="J684" s="2">
        <f>IF(H684="Paid",MAX(0,G684-F684),MAX(0,DATE(2026,12,31)-F684))</f>
        <v/>
      </c>
      <c r="K684" s="8">
        <f>IF(H684="Paid",0,E684)</f>
        <v/>
      </c>
      <c r="L684" s="2">
        <f>IF(J684=0,"Current",IF(J684&lt;=30,"1-30 Days",IF(J684&lt;=60,"31-60 Days",IF(J684&lt;=90,"61-90 Days","90+ Days"))))</f>
        <v/>
      </c>
      <c r="M684" s="8">
        <f>IF(Raw_Data!K684="Yes",Raw_Data!F684*Raw_Data!L684,0)</f>
        <v/>
      </c>
      <c r="N684" s="2">
        <f>IF(H684&lt;&gt;"Paid","Outstanding",IF(J684=0,"On Time","Late"))</f>
        <v/>
      </c>
    </row>
    <row r="685">
      <c r="A685" s="2">
        <f>Raw_Data!A685</f>
        <v/>
      </c>
      <c r="B685" s="7">
        <f>Raw_Data!B685</f>
        <v/>
      </c>
      <c r="C685" s="2">
        <f>Raw_Data!C685</f>
        <v/>
      </c>
      <c r="D685" s="2">
        <f>Raw_Data!D685</f>
        <v/>
      </c>
      <c r="E685" s="8">
        <f>Raw_Data!F685</f>
        <v/>
      </c>
      <c r="F685" s="7">
        <f>Raw_Data!H685</f>
        <v/>
      </c>
      <c r="G685" s="7">
        <f>Raw_Data!I685</f>
        <v/>
      </c>
      <c r="H685" s="2">
        <f>Raw_Data!J685</f>
        <v/>
      </c>
      <c r="I685" s="2">
        <f>IF(G685="",0,G685-B685)</f>
        <v/>
      </c>
      <c r="J685" s="2">
        <f>IF(H685="Paid",MAX(0,G685-F685),MAX(0,DATE(2026,12,31)-F685))</f>
        <v/>
      </c>
      <c r="K685" s="8">
        <f>IF(H685="Paid",0,E685)</f>
        <v/>
      </c>
      <c r="L685" s="2">
        <f>IF(J685=0,"Current",IF(J685&lt;=30,"1-30 Days",IF(J685&lt;=60,"31-60 Days",IF(J685&lt;=90,"61-90 Days","90+ Days"))))</f>
        <v/>
      </c>
      <c r="M685" s="8">
        <f>IF(Raw_Data!K685="Yes",Raw_Data!F685*Raw_Data!L685,0)</f>
        <v/>
      </c>
      <c r="N685" s="2">
        <f>IF(H685&lt;&gt;"Paid","Outstanding",IF(J685=0,"On Time","Late"))</f>
        <v/>
      </c>
    </row>
    <row r="686">
      <c r="A686" s="2">
        <f>Raw_Data!A686</f>
        <v/>
      </c>
      <c r="B686" s="7">
        <f>Raw_Data!B686</f>
        <v/>
      </c>
      <c r="C686" s="2">
        <f>Raw_Data!C686</f>
        <v/>
      </c>
      <c r="D686" s="2">
        <f>Raw_Data!D686</f>
        <v/>
      </c>
      <c r="E686" s="8">
        <f>Raw_Data!F686</f>
        <v/>
      </c>
      <c r="F686" s="7">
        <f>Raw_Data!H686</f>
        <v/>
      </c>
      <c r="G686" s="7">
        <f>Raw_Data!I686</f>
        <v/>
      </c>
      <c r="H686" s="2">
        <f>Raw_Data!J686</f>
        <v/>
      </c>
      <c r="I686" s="2">
        <f>IF(G686="",0,G686-B686)</f>
        <v/>
      </c>
      <c r="J686" s="2">
        <f>IF(H686="Paid",MAX(0,G686-F686),MAX(0,DATE(2026,12,31)-F686))</f>
        <v/>
      </c>
      <c r="K686" s="8">
        <f>IF(H686="Paid",0,E686)</f>
        <v/>
      </c>
      <c r="L686" s="2">
        <f>IF(J686=0,"Current",IF(J686&lt;=30,"1-30 Days",IF(J686&lt;=60,"31-60 Days",IF(J686&lt;=90,"61-90 Days","90+ Days"))))</f>
        <v/>
      </c>
      <c r="M686" s="8">
        <f>IF(Raw_Data!K686="Yes",Raw_Data!F686*Raw_Data!L686,0)</f>
        <v/>
      </c>
      <c r="N686" s="2">
        <f>IF(H686&lt;&gt;"Paid","Outstanding",IF(J686=0,"On Time","Late"))</f>
        <v/>
      </c>
    </row>
    <row r="687">
      <c r="A687" s="2">
        <f>Raw_Data!A687</f>
        <v/>
      </c>
      <c r="B687" s="7">
        <f>Raw_Data!B687</f>
        <v/>
      </c>
      <c r="C687" s="2">
        <f>Raw_Data!C687</f>
        <v/>
      </c>
      <c r="D687" s="2">
        <f>Raw_Data!D687</f>
        <v/>
      </c>
      <c r="E687" s="8">
        <f>Raw_Data!F687</f>
        <v/>
      </c>
      <c r="F687" s="7">
        <f>Raw_Data!H687</f>
        <v/>
      </c>
      <c r="G687" s="7">
        <f>Raw_Data!I687</f>
        <v/>
      </c>
      <c r="H687" s="2">
        <f>Raw_Data!J687</f>
        <v/>
      </c>
      <c r="I687" s="2">
        <f>IF(G687="",0,G687-B687)</f>
        <v/>
      </c>
      <c r="J687" s="2">
        <f>IF(H687="Paid",MAX(0,G687-F687),MAX(0,DATE(2026,12,31)-F687))</f>
        <v/>
      </c>
      <c r="K687" s="8">
        <f>IF(H687="Paid",0,E687)</f>
        <v/>
      </c>
      <c r="L687" s="2">
        <f>IF(J687=0,"Current",IF(J687&lt;=30,"1-30 Days",IF(J687&lt;=60,"31-60 Days",IF(J687&lt;=90,"61-90 Days","90+ Days"))))</f>
        <v/>
      </c>
      <c r="M687" s="8">
        <f>IF(Raw_Data!K687="Yes",Raw_Data!F687*Raw_Data!L687,0)</f>
        <v/>
      </c>
      <c r="N687" s="2">
        <f>IF(H687&lt;&gt;"Paid","Outstanding",IF(J687=0,"On Time","Late"))</f>
        <v/>
      </c>
    </row>
    <row r="688">
      <c r="A688" s="2">
        <f>Raw_Data!A688</f>
        <v/>
      </c>
      <c r="B688" s="7">
        <f>Raw_Data!B688</f>
        <v/>
      </c>
      <c r="C688" s="2">
        <f>Raw_Data!C688</f>
        <v/>
      </c>
      <c r="D688" s="2">
        <f>Raw_Data!D688</f>
        <v/>
      </c>
      <c r="E688" s="8">
        <f>Raw_Data!F688</f>
        <v/>
      </c>
      <c r="F688" s="7">
        <f>Raw_Data!H688</f>
        <v/>
      </c>
      <c r="G688" s="7">
        <f>Raw_Data!I688</f>
        <v/>
      </c>
      <c r="H688" s="2">
        <f>Raw_Data!J688</f>
        <v/>
      </c>
      <c r="I688" s="2">
        <f>IF(G688="",0,G688-B688)</f>
        <v/>
      </c>
      <c r="J688" s="2">
        <f>IF(H688="Paid",MAX(0,G688-F688),MAX(0,DATE(2026,12,31)-F688))</f>
        <v/>
      </c>
      <c r="K688" s="8">
        <f>IF(H688="Paid",0,E688)</f>
        <v/>
      </c>
      <c r="L688" s="2">
        <f>IF(J688=0,"Current",IF(J688&lt;=30,"1-30 Days",IF(J688&lt;=60,"31-60 Days",IF(J688&lt;=90,"61-90 Days","90+ Days"))))</f>
        <v/>
      </c>
      <c r="M688" s="8">
        <f>IF(Raw_Data!K688="Yes",Raw_Data!F688*Raw_Data!L688,0)</f>
        <v/>
      </c>
      <c r="N688" s="2">
        <f>IF(H688&lt;&gt;"Paid","Outstanding",IF(J688=0,"On Time","Late"))</f>
        <v/>
      </c>
    </row>
    <row r="689">
      <c r="A689" s="2">
        <f>Raw_Data!A689</f>
        <v/>
      </c>
      <c r="B689" s="7">
        <f>Raw_Data!B689</f>
        <v/>
      </c>
      <c r="C689" s="2">
        <f>Raw_Data!C689</f>
        <v/>
      </c>
      <c r="D689" s="2">
        <f>Raw_Data!D689</f>
        <v/>
      </c>
      <c r="E689" s="8">
        <f>Raw_Data!F689</f>
        <v/>
      </c>
      <c r="F689" s="7">
        <f>Raw_Data!H689</f>
        <v/>
      </c>
      <c r="G689" s="7">
        <f>Raw_Data!I689</f>
        <v/>
      </c>
      <c r="H689" s="2">
        <f>Raw_Data!J689</f>
        <v/>
      </c>
      <c r="I689" s="2">
        <f>IF(G689="",0,G689-B689)</f>
        <v/>
      </c>
      <c r="J689" s="2">
        <f>IF(H689="Paid",MAX(0,G689-F689),MAX(0,DATE(2026,12,31)-F689))</f>
        <v/>
      </c>
      <c r="K689" s="8">
        <f>IF(H689="Paid",0,E689)</f>
        <v/>
      </c>
      <c r="L689" s="2">
        <f>IF(J689=0,"Current",IF(J689&lt;=30,"1-30 Days",IF(J689&lt;=60,"31-60 Days",IF(J689&lt;=90,"61-90 Days","90+ Days"))))</f>
        <v/>
      </c>
      <c r="M689" s="8">
        <f>IF(Raw_Data!K689="Yes",Raw_Data!F689*Raw_Data!L689,0)</f>
        <v/>
      </c>
      <c r="N689" s="2">
        <f>IF(H689&lt;&gt;"Paid","Outstanding",IF(J689=0,"On Time","Late"))</f>
        <v/>
      </c>
    </row>
    <row r="690">
      <c r="A690" s="2">
        <f>Raw_Data!A690</f>
        <v/>
      </c>
      <c r="B690" s="7">
        <f>Raw_Data!B690</f>
        <v/>
      </c>
      <c r="C690" s="2">
        <f>Raw_Data!C690</f>
        <v/>
      </c>
      <c r="D690" s="2">
        <f>Raw_Data!D690</f>
        <v/>
      </c>
      <c r="E690" s="8">
        <f>Raw_Data!F690</f>
        <v/>
      </c>
      <c r="F690" s="7">
        <f>Raw_Data!H690</f>
        <v/>
      </c>
      <c r="G690" s="7">
        <f>Raw_Data!I690</f>
        <v/>
      </c>
      <c r="H690" s="2">
        <f>Raw_Data!J690</f>
        <v/>
      </c>
      <c r="I690" s="2">
        <f>IF(G690="",0,G690-B690)</f>
        <v/>
      </c>
      <c r="J690" s="2">
        <f>IF(H690="Paid",MAX(0,G690-F690),MAX(0,DATE(2026,12,31)-F690))</f>
        <v/>
      </c>
      <c r="K690" s="8">
        <f>IF(H690="Paid",0,E690)</f>
        <v/>
      </c>
      <c r="L690" s="2">
        <f>IF(J690=0,"Current",IF(J690&lt;=30,"1-30 Days",IF(J690&lt;=60,"31-60 Days",IF(J690&lt;=90,"61-90 Days","90+ Days"))))</f>
        <v/>
      </c>
      <c r="M690" s="8">
        <f>IF(Raw_Data!K690="Yes",Raw_Data!F690*Raw_Data!L690,0)</f>
        <v/>
      </c>
      <c r="N690" s="2">
        <f>IF(H690&lt;&gt;"Paid","Outstanding",IF(J690=0,"On Time","Late"))</f>
        <v/>
      </c>
    </row>
    <row r="691">
      <c r="A691" s="2">
        <f>Raw_Data!A691</f>
        <v/>
      </c>
      <c r="B691" s="7">
        <f>Raw_Data!B691</f>
        <v/>
      </c>
      <c r="C691" s="2">
        <f>Raw_Data!C691</f>
        <v/>
      </c>
      <c r="D691" s="2">
        <f>Raw_Data!D691</f>
        <v/>
      </c>
      <c r="E691" s="8">
        <f>Raw_Data!F691</f>
        <v/>
      </c>
      <c r="F691" s="7">
        <f>Raw_Data!H691</f>
        <v/>
      </c>
      <c r="G691" s="7">
        <f>Raw_Data!I691</f>
        <v/>
      </c>
      <c r="H691" s="2">
        <f>Raw_Data!J691</f>
        <v/>
      </c>
      <c r="I691" s="2">
        <f>IF(G691="",0,G691-B691)</f>
        <v/>
      </c>
      <c r="J691" s="2">
        <f>IF(H691="Paid",MAX(0,G691-F691),MAX(0,DATE(2026,12,31)-F691))</f>
        <v/>
      </c>
      <c r="K691" s="8">
        <f>IF(H691="Paid",0,E691)</f>
        <v/>
      </c>
      <c r="L691" s="2">
        <f>IF(J691=0,"Current",IF(J691&lt;=30,"1-30 Days",IF(J691&lt;=60,"31-60 Days",IF(J691&lt;=90,"61-90 Days","90+ Days"))))</f>
        <v/>
      </c>
      <c r="M691" s="8">
        <f>IF(Raw_Data!K691="Yes",Raw_Data!F691*Raw_Data!L691,0)</f>
        <v/>
      </c>
      <c r="N691" s="2">
        <f>IF(H691&lt;&gt;"Paid","Outstanding",IF(J691=0,"On Time","Late"))</f>
        <v/>
      </c>
    </row>
    <row r="692">
      <c r="A692" s="2">
        <f>Raw_Data!A692</f>
        <v/>
      </c>
      <c r="B692" s="7">
        <f>Raw_Data!B692</f>
        <v/>
      </c>
      <c r="C692" s="2">
        <f>Raw_Data!C692</f>
        <v/>
      </c>
      <c r="D692" s="2">
        <f>Raw_Data!D692</f>
        <v/>
      </c>
      <c r="E692" s="8">
        <f>Raw_Data!F692</f>
        <v/>
      </c>
      <c r="F692" s="7">
        <f>Raw_Data!H692</f>
        <v/>
      </c>
      <c r="G692" s="7">
        <f>Raw_Data!I692</f>
        <v/>
      </c>
      <c r="H692" s="2">
        <f>Raw_Data!J692</f>
        <v/>
      </c>
      <c r="I692" s="2">
        <f>IF(G692="",0,G692-B692)</f>
        <v/>
      </c>
      <c r="J692" s="2">
        <f>IF(H692="Paid",MAX(0,G692-F692),MAX(0,DATE(2026,12,31)-F692))</f>
        <v/>
      </c>
      <c r="K692" s="8">
        <f>IF(H692="Paid",0,E692)</f>
        <v/>
      </c>
      <c r="L692" s="2">
        <f>IF(J692=0,"Current",IF(J692&lt;=30,"1-30 Days",IF(J692&lt;=60,"31-60 Days",IF(J692&lt;=90,"61-90 Days","90+ Days"))))</f>
        <v/>
      </c>
      <c r="M692" s="8">
        <f>IF(Raw_Data!K692="Yes",Raw_Data!F692*Raw_Data!L692,0)</f>
        <v/>
      </c>
      <c r="N692" s="2">
        <f>IF(H692&lt;&gt;"Paid","Outstanding",IF(J692=0,"On Time","Late"))</f>
        <v/>
      </c>
    </row>
    <row r="693">
      <c r="A693" s="2">
        <f>Raw_Data!A693</f>
        <v/>
      </c>
      <c r="B693" s="7">
        <f>Raw_Data!B693</f>
        <v/>
      </c>
      <c r="C693" s="2">
        <f>Raw_Data!C693</f>
        <v/>
      </c>
      <c r="D693" s="2">
        <f>Raw_Data!D693</f>
        <v/>
      </c>
      <c r="E693" s="8">
        <f>Raw_Data!F693</f>
        <v/>
      </c>
      <c r="F693" s="7">
        <f>Raw_Data!H693</f>
        <v/>
      </c>
      <c r="G693" s="7">
        <f>Raw_Data!I693</f>
        <v/>
      </c>
      <c r="H693" s="2">
        <f>Raw_Data!J693</f>
        <v/>
      </c>
      <c r="I693" s="2">
        <f>IF(G693="",0,G693-B693)</f>
        <v/>
      </c>
      <c r="J693" s="2">
        <f>IF(H693="Paid",MAX(0,G693-F693),MAX(0,DATE(2026,12,31)-F693))</f>
        <v/>
      </c>
      <c r="K693" s="8">
        <f>IF(H693="Paid",0,E693)</f>
        <v/>
      </c>
      <c r="L693" s="2">
        <f>IF(J693=0,"Current",IF(J693&lt;=30,"1-30 Days",IF(J693&lt;=60,"31-60 Days",IF(J693&lt;=90,"61-90 Days","90+ Days"))))</f>
        <v/>
      </c>
      <c r="M693" s="8">
        <f>IF(Raw_Data!K693="Yes",Raw_Data!F693*Raw_Data!L693,0)</f>
        <v/>
      </c>
      <c r="N693" s="2">
        <f>IF(H693&lt;&gt;"Paid","Outstanding",IF(J693=0,"On Time","Late"))</f>
        <v/>
      </c>
    </row>
    <row r="694">
      <c r="A694" s="2">
        <f>Raw_Data!A694</f>
        <v/>
      </c>
      <c r="B694" s="7">
        <f>Raw_Data!B694</f>
        <v/>
      </c>
      <c r="C694" s="2">
        <f>Raw_Data!C694</f>
        <v/>
      </c>
      <c r="D694" s="2">
        <f>Raw_Data!D694</f>
        <v/>
      </c>
      <c r="E694" s="8">
        <f>Raw_Data!F694</f>
        <v/>
      </c>
      <c r="F694" s="7">
        <f>Raw_Data!H694</f>
        <v/>
      </c>
      <c r="G694" s="7">
        <f>Raw_Data!I694</f>
        <v/>
      </c>
      <c r="H694" s="2">
        <f>Raw_Data!J694</f>
        <v/>
      </c>
      <c r="I694" s="2">
        <f>IF(G694="",0,G694-B694)</f>
        <v/>
      </c>
      <c r="J694" s="2">
        <f>IF(H694="Paid",MAX(0,G694-F694),MAX(0,DATE(2026,12,31)-F694))</f>
        <v/>
      </c>
      <c r="K694" s="8">
        <f>IF(H694="Paid",0,E694)</f>
        <v/>
      </c>
      <c r="L694" s="2">
        <f>IF(J694=0,"Current",IF(J694&lt;=30,"1-30 Days",IF(J694&lt;=60,"31-60 Days",IF(J694&lt;=90,"61-90 Days","90+ Days"))))</f>
        <v/>
      </c>
      <c r="M694" s="8">
        <f>IF(Raw_Data!K694="Yes",Raw_Data!F694*Raw_Data!L694,0)</f>
        <v/>
      </c>
      <c r="N694" s="2">
        <f>IF(H694&lt;&gt;"Paid","Outstanding",IF(J694=0,"On Time","Late"))</f>
        <v/>
      </c>
    </row>
    <row r="695">
      <c r="A695" s="2">
        <f>Raw_Data!A695</f>
        <v/>
      </c>
      <c r="B695" s="7">
        <f>Raw_Data!B695</f>
        <v/>
      </c>
      <c r="C695" s="2">
        <f>Raw_Data!C695</f>
        <v/>
      </c>
      <c r="D695" s="2">
        <f>Raw_Data!D695</f>
        <v/>
      </c>
      <c r="E695" s="8">
        <f>Raw_Data!F695</f>
        <v/>
      </c>
      <c r="F695" s="7">
        <f>Raw_Data!H695</f>
        <v/>
      </c>
      <c r="G695" s="7">
        <f>Raw_Data!I695</f>
        <v/>
      </c>
      <c r="H695" s="2">
        <f>Raw_Data!J695</f>
        <v/>
      </c>
      <c r="I695" s="2">
        <f>IF(G695="",0,G695-B695)</f>
        <v/>
      </c>
      <c r="J695" s="2">
        <f>IF(H695="Paid",MAX(0,G695-F695),MAX(0,DATE(2026,12,31)-F695))</f>
        <v/>
      </c>
      <c r="K695" s="8">
        <f>IF(H695="Paid",0,E695)</f>
        <v/>
      </c>
      <c r="L695" s="2">
        <f>IF(J695=0,"Current",IF(J695&lt;=30,"1-30 Days",IF(J695&lt;=60,"31-60 Days",IF(J695&lt;=90,"61-90 Days","90+ Days"))))</f>
        <v/>
      </c>
      <c r="M695" s="8">
        <f>IF(Raw_Data!K695="Yes",Raw_Data!F695*Raw_Data!L695,0)</f>
        <v/>
      </c>
      <c r="N695" s="2">
        <f>IF(H695&lt;&gt;"Paid","Outstanding",IF(J695=0,"On Time","Late"))</f>
        <v/>
      </c>
    </row>
    <row r="696">
      <c r="A696" s="2">
        <f>Raw_Data!A696</f>
        <v/>
      </c>
      <c r="B696" s="7">
        <f>Raw_Data!B696</f>
        <v/>
      </c>
      <c r="C696" s="2">
        <f>Raw_Data!C696</f>
        <v/>
      </c>
      <c r="D696" s="2">
        <f>Raw_Data!D696</f>
        <v/>
      </c>
      <c r="E696" s="8">
        <f>Raw_Data!F696</f>
        <v/>
      </c>
      <c r="F696" s="7">
        <f>Raw_Data!H696</f>
        <v/>
      </c>
      <c r="G696" s="7">
        <f>Raw_Data!I696</f>
        <v/>
      </c>
      <c r="H696" s="2">
        <f>Raw_Data!J696</f>
        <v/>
      </c>
      <c r="I696" s="2">
        <f>IF(G696="",0,G696-B696)</f>
        <v/>
      </c>
      <c r="J696" s="2">
        <f>IF(H696="Paid",MAX(0,G696-F696),MAX(0,DATE(2026,12,31)-F696))</f>
        <v/>
      </c>
      <c r="K696" s="8">
        <f>IF(H696="Paid",0,E696)</f>
        <v/>
      </c>
      <c r="L696" s="2">
        <f>IF(J696=0,"Current",IF(J696&lt;=30,"1-30 Days",IF(J696&lt;=60,"31-60 Days",IF(J696&lt;=90,"61-90 Days","90+ Days"))))</f>
        <v/>
      </c>
      <c r="M696" s="8">
        <f>IF(Raw_Data!K696="Yes",Raw_Data!F696*Raw_Data!L696,0)</f>
        <v/>
      </c>
      <c r="N696" s="2">
        <f>IF(H696&lt;&gt;"Paid","Outstanding",IF(J696=0,"On Time","Late"))</f>
        <v/>
      </c>
    </row>
    <row r="697">
      <c r="A697" s="2">
        <f>Raw_Data!A697</f>
        <v/>
      </c>
      <c r="B697" s="7">
        <f>Raw_Data!B697</f>
        <v/>
      </c>
      <c r="C697" s="2">
        <f>Raw_Data!C697</f>
        <v/>
      </c>
      <c r="D697" s="2">
        <f>Raw_Data!D697</f>
        <v/>
      </c>
      <c r="E697" s="8">
        <f>Raw_Data!F697</f>
        <v/>
      </c>
      <c r="F697" s="7">
        <f>Raw_Data!H697</f>
        <v/>
      </c>
      <c r="G697" s="7">
        <f>Raw_Data!I697</f>
        <v/>
      </c>
      <c r="H697" s="2">
        <f>Raw_Data!J697</f>
        <v/>
      </c>
      <c r="I697" s="2">
        <f>IF(G697="",0,G697-B697)</f>
        <v/>
      </c>
      <c r="J697" s="2">
        <f>IF(H697="Paid",MAX(0,G697-F697),MAX(0,DATE(2026,12,31)-F697))</f>
        <v/>
      </c>
      <c r="K697" s="8">
        <f>IF(H697="Paid",0,E697)</f>
        <v/>
      </c>
      <c r="L697" s="2">
        <f>IF(J697=0,"Current",IF(J697&lt;=30,"1-30 Days",IF(J697&lt;=60,"31-60 Days",IF(J697&lt;=90,"61-90 Days","90+ Days"))))</f>
        <v/>
      </c>
      <c r="M697" s="8">
        <f>IF(Raw_Data!K697="Yes",Raw_Data!F697*Raw_Data!L697,0)</f>
        <v/>
      </c>
      <c r="N697" s="2">
        <f>IF(H697&lt;&gt;"Paid","Outstanding",IF(J697=0,"On Time","Late"))</f>
        <v/>
      </c>
    </row>
    <row r="698">
      <c r="A698" s="2">
        <f>Raw_Data!A698</f>
        <v/>
      </c>
      <c r="B698" s="7">
        <f>Raw_Data!B698</f>
        <v/>
      </c>
      <c r="C698" s="2">
        <f>Raw_Data!C698</f>
        <v/>
      </c>
      <c r="D698" s="2">
        <f>Raw_Data!D698</f>
        <v/>
      </c>
      <c r="E698" s="8">
        <f>Raw_Data!F698</f>
        <v/>
      </c>
      <c r="F698" s="7">
        <f>Raw_Data!H698</f>
        <v/>
      </c>
      <c r="G698" s="7">
        <f>Raw_Data!I698</f>
        <v/>
      </c>
      <c r="H698" s="2">
        <f>Raw_Data!J698</f>
        <v/>
      </c>
      <c r="I698" s="2">
        <f>IF(G698="",0,G698-B698)</f>
        <v/>
      </c>
      <c r="J698" s="2">
        <f>IF(H698="Paid",MAX(0,G698-F698),MAX(0,DATE(2026,12,31)-F698))</f>
        <v/>
      </c>
      <c r="K698" s="8">
        <f>IF(H698="Paid",0,E698)</f>
        <v/>
      </c>
      <c r="L698" s="2">
        <f>IF(J698=0,"Current",IF(J698&lt;=30,"1-30 Days",IF(J698&lt;=60,"31-60 Days",IF(J698&lt;=90,"61-90 Days","90+ Days"))))</f>
        <v/>
      </c>
      <c r="M698" s="8">
        <f>IF(Raw_Data!K698="Yes",Raw_Data!F698*Raw_Data!L698,0)</f>
        <v/>
      </c>
      <c r="N698" s="2">
        <f>IF(H698&lt;&gt;"Paid","Outstanding",IF(J698=0,"On Time","Late"))</f>
        <v/>
      </c>
    </row>
    <row r="699">
      <c r="A699" s="2">
        <f>Raw_Data!A699</f>
        <v/>
      </c>
      <c r="B699" s="7">
        <f>Raw_Data!B699</f>
        <v/>
      </c>
      <c r="C699" s="2">
        <f>Raw_Data!C699</f>
        <v/>
      </c>
      <c r="D699" s="2">
        <f>Raw_Data!D699</f>
        <v/>
      </c>
      <c r="E699" s="8">
        <f>Raw_Data!F699</f>
        <v/>
      </c>
      <c r="F699" s="7">
        <f>Raw_Data!H699</f>
        <v/>
      </c>
      <c r="G699" s="7">
        <f>Raw_Data!I699</f>
        <v/>
      </c>
      <c r="H699" s="2">
        <f>Raw_Data!J699</f>
        <v/>
      </c>
      <c r="I699" s="2">
        <f>IF(G699="",0,G699-B699)</f>
        <v/>
      </c>
      <c r="J699" s="2">
        <f>IF(H699="Paid",MAX(0,G699-F699),MAX(0,DATE(2026,12,31)-F699))</f>
        <v/>
      </c>
      <c r="K699" s="8">
        <f>IF(H699="Paid",0,E699)</f>
        <v/>
      </c>
      <c r="L699" s="2">
        <f>IF(J699=0,"Current",IF(J699&lt;=30,"1-30 Days",IF(J699&lt;=60,"31-60 Days",IF(J699&lt;=90,"61-90 Days","90+ Days"))))</f>
        <v/>
      </c>
      <c r="M699" s="8">
        <f>IF(Raw_Data!K699="Yes",Raw_Data!F699*Raw_Data!L699,0)</f>
        <v/>
      </c>
      <c r="N699" s="2">
        <f>IF(H699&lt;&gt;"Paid","Outstanding",IF(J699=0,"On Time","Late"))</f>
        <v/>
      </c>
    </row>
    <row r="700">
      <c r="A700" s="2">
        <f>Raw_Data!A700</f>
        <v/>
      </c>
      <c r="B700" s="7">
        <f>Raw_Data!B700</f>
        <v/>
      </c>
      <c r="C700" s="2">
        <f>Raw_Data!C700</f>
        <v/>
      </c>
      <c r="D700" s="2">
        <f>Raw_Data!D700</f>
        <v/>
      </c>
      <c r="E700" s="8">
        <f>Raw_Data!F700</f>
        <v/>
      </c>
      <c r="F700" s="7">
        <f>Raw_Data!H700</f>
        <v/>
      </c>
      <c r="G700" s="7">
        <f>Raw_Data!I700</f>
        <v/>
      </c>
      <c r="H700" s="2">
        <f>Raw_Data!J700</f>
        <v/>
      </c>
      <c r="I700" s="2">
        <f>IF(G700="",0,G700-B700)</f>
        <v/>
      </c>
      <c r="J700" s="2">
        <f>IF(H700="Paid",MAX(0,G700-F700),MAX(0,DATE(2026,12,31)-F700))</f>
        <v/>
      </c>
      <c r="K700" s="8">
        <f>IF(H700="Paid",0,E700)</f>
        <v/>
      </c>
      <c r="L700" s="2">
        <f>IF(J700=0,"Current",IF(J700&lt;=30,"1-30 Days",IF(J700&lt;=60,"31-60 Days",IF(J700&lt;=90,"61-90 Days","90+ Days"))))</f>
        <v/>
      </c>
      <c r="M700" s="8">
        <f>IF(Raw_Data!K700="Yes",Raw_Data!F700*Raw_Data!L700,0)</f>
        <v/>
      </c>
      <c r="N700" s="2">
        <f>IF(H700&lt;&gt;"Paid","Outstanding",IF(J700=0,"On Time","Late"))</f>
        <v/>
      </c>
    </row>
    <row r="701">
      <c r="A701" s="2">
        <f>Raw_Data!A701</f>
        <v/>
      </c>
      <c r="B701" s="7">
        <f>Raw_Data!B701</f>
        <v/>
      </c>
      <c r="C701" s="2">
        <f>Raw_Data!C701</f>
        <v/>
      </c>
      <c r="D701" s="2">
        <f>Raw_Data!D701</f>
        <v/>
      </c>
      <c r="E701" s="8">
        <f>Raw_Data!F701</f>
        <v/>
      </c>
      <c r="F701" s="7">
        <f>Raw_Data!H701</f>
        <v/>
      </c>
      <c r="G701" s="7">
        <f>Raw_Data!I701</f>
        <v/>
      </c>
      <c r="H701" s="2">
        <f>Raw_Data!J701</f>
        <v/>
      </c>
      <c r="I701" s="2">
        <f>IF(G701="",0,G701-B701)</f>
        <v/>
      </c>
      <c r="J701" s="2">
        <f>IF(H701="Paid",MAX(0,G701-F701),MAX(0,DATE(2026,12,31)-F701))</f>
        <v/>
      </c>
      <c r="K701" s="8">
        <f>IF(H701="Paid",0,E701)</f>
        <v/>
      </c>
      <c r="L701" s="2">
        <f>IF(J701=0,"Current",IF(J701&lt;=30,"1-30 Days",IF(J701&lt;=60,"31-60 Days",IF(J701&lt;=90,"61-90 Days","90+ Days"))))</f>
        <v/>
      </c>
      <c r="M701" s="8">
        <f>IF(Raw_Data!K701="Yes",Raw_Data!F701*Raw_Data!L701,0)</f>
        <v/>
      </c>
      <c r="N701" s="2">
        <f>IF(H701&lt;&gt;"Paid","Outstanding",IF(J701=0,"On Time","Late"))</f>
        <v/>
      </c>
    </row>
    <row r="702">
      <c r="A702" s="2">
        <f>Raw_Data!A702</f>
        <v/>
      </c>
      <c r="B702" s="7">
        <f>Raw_Data!B702</f>
        <v/>
      </c>
      <c r="C702" s="2">
        <f>Raw_Data!C702</f>
        <v/>
      </c>
      <c r="D702" s="2">
        <f>Raw_Data!D702</f>
        <v/>
      </c>
      <c r="E702" s="8">
        <f>Raw_Data!F702</f>
        <v/>
      </c>
      <c r="F702" s="7">
        <f>Raw_Data!H702</f>
        <v/>
      </c>
      <c r="G702" s="7">
        <f>Raw_Data!I702</f>
        <v/>
      </c>
      <c r="H702" s="2">
        <f>Raw_Data!J702</f>
        <v/>
      </c>
      <c r="I702" s="2">
        <f>IF(G702="",0,G702-B702)</f>
        <v/>
      </c>
      <c r="J702" s="2">
        <f>IF(H702="Paid",MAX(0,G702-F702),MAX(0,DATE(2026,12,31)-F702))</f>
        <v/>
      </c>
      <c r="K702" s="8">
        <f>IF(H702="Paid",0,E702)</f>
        <v/>
      </c>
      <c r="L702" s="2">
        <f>IF(J702=0,"Current",IF(J702&lt;=30,"1-30 Days",IF(J702&lt;=60,"31-60 Days",IF(J702&lt;=90,"61-90 Days","90+ Days"))))</f>
        <v/>
      </c>
      <c r="M702" s="8">
        <f>IF(Raw_Data!K702="Yes",Raw_Data!F702*Raw_Data!L702,0)</f>
        <v/>
      </c>
      <c r="N702" s="2">
        <f>IF(H702&lt;&gt;"Paid","Outstanding",IF(J702=0,"On Time","Late"))</f>
        <v/>
      </c>
    </row>
    <row r="703">
      <c r="A703" s="2">
        <f>Raw_Data!A703</f>
        <v/>
      </c>
      <c r="B703" s="7">
        <f>Raw_Data!B703</f>
        <v/>
      </c>
      <c r="C703" s="2">
        <f>Raw_Data!C703</f>
        <v/>
      </c>
      <c r="D703" s="2">
        <f>Raw_Data!D703</f>
        <v/>
      </c>
      <c r="E703" s="8">
        <f>Raw_Data!F703</f>
        <v/>
      </c>
      <c r="F703" s="7">
        <f>Raw_Data!H703</f>
        <v/>
      </c>
      <c r="G703" s="7">
        <f>Raw_Data!I703</f>
        <v/>
      </c>
      <c r="H703" s="2">
        <f>Raw_Data!J703</f>
        <v/>
      </c>
      <c r="I703" s="2">
        <f>IF(G703="",0,G703-B703)</f>
        <v/>
      </c>
      <c r="J703" s="2">
        <f>IF(H703="Paid",MAX(0,G703-F703),MAX(0,DATE(2026,12,31)-F703))</f>
        <v/>
      </c>
      <c r="K703" s="8">
        <f>IF(H703="Paid",0,E703)</f>
        <v/>
      </c>
      <c r="L703" s="2">
        <f>IF(J703=0,"Current",IF(J703&lt;=30,"1-30 Days",IF(J703&lt;=60,"31-60 Days",IF(J703&lt;=90,"61-90 Days","90+ Days"))))</f>
        <v/>
      </c>
      <c r="M703" s="8">
        <f>IF(Raw_Data!K703="Yes",Raw_Data!F703*Raw_Data!L703,0)</f>
        <v/>
      </c>
      <c r="N703" s="2">
        <f>IF(H703&lt;&gt;"Paid","Outstanding",IF(J703=0,"On Time","Late"))</f>
        <v/>
      </c>
    </row>
    <row r="704">
      <c r="A704" s="2">
        <f>Raw_Data!A704</f>
        <v/>
      </c>
      <c r="B704" s="7">
        <f>Raw_Data!B704</f>
        <v/>
      </c>
      <c r="C704" s="2">
        <f>Raw_Data!C704</f>
        <v/>
      </c>
      <c r="D704" s="2">
        <f>Raw_Data!D704</f>
        <v/>
      </c>
      <c r="E704" s="8">
        <f>Raw_Data!F704</f>
        <v/>
      </c>
      <c r="F704" s="7">
        <f>Raw_Data!H704</f>
        <v/>
      </c>
      <c r="G704" s="7">
        <f>Raw_Data!I704</f>
        <v/>
      </c>
      <c r="H704" s="2">
        <f>Raw_Data!J704</f>
        <v/>
      </c>
      <c r="I704" s="2">
        <f>IF(G704="",0,G704-B704)</f>
        <v/>
      </c>
      <c r="J704" s="2">
        <f>IF(H704="Paid",MAX(0,G704-F704),MAX(0,DATE(2026,12,31)-F704))</f>
        <v/>
      </c>
      <c r="K704" s="8">
        <f>IF(H704="Paid",0,E704)</f>
        <v/>
      </c>
      <c r="L704" s="2">
        <f>IF(J704=0,"Current",IF(J704&lt;=30,"1-30 Days",IF(J704&lt;=60,"31-60 Days",IF(J704&lt;=90,"61-90 Days","90+ Days"))))</f>
        <v/>
      </c>
      <c r="M704" s="8">
        <f>IF(Raw_Data!K704="Yes",Raw_Data!F704*Raw_Data!L704,0)</f>
        <v/>
      </c>
      <c r="N704" s="2">
        <f>IF(H704&lt;&gt;"Paid","Outstanding",IF(J704=0,"On Time","Late"))</f>
        <v/>
      </c>
    </row>
    <row r="705">
      <c r="A705" s="2">
        <f>Raw_Data!A705</f>
        <v/>
      </c>
      <c r="B705" s="7">
        <f>Raw_Data!B705</f>
        <v/>
      </c>
      <c r="C705" s="2">
        <f>Raw_Data!C705</f>
        <v/>
      </c>
      <c r="D705" s="2">
        <f>Raw_Data!D705</f>
        <v/>
      </c>
      <c r="E705" s="8">
        <f>Raw_Data!F705</f>
        <v/>
      </c>
      <c r="F705" s="7">
        <f>Raw_Data!H705</f>
        <v/>
      </c>
      <c r="G705" s="7">
        <f>Raw_Data!I705</f>
        <v/>
      </c>
      <c r="H705" s="2">
        <f>Raw_Data!J705</f>
        <v/>
      </c>
      <c r="I705" s="2">
        <f>IF(G705="",0,G705-B705)</f>
        <v/>
      </c>
      <c r="J705" s="2">
        <f>IF(H705="Paid",MAX(0,G705-F705),MAX(0,DATE(2026,12,31)-F705))</f>
        <v/>
      </c>
      <c r="K705" s="8">
        <f>IF(H705="Paid",0,E705)</f>
        <v/>
      </c>
      <c r="L705" s="2">
        <f>IF(J705=0,"Current",IF(J705&lt;=30,"1-30 Days",IF(J705&lt;=60,"31-60 Days",IF(J705&lt;=90,"61-90 Days","90+ Days"))))</f>
        <v/>
      </c>
      <c r="M705" s="8">
        <f>IF(Raw_Data!K705="Yes",Raw_Data!F705*Raw_Data!L705,0)</f>
        <v/>
      </c>
      <c r="N705" s="2">
        <f>IF(H705&lt;&gt;"Paid","Outstanding",IF(J705=0,"On Time","Late"))</f>
        <v/>
      </c>
    </row>
    <row r="706">
      <c r="A706" s="2">
        <f>Raw_Data!A706</f>
        <v/>
      </c>
      <c r="B706" s="7">
        <f>Raw_Data!B706</f>
        <v/>
      </c>
      <c r="C706" s="2">
        <f>Raw_Data!C706</f>
        <v/>
      </c>
      <c r="D706" s="2">
        <f>Raw_Data!D706</f>
        <v/>
      </c>
      <c r="E706" s="8">
        <f>Raw_Data!F706</f>
        <v/>
      </c>
      <c r="F706" s="7">
        <f>Raw_Data!H706</f>
        <v/>
      </c>
      <c r="G706" s="7">
        <f>Raw_Data!I706</f>
        <v/>
      </c>
      <c r="H706" s="2">
        <f>Raw_Data!J706</f>
        <v/>
      </c>
      <c r="I706" s="2">
        <f>IF(G706="",0,G706-B706)</f>
        <v/>
      </c>
      <c r="J706" s="2">
        <f>IF(H706="Paid",MAX(0,G706-F706),MAX(0,DATE(2026,12,31)-F706))</f>
        <v/>
      </c>
      <c r="K706" s="8">
        <f>IF(H706="Paid",0,E706)</f>
        <v/>
      </c>
      <c r="L706" s="2">
        <f>IF(J706=0,"Current",IF(J706&lt;=30,"1-30 Days",IF(J706&lt;=60,"31-60 Days",IF(J706&lt;=90,"61-90 Days","90+ Days"))))</f>
        <v/>
      </c>
      <c r="M706" s="8">
        <f>IF(Raw_Data!K706="Yes",Raw_Data!F706*Raw_Data!L706,0)</f>
        <v/>
      </c>
      <c r="N706" s="2">
        <f>IF(H706&lt;&gt;"Paid","Outstanding",IF(J706=0,"On Time","Late"))</f>
        <v/>
      </c>
    </row>
    <row r="707">
      <c r="A707" s="2">
        <f>Raw_Data!A707</f>
        <v/>
      </c>
      <c r="B707" s="7">
        <f>Raw_Data!B707</f>
        <v/>
      </c>
      <c r="C707" s="2">
        <f>Raw_Data!C707</f>
        <v/>
      </c>
      <c r="D707" s="2">
        <f>Raw_Data!D707</f>
        <v/>
      </c>
      <c r="E707" s="8">
        <f>Raw_Data!F707</f>
        <v/>
      </c>
      <c r="F707" s="7">
        <f>Raw_Data!H707</f>
        <v/>
      </c>
      <c r="G707" s="7">
        <f>Raw_Data!I707</f>
        <v/>
      </c>
      <c r="H707" s="2">
        <f>Raw_Data!J707</f>
        <v/>
      </c>
      <c r="I707" s="2">
        <f>IF(G707="",0,G707-B707)</f>
        <v/>
      </c>
      <c r="J707" s="2">
        <f>IF(H707="Paid",MAX(0,G707-F707),MAX(0,DATE(2026,12,31)-F707))</f>
        <v/>
      </c>
      <c r="K707" s="8">
        <f>IF(H707="Paid",0,E707)</f>
        <v/>
      </c>
      <c r="L707" s="2">
        <f>IF(J707=0,"Current",IF(J707&lt;=30,"1-30 Days",IF(J707&lt;=60,"31-60 Days",IF(J707&lt;=90,"61-90 Days","90+ Days"))))</f>
        <v/>
      </c>
      <c r="M707" s="8">
        <f>IF(Raw_Data!K707="Yes",Raw_Data!F707*Raw_Data!L707,0)</f>
        <v/>
      </c>
      <c r="N707" s="2">
        <f>IF(H707&lt;&gt;"Paid","Outstanding",IF(J707=0,"On Time","Late"))</f>
        <v/>
      </c>
    </row>
    <row r="708">
      <c r="A708" s="2">
        <f>Raw_Data!A708</f>
        <v/>
      </c>
      <c r="B708" s="7">
        <f>Raw_Data!B708</f>
        <v/>
      </c>
      <c r="C708" s="2">
        <f>Raw_Data!C708</f>
        <v/>
      </c>
      <c r="D708" s="2">
        <f>Raw_Data!D708</f>
        <v/>
      </c>
      <c r="E708" s="8">
        <f>Raw_Data!F708</f>
        <v/>
      </c>
      <c r="F708" s="7">
        <f>Raw_Data!H708</f>
        <v/>
      </c>
      <c r="G708" s="7">
        <f>Raw_Data!I708</f>
        <v/>
      </c>
      <c r="H708" s="2">
        <f>Raw_Data!J708</f>
        <v/>
      </c>
      <c r="I708" s="2">
        <f>IF(G708="",0,G708-B708)</f>
        <v/>
      </c>
      <c r="J708" s="2">
        <f>IF(H708="Paid",MAX(0,G708-F708),MAX(0,DATE(2026,12,31)-F708))</f>
        <v/>
      </c>
      <c r="K708" s="8">
        <f>IF(H708="Paid",0,E708)</f>
        <v/>
      </c>
      <c r="L708" s="2">
        <f>IF(J708=0,"Current",IF(J708&lt;=30,"1-30 Days",IF(J708&lt;=60,"31-60 Days",IF(J708&lt;=90,"61-90 Days","90+ Days"))))</f>
        <v/>
      </c>
      <c r="M708" s="8">
        <f>IF(Raw_Data!K708="Yes",Raw_Data!F708*Raw_Data!L708,0)</f>
        <v/>
      </c>
      <c r="N708" s="2">
        <f>IF(H708&lt;&gt;"Paid","Outstanding",IF(J708=0,"On Time","Late"))</f>
        <v/>
      </c>
    </row>
    <row r="709">
      <c r="A709" s="2">
        <f>Raw_Data!A709</f>
        <v/>
      </c>
      <c r="B709" s="7">
        <f>Raw_Data!B709</f>
        <v/>
      </c>
      <c r="C709" s="2">
        <f>Raw_Data!C709</f>
        <v/>
      </c>
      <c r="D709" s="2">
        <f>Raw_Data!D709</f>
        <v/>
      </c>
      <c r="E709" s="8">
        <f>Raw_Data!F709</f>
        <v/>
      </c>
      <c r="F709" s="7">
        <f>Raw_Data!H709</f>
        <v/>
      </c>
      <c r="G709" s="7">
        <f>Raw_Data!I709</f>
        <v/>
      </c>
      <c r="H709" s="2">
        <f>Raw_Data!J709</f>
        <v/>
      </c>
      <c r="I709" s="2">
        <f>IF(G709="",0,G709-B709)</f>
        <v/>
      </c>
      <c r="J709" s="2">
        <f>IF(H709="Paid",MAX(0,G709-F709),MAX(0,DATE(2026,12,31)-F709))</f>
        <v/>
      </c>
      <c r="K709" s="8">
        <f>IF(H709="Paid",0,E709)</f>
        <v/>
      </c>
      <c r="L709" s="2">
        <f>IF(J709=0,"Current",IF(J709&lt;=30,"1-30 Days",IF(J709&lt;=60,"31-60 Days",IF(J709&lt;=90,"61-90 Days","90+ Days"))))</f>
        <v/>
      </c>
      <c r="M709" s="8">
        <f>IF(Raw_Data!K709="Yes",Raw_Data!F709*Raw_Data!L709,0)</f>
        <v/>
      </c>
      <c r="N709" s="2">
        <f>IF(H709&lt;&gt;"Paid","Outstanding",IF(J709=0,"On Time","Late"))</f>
        <v/>
      </c>
    </row>
    <row r="710">
      <c r="A710" s="2">
        <f>Raw_Data!A710</f>
        <v/>
      </c>
      <c r="B710" s="7">
        <f>Raw_Data!B710</f>
        <v/>
      </c>
      <c r="C710" s="2">
        <f>Raw_Data!C710</f>
        <v/>
      </c>
      <c r="D710" s="2">
        <f>Raw_Data!D710</f>
        <v/>
      </c>
      <c r="E710" s="8">
        <f>Raw_Data!F710</f>
        <v/>
      </c>
      <c r="F710" s="7">
        <f>Raw_Data!H710</f>
        <v/>
      </c>
      <c r="G710" s="7">
        <f>Raw_Data!I710</f>
        <v/>
      </c>
      <c r="H710" s="2">
        <f>Raw_Data!J710</f>
        <v/>
      </c>
      <c r="I710" s="2">
        <f>IF(G710="",0,G710-B710)</f>
        <v/>
      </c>
      <c r="J710" s="2">
        <f>IF(H710="Paid",MAX(0,G710-F710),MAX(0,DATE(2026,12,31)-F710))</f>
        <v/>
      </c>
      <c r="K710" s="8">
        <f>IF(H710="Paid",0,E710)</f>
        <v/>
      </c>
      <c r="L710" s="2">
        <f>IF(J710=0,"Current",IF(J710&lt;=30,"1-30 Days",IF(J710&lt;=60,"31-60 Days",IF(J710&lt;=90,"61-90 Days","90+ Days"))))</f>
        <v/>
      </c>
      <c r="M710" s="8">
        <f>IF(Raw_Data!K710="Yes",Raw_Data!F710*Raw_Data!L710,0)</f>
        <v/>
      </c>
      <c r="N710" s="2">
        <f>IF(H710&lt;&gt;"Paid","Outstanding",IF(J710=0,"On Time","Late"))</f>
        <v/>
      </c>
    </row>
    <row r="711">
      <c r="A711" s="2">
        <f>Raw_Data!A711</f>
        <v/>
      </c>
      <c r="B711" s="7">
        <f>Raw_Data!B711</f>
        <v/>
      </c>
      <c r="C711" s="2">
        <f>Raw_Data!C711</f>
        <v/>
      </c>
      <c r="D711" s="2">
        <f>Raw_Data!D711</f>
        <v/>
      </c>
      <c r="E711" s="8">
        <f>Raw_Data!F711</f>
        <v/>
      </c>
      <c r="F711" s="7">
        <f>Raw_Data!H711</f>
        <v/>
      </c>
      <c r="G711" s="7">
        <f>Raw_Data!I711</f>
        <v/>
      </c>
      <c r="H711" s="2">
        <f>Raw_Data!J711</f>
        <v/>
      </c>
      <c r="I711" s="2">
        <f>IF(G711="",0,G711-B711)</f>
        <v/>
      </c>
      <c r="J711" s="2">
        <f>IF(H711="Paid",MAX(0,G711-F711),MAX(0,DATE(2026,12,31)-F711))</f>
        <v/>
      </c>
      <c r="K711" s="8">
        <f>IF(H711="Paid",0,E711)</f>
        <v/>
      </c>
      <c r="L711" s="2">
        <f>IF(J711=0,"Current",IF(J711&lt;=30,"1-30 Days",IF(J711&lt;=60,"31-60 Days",IF(J711&lt;=90,"61-90 Days","90+ Days"))))</f>
        <v/>
      </c>
      <c r="M711" s="8">
        <f>IF(Raw_Data!K711="Yes",Raw_Data!F711*Raw_Data!L711,0)</f>
        <v/>
      </c>
      <c r="N711" s="2">
        <f>IF(H711&lt;&gt;"Paid","Outstanding",IF(J711=0,"On Time","Late"))</f>
        <v/>
      </c>
    </row>
    <row r="712">
      <c r="A712" s="2">
        <f>Raw_Data!A712</f>
        <v/>
      </c>
      <c r="B712" s="7">
        <f>Raw_Data!B712</f>
        <v/>
      </c>
      <c r="C712" s="2">
        <f>Raw_Data!C712</f>
        <v/>
      </c>
      <c r="D712" s="2">
        <f>Raw_Data!D712</f>
        <v/>
      </c>
      <c r="E712" s="8">
        <f>Raw_Data!F712</f>
        <v/>
      </c>
      <c r="F712" s="7">
        <f>Raw_Data!H712</f>
        <v/>
      </c>
      <c r="G712" s="7">
        <f>Raw_Data!I712</f>
        <v/>
      </c>
      <c r="H712" s="2">
        <f>Raw_Data!J712</f>
        <v/>
      </c>
      <c r="I712" s="2">
        <f>IF(G712="",0,G712-B712)</f>
        <v/>
      </c>
      <c r="J712" s="2">
        <f>IF(H712="Paid",MAX(0,G712-F712),MAX(0,DATE(2026,12,31)-F712))</f>
        <v/>
      </c>
      <c r="K712" s="8">
        <f>IF(H712="Paid",0,E712)</f>
        <v/>
      </c>
      <c r="L712" s="2">
        <f>IF(J712=0,"Current",IF(J712&lt;=30,"1-30 Days",IF(J712&lt;=60,"31-60 Days",IF(J712&lt;=90,"61-90 Days","90+ Days"))))</f>
        <v/>
      </c>
      <c r="M712" s="8">
        <f>IF(Raw_Data!K712="Yes",Raw_Data!F712*Raw_Data!L712,0)</f>
        <v/>
      </c>
      <c r="N712" s="2">
        <f>IF(H712&lt;&gt;"Paid","Outstanding",IF(J712=0,"On Time","Late"))</f>
        <v/>
      </c>
    </row>
    <row r="713">
      <c r="A713" s="2">
        <f>Raw_Data!A713</f>
        <v/>
      </c>
      <c r="B713" s="7">
        <f>Raw_Data!B713</f>
        <v/>
      </c>
      <c r="C713" s="2">
        <f>Raw_Data!C713</f>
        <v/>
      </c>
      <c r="D713" s="2">
        <f>Raw_Data!D713</f>
        <v/>
      </c>
      <c r="E713" s="8">
        <f>Raw_Data!F713</f>
        <v/>
      </c>
      <c r="F713" s="7">
        <f>Raw_Data!H713</f>
        <v/>
      </c>
      <c r="G713" s="7">
        <f>Raw_Data!I713</f>
        <v/>
      </c>
      <c r="H713" s="2">
        <f>Raw_Data!J713</f>
        <v/>
      </c>
      <c r="I713" s="2">
        <f>IF(G713="",0,G713-B713)</f>
        <v/>
      </c>
      <c r="J713" s="2">
        <f>IF(H713="Paid",MAX(0,G713-F713),MAX(0,DATE(2026,12,31)-F713))</f>
        <v/>
      </c>
      <c r="K713" s="8">
        <f>IF(H713="Paid",0,E713)</f>
        <v/>
      </c>
      <c r="L713" s="2">
        <f>IF(J713=0,"Current",IF(J713&lt;=30,"1-30 Days",IF(J713&lt;=60,"31-60 Days",IF(J713&lt;=90,"61-90 Days","90+ Days"))))</f>
        <v/>
      </c>
      <c r="M713" s="8">
        <f>IF(Raw_Data!K713="Yes",Raw_Data!F713*Raw_Data!L713,0)</f>
        <v/>
      </c>
      <c r="N713" s="2">
        <f>IF(H713&lt;&gt;"Paid","Outstanding",IF(J713=0,"On Time","Late"))</f>
        <v/>
      </c>
    </row>
    <row r="714">
      <c r="A714" s="2">
        <f>Raw_Data!A714</f>
        <v/>
      </c>
      <c r="B714" s="7">
        <f>Raw_Data!B714</f>
        <v/>
      </c>
      <c r="C714" s="2">
        <f>Raw_Data!C714</f>
        <v/>
      </c>
      <c r="D714" s="2">
        <f>Raw_Data!D714</f>
        <v/>
      </c>
      <c r="E714" s="8">
        <f>Raw_Data!F714</f>
        <v/>
      </c>
      <c r="F714" s="7">
        <f>Raw_Data!H714</f>
        <v/>
      </c>
      <c r="G714" s="7">
        <f>Raw_Data!I714</f>
        <v/>
      </c>
      <c r="H714" s="2">
        <f>Raw_Data!J714</f>
        <v/>
      </c>
      <c r="I714" s="2">
        <f>IF(G714="",0,G714-B714)</f>
        <v/>
      </c>
      <c r="J714" s="2">
        <f>IF(H714="Paid",MAX(0,G714-F714),MAX(0,DATE(2026,12,31)-F714))</f>
        <v/>
      </c>
      <c r="K714" s="8">
        <f>IF(H714="Paid",0,E714)</f>
        <v/>
      </c>
      <c r="L714" s="2">
        <f>IF(J714=0,"Current",IF(J714&lt;=30,"1-30 Days",IF(J714&lt;=60,"31-60 Days",IF(J714&lt;=90,"61-90 Days","90+ Days"))))</f>
        <v/>
      </c>
      <c r="M714" s="8">
        <f>IF(Raw_Data!K714="Yes",Raw_Data!F714*Raw_Data!L714,0)</f>
        <v/>
      </c>
      <c r="N714" s="2">
        <f>IF(H714&lt;&gt;"Paid","Outstanding",IF(J714=0,"On Time","Late"))</f>
        <v/>
      </c>
    </row>
    <row r="715">
      <c r="A715" s="2">
        <f>Raw_Data!A715</f>
        <v/>
      </c>
      <c r="B715" s="7">
        <f>Raw_Data!B715</f>
        <v/>
      </c>
      <c r="C715" s="2">
        <f>Raw_Data!C715</f>
        <v/>
      </c>
      <c r="D715" s="2">
        <f>Raw_Data!D715</f>
        <v/>
      </c>
      <c r="E715" s="8">
        <f>Raw_Data!F715</f>
        <v/>
      </c>
      <c r="F715" s="7">
        <f>Raw_Data!H715</f>
        <v/>
      </c>
      <c r="G715" s="7">
        <f>Raw_Data!I715</f>
        <v/>
      </c>
      <c r="H715" s="2">
        <f>Raw_Data!J715</f>
        <v/>
      </c>
      <c r="I715" s="2">
        <f>IF(G715="",0,G715-B715)</f>
        <v/>
      </c>
      <c r="J715" s="2">
        <f>IF(H715="Paid",MAX(0,G715-F715),MAX(0,DATE(2026,12,31)-F715))</f>
        <v/>
      </c>
      <c r="K715" s="8">
        <f>IF(H715="Paid",0,E715)</f>
        <v/>
      </c>
      <c r="L715" s="2">
        <f>IF(J715=0,"Current",IF(J715&lt;=30,"1-30 Days",IF(J715&lt;=60,"31-60 Days",IF(J715&lt;=90,"61-90 Days","90+ Days"))))</f>
        <v/>
      </c>
      <c r="M715" s="8">
        <f>IF(Raw_Data!K715="Yes",Raw_Data!F715*Raw_Data!L715,0)</f>
        <v/>
      </c>
      <c r="N715" s="2">
        <f>IF(H715&lt;&gt;"Paid","Outstanding",IF(J715=0,"On Time","Late"))</f>
        <v/>
      </c>
    </row>
    <row r="716">
      <c r="A716" s="2">
        <f>Raw_Data!A716</f>
        <v/>
      </c>
      <c r="B716" s="7">
        <f>Raw_Data!B716</f>
        <v/>
      </c>
      <c r="C716" s="2">
        <f>Raw_Data!C716</f>
        <v/>
      </c>
      <c r="D716" s="2">
        <f>Raw_Data!D716</f>
        <v/>
      </c>
      <c r="E716" s="8">
        <f>Raw_Data!F716</f>
        <v/>
      </c>
      <c r="F716" s="7">
        <f>Raw_Data!H716</f>
        <v/>
      </c>
      <c r="G716" s="7">
        <f>Raw_Data!I716</f>
        <v/>
      </c>
      <c r="H716" s="2">
        <f>Raw_Data!J716</f>
        <v/>
      </c>
      <c r="I716" s="2">
        <f>IF(G716="",0,G716-B716)</f>
        <v/>
      </c>
      <c r="J716" s="2">
        <f>IF(H716="Paid",MAX(0,G716-F716),MAX(0,DATE(2026,12,31)-F716))</f>
        <v/>
      </c>
      <c r="K716" s="8">
        <f>IF(H716="Paid",0,E716)</f>
        <v/>
      </c>
      <c r="L716" s="2">
        <f>IF(J716=0,"Current",IF(J716&lt;=30,"1-30 Days",IF(J716&lt;=60,"31-60 Days",IF(J716&lt;=90,"61-90 Days","90+ Days"))))</f>
        <v/>
      </c>
      <c r="M716" s="8">
        <f>IF(Raw_Data!K716="Yes",Raw_Data!F716*Raw_Data!L716,0)</f>
        <v/>
      </c>
      <c r="N716" s="2">
        <f>IF(H716&lt;&gt;"Paid","Outstanding",IF(J716=0,"On Time","Late"))</f>
        <v/>
      </c>
    </row>
    <row r="717">
      <c r="A717" s="2">
        <f>Raw_Data!A717</f>
        <v/>
      </c>
      <c r="B717" s="7">
        <f>Raw_Data!B717</f>
        <v/>
      </c>
      <c r="C717" s="2">
        <f>Raw_Data!C717</f>
        <v/>
      </c>
      <c r="D717" s="2">
        <f>Raw_Data!D717</f>
        <v/>
      </c>
      <c r="E717" s="8">
        <f>Raw_Data!F717</f>
        <v/>
      </c>
      <c r="F717" s="7">
        <f>Raw_Data!H717</f>
        <v/>
      </c>
      <c r="G717" s="7">
        <f>Raw_Data!I717</f>
        <v/>
      </c>
      <c r="H717" s="2">
        <f>Raw_Data!J717</f>
        <v/>
      </c>
      <c r="I717" s="2">
        <f>IF(G717="",0,G717-B717)</f>
        <v/>
      </c>
      <c r="J717" s="2">
        <f>IF(H717="Paid",MAX(0,G717-F717),MAX(0,DATE(2026,12,31)-F717))</f>
        <v/>
      </c>
      <c r="K717" s="8">
        <f>IF(H717="Paid",0,E717)</f>
        <v/>
      </c>
      <c r="L717" s="2">
        <f>IF(J717=0,"Current",IF(J717&lt;=30,"1-30 Days",IF(J717&lt;=60,"31-60 Days",IF(J717&lt;=90,"61-90 Days","90+ Days"))))</f>
        <v/>
      </c>
      <c r="M717" s="8">
        <f>IF(Raw_Data!K717="Yes",Raw_Data!F717*Raw_Data!L717,0)</f>
        <v/>
      </c>
      <c r="N717" s="2">
        <f>IF(H717&lt;&gt;"Paid","Outstanding",IF(J717=0,"On Time","Late"))</f>
        <v/>
      </c>
    </row>
    <row r="718">
      <c r="A718" s="2">
        <f>Raw_Data!A718</f>
        <v/>
      </c>
      <c r="B718" s="7">
        <f>Raw_Data!B718</f>
        <v/>
      </c>
      <c r="C718" s="2">
        <f>Raw_Data!C718</f>
        <v/>
      </c>
      <c r="D718" s="2">
        <f>Raw_Data!D718</f>
        <v/>
      </c>
      <c r="E718" s="8">
        <f>Raw_Data!F718</f>
        <v/>
      </c>
      <c r="F718" s="7">
        <f>Raw_Data!H718</f>
        <v/>
      </c>
      <c r="G718" s="7">
        <f>Raw_Data!I718</f>
        <v/>
      </c>
      <c r="H718" s="2">
        <f>Raw_Data!J718</f>
        <v/>
      </c>
      <c r="I718" s="2">
        <f>IF(G718="",0,G718-B718)</f>
        <v/>
      </c>
      <c r="J718" s="2">
        <f>IF(H718="Paid",MAX(0,G718-F718),MAX(0,DATE(2026,12,31)-F718))</f>
        <v/>
      </c>
      <c r="K718" s="8">
        <f>IF(H718="Paid",0,E718)</f>
        <v/>
      </c>
      <c r="L718" s="2">
        <f>IF(J718=0,"Current",IF(J718&lt;=30,"1-30 Days",IF(J718&lt;=60,"31-60 Days",IF(J718&lt;=90,"61-90 Days","90+ Days"))))</f>
        <v/>
      </c>
      <c r="M718" s="8">
        <f>IF(Raw_Data!K718="Yes",Raw_Data!F718*Raw_Data!L718,0)</f>
        <v/>
      </c>
      <c r="N718" s="2">
        <f>IF(H718&lt;&gt;"Paid","Outstanding",IF(J718=0,"On Time","Late"))</f>
        <v/>
      </c>
    </row>
    <row r="719">
      <c r="A719" s="2">
        <f>Raw_Data!A719</f>
        <v/>
      </c>
      <c r="B719" s="7">
        <f>Raw_Data!B719</f>
        <v/>
      </c>
      <c r="C719" s="2">
        <f>Raw_Data!C719</f>
        <v/>
      </c>
      <c r="D719" s="2">
        <f>Raw_Data!D719</f>
        <v/>
      </c>
      <c r="E719" s="8">
        <f>Raw_Data!F719</f>
        <v/>
      </c>
      <c r="F719" s="7">
        <f>Raw_Data!H719</f>
        <v/>
      </c>
      <c r="G719" s="7">
        <f>Raw_Data!I719</f>
        <v/>
      </c>
      <c r="H719" s="2">
        <f>Raw_Data!J719</f>
        <v/>
      </c>
      <c r="I719" s="2">
        <f>IF(G719="",0,G719-B719)</f>
        <v/>
      </c>
      <c r="J719" s="2">
        <f>IF(H719="Paid",MAX(0,G719-F719),MAX(0,DATE(2026,12,31)-F719))</f>
        <v/>
      </c>
      <c r="K719" s="8">
        <f>IF(H719="Paid",0,E719)</f>
        <v/>
      </c>
      <c r="L719" s="2">
        <f>IF(J719=0,"Current",IF(J719&lt;=30,"1-30 Days",IF(J719&lt;=60,"31-60 Days",IF(J719&lt;=90,"61-90 Days","90+ Days"))))</f>
        <v/>
      </c>
      <c r="M719" s="8">
        <f>IF(Raw_Data!K719="Yes",Raw_Data!F719*Raw_Data!L719,0)</f>
        <v/>
      </c>
      <c r="N719" s="2">
        <f>IF(H719&lt;&gt;"Paid","Outstanding",IF(J719=0,"On Time","Late"))</f>
        <v/>
      </c>
    </row>
    <row r="720">
      <c r="A720" s="2">
        <f>Raw_Data!A720</f>
        <v/>
      </c>
      <c r="B720" s="7">
        <f>Raw_Data!B720</f>
        <v/>
      </c>
      <c r="C720" s="2">
        <f>Raw_Data!C720</f>
        <v/>
      </c>
      <c r="D720" s="2">
        <f>Raw_Data!D720</f>
        <v/>
      </c>
      <c r="E720" s="8">
        <f>Raw_Data!F720</f>
        <v/>
      </c>
      <c r="F720" s="7">
        <f>Raw_Data!H720</f>
        <v/>
      </c>
      <c r="G720" s="7">
        <f>Raw_Data!I720</f>
        <v/>
      </c>
      <c r="H720" s="2">
        <f>Raw_Data!J720</f>
        <v/>
      </c>
      <c r="I720" s="2">
        <f>IF(G720="",0,G720-B720)</f>
        <v/>
      </c>
      <c r="J720" s="2">
        <f>IF(H720="Paid",MAX(0,G720-F720),MAX(0,DATE(2026,12,31)-F720))</f>
        <v/>
      </c>
      <c r="K720" s="8">
        <f>IF(H720="Paid",0,E720)</f>
        <v/>
      </c>
      <c r="L720" s="2">
        <f>IF(J720=0,"Current",IF(J720&lt;=30,"1-30 Days",IF(J720&lt;=60,"31-60 Days",IF(J720&lt;=90,"61-90 Days","90+ Days"))))</f>
        <v/>
      </c>
      <c r="M720" s="8">
        <f>IF(Raw_Data!K720="Yes",Raw_Data!F720*Raw_Data!L720,0)</f>
        <v/>
      </c>
      <c r="N720" s="2">
        <f>IF(H720&lt;&gt;"Paid","Outstanding",IF(J720=0,"On Time","Late"))</f>
        <v/>
      </c>
    </row>
    <row r="721">
      <c r="A721" s="2">
        <f>Raw_Data!A721</f>
        <v/>
      </c>
      <c r="B721" s="7">
        <f>Raw_Data!B721</f>
        <v/>
      </c>
      <c r="C721" s="2">
        <f>Raw_Data!C721</f>
        <v/>
      </c>
      <c r="D721" s="2">
        <f>Raw_Data!D721</f>
        <v/>
      </c>
      <c r="E721" s="8">
        <f>Raw_Data!F721</f>
        <v/>
      </c>
      <c r="F721" s="7">
        <f>Raw_Data!H721</f>
        <v/>
      </c>
      <c r="G721" s="7">
        <f>Raw_Data!I721</f>
        <v/>
      </c>
      <c r="H721" s="2">
        <f>Raw_Data!J721</f>
        <v/>
      </c>
      <c r="I721" s="2">
        <f>IF(G721="",0,G721-B721)</f>
        <v/>
      </c>
      <c r="J721" s="2">
        <f>IF(H721="Paid",MAX(0,G721-F721),MAX(0,DATE(2026,12,31)-F721))</f>
        <v/>
      </c>
      <c r="K721" s="8">
        <f>IF(H721="Paid",0,E721)</f>
        <v/>
      </c>
      <c r="L721" s="2">
        <f>IF(J721=0,"Current",IF(J721&lt;=30,"1-30 Days",IF(J721&lt;=60,"31-60 Days",IF(J721&lt;=90,"61-90 Days","90+ Days"))))</f>
        <v/>
      </c>
      <c r="M721" s="8">
        <f>IF(Raw_Data!K721="Yes",Raw_Data!F721*Raw_Data!L721,0)</f>
        <v/>
      </c>
      <c r="N721" s="2">
        <f>IF(H721&lt;&gt;"Paid","Outstanding",IF(J721=0,"On Time","Late"))</f>
        <v/>
      </c>
    </row>
    <row r="722">
      <c r="A722" s="2">
        <f>Raw_Data!A722</f>
        <v/>
      </c>
      <c r="B722" s="7">
        <f>Raw_Data!B722</f>
        <v/>
      </c>
      <c r="C722" s="2">
        <f>Raw_Data!C722</f>
        <v/>
      </c>
      <c r="D722" s="2">
        <f>Raw_Data!D722</f>
        <v/>
      </c>
      <c r="E722" s="8">
        <f>Raw_Data!F722</f>
        <v/>
      </c>
      <c r="F722" s="7">
        <f>Raw_Data!H722</f>
        <v/>
      </c>
      <c r="G722" s="7">
        <f>Raw_Data!I722</f>
        <v/>
      </c>
      <c r="H722" s="2">
        <f>Raw_Data!J722</f>
        <v/>
      </c>
      <c r="I722" s="2">
        <f>IF(G722="",0,G722-B722)</f>
        <v/>
      </c>
      <c r="J722" s="2">
        <f>IF(H722="Paid",MAX(0,G722-F722),MAX(0,DATE(2026,12,31)-F722))</f>
        <v/>
      </c>
      <c r="K722" s="8">
        <f>IF(H722="Paid",0,E722)</f>
        <v/>
      </c>
      <c r="L722" s="2">
        <f>IF(J722=0,"Current",IF(J722&lt;=30,"1-30 Days",IF(J722&lt;=60,"31-60 Days",IF(J722&lt;=90,"61-90 Days","90+ Days"))))</f>
        <v/>
      </c>
      <c r="M722" s="8">
        <f>IF(Raw_Data!K722="Yes",Raw_Data!F722*Raw_Data!L722,0)</f>
        <v/>
      </c>
      <c r="N722" s="2">
        <f>IF(H722&lt;&gt;"Paid","Outstanding",IF(J722=0,"On Time","Late"))</f>
        <v/>
      </c>
    </row>
    <row r="723">
      <c r="A723" s="2">
        <f>Raw_Data!A723</f>
        <v/>
      </c>
      <c r="B723" s="7">
        <f>Raw_Data!B723</f>
        <v/>
      </c>
      <c r="C723" s="2">
        <f>Raw_Data!C723</f>
        <v/>
      </c>
      <c r="D723" s="2">
        <f>Raw_Data!D723</f>
        <v/>
      </c>
      <c r="E723" s="8">
        <f>Raw_Data!F723</f>
        <v/>
      </c>
      <c r="F723" s="7">
        <f>Raw_Data!H723</f>
        <v/>
      </c>
      <c r="G723" s="7">
        <f>Raw_Data!I723</f>
        <v/>
      </c>
      <c r="H723" s="2">
        <f>Raw_Data!J723</f>
        <v/>
      </c>
      <c r="I723" s="2">
        <f>IF(G723="",0,G723-B723)</f>
        <v/>
      </c>
      <c r="J723" s="2">
        <f>IF(H723="Paid",MAX(0,G723-F723),MAX(0,DATE(2026,12,31)-F723))</f>
        <v/>
      </c>
      <c r="K723" s="8">
        <f>IF(H723="Paid",0,E723)</f>
        <v/>
      </c>
      <c r="L723" s="2">
        <f>IF(J723=0,"Current",IF(J723&lt;=30,"1-30 Days",IF(J723&lt;=60,"31-60 Days",IF(J723&lt;=90,"61-90 Days","90+ Days"))))</f>
        <v/>
      </c>
      <c r="M723" s="8">
        <f>IF(Raw_Data!K723="Yes",Raw_Data!F723*Raw_Data!L723,0)</f>
        <v/>
      </c>
      <c r="N723" s="2">
        <f>IF(H723&lt;&gt;"Paid","Outstanding",IF(J723=0,"On Time","Late"))</f>
        <v/>
      </c>
    </row>
    <row r="724">
      <c r="A724" s="2">
        <f>Raw_Data!A724</f>
        <v/>
      </c>
      <c r="B724" s="7">
        <f>Raw_Data!B724</f>
        <v/>
      </c>
      <c r="C724" s="2">
        <f>Raw_Data!C724</f>
        <v/>
      </c>
      <c r="D724" s="2">
        <f>Raw_Data!D724</f>
        <v/>
      </c>
      <c r="E724" s="8">
        <f>Raw_Data!F724</f>
        <v/>
      </c>
      <c r="F724" s="7">
        <f>Raw_Data!H724</f>
        <v/>
      </c>
      <c r="G724" s="7">
        <f>Raw_Data!I724</f>
        <v/>
      </c>
      <c r="H724" s="2">
        <f>Raw_Data!J724</f>
        <v/>
      </c>
      <c r="I724" s="2">
        <f>IF(G724="",0,G724-B724)</f>
        <v/>
      </c>
      <c r="J724" s="2">
        <f>IF(H724="Paid",MAX(0,G724-F724),MAX(0,DATE(2026,12,31)-F724))</f>
        <v/>
      </c>
      <c r="K724" s="8">
        <f>IF(H724="Paid",0,E724)</f>
        <v/>
      </c>
      <c r="L724" s="2">
        <f>IF(J724=0,"Current",IF(J724&lt;=30,"1-30 Days",IF(J724&lt;=60,"31-60 Days",IF(J724&lt;=90,"61-90 Days","90+ Days"))))</f>
        <v/>
      </c>
      <c r="M724" s="8">
        <f>IF(Raw_Data!K724="Yes",Raw_Data!F724*Raw_Data!L724,0)</f>
        <v/>
      </c>
      <c r="N724" s="2">
        <f>IF(H724&lt;&gt;"Paid","Outstanding",IF(J724=0,"On Time","Late"))</f>
        <v/>
      </c>
    </row>
    <row r="725">
      <c r="A725" s="2">
        <f>Raw_Data!A725</f>
        <v/>
      </c>
      <c r="B725" s="7">
        <f>Raw_Data!B725</f>
        <v/>
      </c>
      <c r="C725" s="2">
        <f>Raw_Data!C725</f>
        <v/>
      </c>
      <c r="D725" s="2">
        <f>Raw_Data!D725</f>
        <v/>
      </c>
      <c r="E725" s="8">
        <f>Raw_Data!F725</f>
        <v/>
      </c>
      <c r="F725" s="7">
        <f>Raw_Data!H725</f>
        <v/>
      </c>
      <c r="G725" s="7">
        <f>Raw_Data!I725</f>
        <v/>
      </c>
      <c r="H725" s="2">
        <f>Raw_Data!J725</f>
        <v/>
      </c>
      <c r="I725" s="2">
        <f>IF(G725="",0,G725-B725)</f>
        <v/>
      </c>
      <c r="J725" s="2">
        <f>IF(H725="Paid",MAX(0,G725-F725),MAX(0,DATE(2026,12,31)-F725))</f>
        <v/>
      </c>
      <c r="K725" s="8">
        <f>IF(H725="Paid",0,E725)</f>
        <v/>
      </c>
      <c r="L725" s="2">
        <f>IF(J725=0,"Current",IF(J725&lt;=30,"1-30 Days",IF(J725&lt;=60,"31-60 Days",IF(J725&lt;=90,"61-90 Days","90+ Days"))))</f>
        <v/>
      </c>
      <c r="M725" s="8">
        <f>IF(Raw_Data!K725="Yes",Raw_Data!F725*Raw_Data!L725,0)</f>
        <v/>
      </c>
      <c r="N725" s="2">
        <f>IF(H725&lt;&gt;"Paid","Outstanding",IF(J725=0,"On Time","Late"))</f>
        <v/>
      </c>
    </row>
    <row r="726">
      <c r="A726" s="2">
        <f>Raw_Data!A726</f>
        <v/>
      </c>
      <c r="B726" s="7">
        <f>Raw_Data!B726</f>
        <v/>
      </c>
      <c r="C726" s="2">
        <f>Raw_Data!C726</f>
        <v/>
      </c>
      <c r="D726" s="2">
        <f>Raw_Data!D726</f>
        <v/>
      </c>
      <c r="E726" s="8">
        <f>Raw_Data!F726</f>
        <v/>
      </c>
      <c r="F726" s="7">
        <f>Raw_Data!H726</f>
        <v/>
      </c>
      <c r="G726" s="7">
        <f>Raw_Data!I726</f>
        <v/>
      </c>
      <c r="H726" s="2">
        <f>Raw_Data!J726</f>
        <v/>
      </c>
      <c r="I726" s="2">
        <f>IF(G726="",0,G726-B726)</f>
        <v/>
      </c>
      <c r="J726" s="2">
        <f>IF(H726="Paid",MAX(0,G726-F726),MAX(0,DATE(2026,12,31)-F726))</f>
        <v/>
      </c>
      <c r="K726" s="8">
        <f>IF(H726="Paid",0,E726)</f>
        <v/>
      </c>
      <c r="L726" s="2">
        <f>IF(J726=0,"Current",IF(J726&lt;=30,"1-30 Days",IF(J726&lt;=60,"31-60 Days",IF(J726&lt;=90,"61-90 Days","90+ Days"))))</f>
        <v/>
      </c>
      <c r="M726" s="8">
        <f>IF(Raw_Data!K726="Yes",Raw_Data!F726*Raw_Data!L726,0)</f>
        <v/>
      </c>
      <c r="N726" s="2">
        <f>IF(H726&lt;&gt;"Paid","Outstanding",IF(J726=0,"On Time","Late"))</f>
        <v/>
      </c>
    </row>
    <row r="727">
      <c r="A727" s="2">
        <f>Raw_Data!A727</f>
        <v/>
      </c>
      <c r="B727" s="7">
        <f>Raw_Data!B727</f>
        <v/>
      </c>
      <c r="C727" s="2">
        <f>Raw_Data!C727</f>
        <v/>
      </c>
      <c r="D727" s="2">
        <f>Raw_Data!D727</f>
        <v/>
      </c>
      <c r="E727" s="8">
        <f>Raw_Data!F727</f>
        <v/>
      </c>
      <c r="F727" s="7">
        <f>Raw_Data!H727</f>
        <v/>
      </c>
      <c r="G727" s="7">
        <f>Raw_Data!I727</f>
        <v/>
      </c>
      <c r="H727" s="2">
        <f>Raw_Data!J727</f>
        <v/>
      </c>
      <c r="I727" s="2">
        <f>IF(G727="",0,G727-B727)</f>
        <v/>
      </c>
      <c r="J727" s="2">
        <f>IF(H727="Paid",MAX(0,G727-F727),MAX(0,DATE(2026,12,31)-F727))</f>
        <v/>
      </c>
      <c r="K727" s="8">
        <f>IF(H727="Paid",0,E727)</f>
        <v/>
      </c>
      <c r="L727" s="2">
        <f>IF(J727=0,"Current",IF(J727&lt;=30,"1-30 Days",IF(J727&lt;=60,"31-60 Days",IF(J727&lt;=90,"61-90 Days","90+ Days"))))</f>
        <v/>
      </c>
      <c r="M727" s="8">
        <f>IF(Raw_Data!K727="Yes",Raw_Data!F727*Raw_Data!L727,0)</f>
        <v/>
      </c>
      <c r="N727" s="2">
        <f>IF(H727&lt;&gt;"Paid","Outstanding",IF(J727=0,"On Time","Late"))</f>
        <v/>
      </c>
    </row>
    <row r="728">
      <c r="A728" s="2">
        <f>Raw_Data!A728</f>
        <v/>
      </c>
      <c r="B728" s="7">
        <f>Raw_Data!B728</f>
        <v/>
      </c>
      <c r="C728" s="2">
        <f>Raw_Data!C728</f>
        <v/>
      </c>
      <c r="D728" s="2">
        <f>Raw_Data!D728</f>
        <v/>
      </c>
      <c r="E728" s="8">
        <f>Raw_Data!F728</f>
        <v/>
      </c>
      <c r="F728" s="7">
        <f>Raw_Data!H728</f>
        <v/>
      </c>
      <c r="G728" s="7">
        <f>Raw_Data!I728</f>
        <v/>
      </c>
      <c r="H728" s="2">
        <f>Raw_Data!J728</f>
        <v/>
      </c>
      <c r="I728" s="2">
        <f>IF(G728="",0,G728-B728)</f>
        <v/>
      </c>
      <c r="J728" s="2">
        <f>IF(H728="Paid",MAX(0,G728-F728),MAX(0,DATE(2026,12,31)-F728))</f>
        <v/>
      </c>
      <c r="K728" s="8">
        <f>IF(H728="Paid",0,E728)</f>
        <v/>
      </c>
      <c r="L728" s="2">
        <f>IF(J728=0,"Current",IF(J728&lt;=30,"1-30 Days",IF(J728&lt;=60,"31-60 Days",IF(J728&lt;=90,"61-90 Days","90+ Days"))))</f>
        <v/>
      </c>
      <c r="M728" s="8">
        <f>IF(Raw_Data!K728="Yes",Raw_Data!F728*Raw_Data!L728,0)</f>
        <v/>
      </c>
      <c r="N728" s="2">
        <f>IF(H728&lt;&gt;"Paid","Outstanding",IF(J728=0,"On Time","Late"))</f>
        <v/>
      </c>
    </row>
    <row r="729">
      <c r="A729" s="2">
        <f>Raw_Data!A729</f>
        <v/>
      </c>
      <c r="B729" s="7">
        <f>Raw_Data!B729</f>
        <v/>
      </c>
      <c r="C729" s="2">
        <f>Raw_Data!C729</f>
        <v/>
      </c>
      <c r="D729" s="2">
        <f>Raw_Data!D729</f>
        <v/>
      </c>
      <c r="E729" s="8">
        <f>Raw_Data!F729</f>
        <v/>
      </c>
      <c r="F729" s="7">
        <f>Raw_Data!H729</f>
        <v/>
      </c>
      <c r="G729" s="7">
        <f>Raw_Data!I729</f>
        <v/>
      </c>
      <c r="H729" s="2">
        <f>Raw_Data!J729</f>
        <v/>
      </c>
      <c r="I729" s="2">
        <f>IF(G729="",0,G729-B729)</f>
        <v/>
      </c>
      <c r="J729" s="2">
        <f>IF(H729="Paid",MAX(0,G729-F729),MAX(0,DATE(2026,12,31)-F729))</f>
        <v/>
      </c>
      <c r="K729" s="8">
        <f>IF(H729="Paid",0,E729)</f>
        <v/>
      </c>
      <c r="L729" s="2">
        <f>IF(J729=0,"Current",IF(J729&lt;=30,"1-30 Days",IF(J729&lt;=60,"31-60 Days",IF(J729&lt;=90,"61-90 Days","90+ Days"))))</f>
        <v/>
      </c>
      <c r="M729" s="8">
        <f>IF(Raw_Data!K729="Yes",Raw_Data!F729*Raw_Data!L729,0)</f>
        <v/>
      </c>
      <c r="N729" s="2">
        <f>IF(H729&lt;&gt;"Paid","Outstanding",IF(J729=0,"On Time","Late"))</f>
        <v/>
      </c>
    </row>
    <row r="730">
      <c r="A730" s="2">
        <f>Raw_Data!A730</f>
        <v/>
      </c>
      <c r="B730" s="7">
        <f>Raw_Data!B730</f>
        <v/>
      </c>
      <c r="C730" s="2">
        <f>Raw_Data!C730</f>
        <v/>
      </c>
      <c r="D730" s="2">
        <f>Raw_Data!D730</f>
        <v/>
      </c>
      <c r="E730" s="8">
        <f>Raw_Data!F730</f>
        <v/>
      </c>
      <c r="F730" s="7">
        <f>Raw_Data!H730</f>
        <v/>
      </c>
      <c r="G730" s="7">
        <f>Raw_Data!I730</f>
        <v/>
      </c>
      <c r="H730" s="2">
        <f>Raw_Data!J730</f>
        <v/>
      </c>
      <c r="I730" s="2">
        <f>IF(G730="",0,G730-B730)</f>
        <v/>
      </c>
      <c r="J730" s="2">
        <f>IF(H730="Paid",MAX(0,G730-F730),MAX(0,DATE(2026,12,31)-F730))</f>
        <v/>
      </c>
      <c r="K730" s="8">
        <f>IF(H730="Paid",0,E730)</f>
        <v/>
      </c>
      <c r="L730" s="2">
        <f>IF(J730=0,"Current",IF(J730&lt;=30,"1-30 Days",IF(J730&lt;=60,"31-60 Days",IF(J730&lt;=90,"61-90 Days","90+ Days"))))</f>
        <v/>
      </c>
      <c r="M730" s="8">
        <f>IF(Raw_Data!K730="Yes",Raw_Data!F730*Raw_Data!L730,0)</f>
        <v/>
      </c>
      <c r="N730" s="2">
        <f>IF(H730&lt;&gt;"Paid","Outstanding",IF(J730=0,"On Time","Late"))</f>
        <v/>
      </c>
    </row>
    <row r="731">
      <c r="A731" s="2">
        <f>Raw_Data!A731</f>
        <v/>
      </c>
      <c r="B731" s="7">
        <f>Raw_Data!B731</f>
        <v/>
      </c>
      <c r="C731" s="2">
        <f>Raw_Data!C731</f>
        <v/>
      </c>
      <c r="D731" s="2">
        <f>Raw_Data!D731</f>
        <v/>
      </c>
      <c r="E731" s="8">
        <f>Raw_Data!F731</f>
        <v/>
      </c>
      <c r="F731" s="7">
        <f>Raw_Data!H731</f>
        <v/>
      </c>
      <c r="G731" s="7">
        <f>Raw_Data!I731</f>
        <v/>
      </c>
      <c r="H731" s="2">
        <f>Raw_Data!J731</f>
        <v/>
      </c>
      <c r="I731" s="2">
        <f>IF(G731="",0,G731-B731)</f>
        <v/>
      </c>
      <c r="J731" s="2">
        <f>IF(H731="Paid",MAX(0,G731-F731),MAX(0,DATE(2026,12,31)-F731))</f>
        <v/>
      </c>
      <c r="K731" s="8">
        <f>IF(H731="Paid",0,E731)</f>
        <v/>
      </c>
      <c r="L731" s="2">
        <f>IF(J731=0,"Current",IF(J731&lt;=30,"1-30 Days",IF(J731&lt;=60,"31-60 Days",IF(J731&lt;=90,"61-90 Days","90+ Days"))))</f>
        <v/>
      </c>
      <c r="M731" s="8">
        <f>IF(Raw_Data!K731="Yes",Raw_Data!F731*Raw_Data!L731,0)</f>
        <v/>
      </c>
      <c r="N731" s="2">
        <f>IF(H731&lt;&gt;"Paid","Outstanding",IF(J731=0,"On Time","Late"))</f>
        <v/>
      </c>
    </row>
    <row r="732">
      <c r="A732" s="2">
        <f>Raw_Data!A732</f>
        <v/>
      </c>
      <c r="B732" s="7">
        <f>Raw_Data!B732</f>
        <v/>
      </c>
      <c r="C732" s="2">
        <f>Raw_Data!C732</f>
        <v/>
      </c>
      <c r="D732" s="2">
        <f>Raw_Data!D732</f>
        <v/>
      </c>
      <c r="E732" s="8">
        <f>Raw_Data!F732</f>
        <v/>
      </c>
      <c r="F732" s="7">
        <f>Raw_Data!H732</f>
        <v/>
      </c>
      <c r="G732" s="7">
        <f>Raw_Data!I732</f>
        <v/>
      </c>
      <c r="H732" s="2">
        <f>Raw_Data!J732</f>
        <v/>
      </c>
      <c r="I732" s="2">
        <f>IF(G732="",0,G732-B732)</f>
        <v/>
      </c>
      <c r="J732" s="2">
        <f>IF(H732="Paid",MAX(0,G732-F732),MAX(0,DATE(2026,12,31)-F732))</f>
        <v/>
      </c>
      <c r="K732" s="8">
        <f>IF(H732="Paid",0,E732)</f>
        <v/>
      </c>
      <c r="L732" s="2">
        <f>IF(J732=0,"Current",IF(J732&lt;=30,"1-30 Days",IF(J732&lt;=60,"31-60 Days",IF(J732&lt;=90,"61-90 Days","90+ Days"))))</f>
        <v/>
      </c>
      <c r="M732" s="8">
        <f>IF(Raw_Data!K732="Yes",Raw_Data!F732*Raw_Data!L732,0)</f>
        <v/>
      </c>
      <c r="N732" s="2">
        <f>IF(H732&lt;&gt;"Paid","Outstanding",IF(J732=0,"On Time","Late"))</f>
        <v/>
      </c>
    </row>
    <row r="733">
      <c r="A733" s="2">
        <f>Raw_Data!A733</f>
        <v/>
      </c>
      <c r="B733" s="7">
        <f>Raw_Data!B733</f>
        <v/>
      </c>
      <c r="C733" s="2">
        <f>Raw_Data!C733</f>
        <v/>
      </c>
      <c r="D733" s="2">
        <f>Raw_Data!D733</f>
        <v/>
      </c>
      <c r="E733" s="8">
        <f>Raw_Data!F733</f>
        <v/>
      </c>
      <c r="F733" s="7">
        <f>Raw_Data!H733</f>
        <v/>
      </c>
      <c r="G733" s="7">
        <f>Raw_Data!I733</f>
        <v/>
      </c>
      <c r="H733" s="2">
        <f>Raw_Data!J733</f>
        <v/>
      </c>
      <c r="I733" s="2">
        <f>IF(G733="",0,G733-B733)</f>
        <v/>
      </c>
      <c r="J733" s="2">
        <f>IF(H733="Paid",MAX(0,G733-F733),MAX(0,DATE(2026,12,31)-F733))</f>
        <v/>
      </c>
      <c r="K733" s="8">
        <f>IF(H733="Paid",0,E733)</f>
        <v/>
      </c>
      <c r="L733" s="2">
        <f>IF(J733=0,"Current",IF(J733&lt;=30,"1-30 Days",IF(J733&lt;=60,"31-60 Days",IF(J733&lt;=90,"61-90 Days","90+ Days"))))</f>
        <v/>
      </c>
      <c r="M733" s="8">
        <f>IF(Raw_Data!K733="Yes",Raw_Data!F733*Raw_Data!L733,0)</f>
        <v/>
      </c>
      <c r="N733" s="2">
        <f>IF(H733&lt;&gt;"Paid","Outstanding",IF(J733=0,"On Time","Late"))</f>
        <v/>
      </c>
    </row>
    <row r="734">
      <c r="A734" s="2">
        <f>Raw_Data!A734</f>
        <v/>
      </c>
      <c r="B734" s="7">
        <f>Raw_Data!B734</f>
        <v/>
      </c>
      <c r="C734" s="2">
        <f>Raw_Data!C734</f>
        <v/>
      </c>
      <c r="D734" s="2">
        <f>Raw_Data!D734</f>
        <v/>
      </c>
      <c r="E734" s="8">
        <f>Raw_Data!F734</f>
        <v/>
      </c>
      <c r="F734" s="7">
        <f>Raw_Data!H734</f>
        <v/>
      </c>
      <c r="G734" s="7">
        <f>Raw_Data!I734</f>
        <v/>
      </c>
      <c r="H734" s="2">
        <f>Raw_Data!J734</f>
        <v/>
      </c>
      <c r="I734" s="2">
        <f>IF(G734="",0,G734-B734)</f>
        <v/>
      </c>
      <c r="J734" s="2">
        <f>IF(H734="Paid",MAX(0,G734-F734),MAX(0,DATE(2026,12,31)-F734))</f>
        <v/>
      </c>
      <c r="K734" s="8">
        <f>IF(H734="Paid",0,E734)</f>
        <v/>
      </c>
      <c r="L734" s="2">
        <f>IF(J734=0,"Current",IF(J734&lt;=30,"1-30 Days",IF(J734&lt;=60,"31-60 Days",IF(J734&lt;=90,"61-90 Days","90+ Days"))))</f>
        <v/>
      </c>
      <c r="M734" s="8">
        <f>IF(Raw_Data!K734="Yes",Raw_Data!F734*Raw_Data!L734,0)</f>
        <v/>
      </c>
      <c r="N734" s="2">
        <f>IF(H734&lt;&gt;"Paid","Outstanding",IF(J734=0,"On Time","Late"))</f>
        <v/>
      </c>
    </row>
    <row r="735">
      <c r="A735" s="2">
        <f>Raw_Data!A735</f>
        <v/>
      </c>
      <c r="B735" s="7">
        <f>Raw_Data!B735</f>
        <v/>
      </c>
      <c r="C735" s="2">
        <f>Raw_Data!C735</f>
        <v/>
      </c>
      <c r="D735" s="2">
        <f>Raw_Data!D735</f>
        <v/>
      </c>
      <c r="E735" s="8">
        <f>Raw_Data!F735</f>
        <v/>
      </c>
      <c r="F735" s="7">
        <f>Raw_Data!H735</f>
        <v/>
      </c>
      <c r="G735" s="7">
        <f>Raw_Data!I735</f>
        <v/>
      </c>
      <c r="H735" s="2">
        <f>Raw_Data!J735</f>
        <v/>
      </c>
      <c r="I735" s="2">
        <f>IF(G735="",0,G735-B735)</f>
        <v/>
      </c>
      <c r="J735" s="2">
        <f>IF(H735="Paid",MAX(0,G735-F735),MAX(0,DATE(2026,12,31)-F735))</f>
        <v/>
      </c>
      <c r="K735" s="8">
        <f>IF(H735="Paid",0,E735)</f>
        <v/>
      </c>
      <c r="L735" s="2">
        <f>IF(J735=0,"Current",IF(J735&lt;=30,"1-30 Days",IF(J735&lt;=60,"31-60 Days",IF(J735&lt;=90,"61-90 Days","90+ Days"))))</f>
        <v/>
      </c>
      <c r="M735" s="8">
        <f>IF(Raw_Data!K735="Yes",Raw_Data!F735*Raw_Data!L735,0)</f>
        <v/>
      </c>
      <c r="N735" s="2">
        <f>IF(H735&lt;&gt;"Paid","Outstanding",IF(J735=0,"On Time","Late"))</f>
        <v/>
      </c>
    </row>
    <row r="736">
      <c r="A736" s="2">
        <f>Raw_Data!A736</f>
        <v/>
      </c>
      <c r="B736" s="7">
        <f>Raw_Data!B736</f>
        <v/>
      </c>
      <c r="C736" s="2">
        <f>Raw_Data!C736</f>
        <v/>
      </c>
      <c r="D736" s="2">
        <f>Raw_Data!D736</f>
        <v/>
      </c>
      <c r="E736" s="8">
        <f>Raw_Data!F736</f>
        <v/>
      </c>
      <c r="F736" s="7">
        <f>Raw_Data!H736</f>
        <v/>
      </c>
      <c r="G736" s="7">
        <f>Raw_Data!I736</f>
        <v/>
      </c>
      <c r="H736" s="2">
        <f>Raw_Data!J736</f>
        <v/>
      </c>
      <c r="I736" s="2">
        <f>IF(G736="",0,G736-B736)</f>
        <v/>
      </c>
      <c r="J736" s="2">
        <f>IF(H736="Paid",MAX(0,G736-F736),MAX(0,DATE(2026,12,31)-F736))</f>
        <v/>
      </c>
      <c r="K736" s="8">
        <f>IF(H736="Paid",0,E736)</f>
        <v/>
      </c>
      <c r="L736" s="2">
        <f>IF(J736=0,"Current",IF(J736&lt;=30,"1-30 Days",IF(J736&lt;=60,"31-60 Days",IF(J736&lt;=90,"61-90 Days","90+ Days"))))</f>
        <v/>
      </c>
      <c r="M736" s="8">
        <f>IF(Raw_Data!K736="Yes",Raw_Data!F736*Raw_Data!L736,0)</f>
        <v/>
      </c>
      <c r="N736" s="2">
        <f>IF(H736&lt;&gt;"Paid","Outstanding",IF(J736=0,"On Time","Late"))</f>
        <v/>
      </c>
    </row>
    <row r="737">
      <c r="A737" s="2">
        <f>Raw_Data!A737</f>
        <v/>
      </c>
      <c r="B737" s="7">
        <f>Raw_Data!B737</f>
        <v/>
      </c>
      <c r="C737" s="2">
        <f>Raw_Data!C737</f>
        <v/>
      </c>
      <c r="D737" s="2">
        <f>Raw_Data!D737</f>
        <v/>
      </c>
      <c r="E737" s="8">
        <f>Raw_Data!F737</f>
        <v/>
      </c>
      <c r="F737" s="7">
        <f>Raw_Data!H737</f>
        <v/>
      </c>
      <c r="G737" s="7">
        <f>Raw_Data!I737</f>
        <v/>
      </c>
      <c r="H737" s="2">
        <f>Raw_Data!J737</f>
        <v/>
      </c>
      <c r="I737" s="2">
        <f>IF(G737="",0,G737-B737)</f>
        <v/>
      </c>
      <c r="J737" s="2">
        <f>IF(H737="Paid",MAX(0,G737-F737),MAX(0,DATE(2026,12,31)-F737))</f>
        <v/>
      </c>
      <c r="K737" s="8">
        <f>IF(H737="Paid",0,E737)</f>
        <v/>
      </c>
      <c r="L737" s="2">
        <f>IF(J737=0,"Current",IF(J737&lt;=30,"1-30 Days",IF(J737&lt;=60,"31-60 Days",IF(J737&lt;=90,"61-90 Days","90+ Days"))))</f>
        <v/>
      </c>
      <c r="M737" s="8">
        <f>IF(Raw_Data!K737="Yes",Raw_Data!F737*Raw_Data!L737,0)</f>
        <v/>
      </c>
      <c r="N737" s="2">
        <f>IF(H737&lt;&gt;"Paid","Outstanding",IF(J737=0,"On Time","Late"))</f>
        <v/>
      </c>
    </row>
    <row r="738">
      <c r="A738" s="2">
        <f>Raw_Data!A738</f>
        <v/>
      </c>
      <c r="B738" s="7">
        <f>Raw_Data!B738</f>
        <v/>
      </c>
      <c r="C738" s="2">
        <f>Raw_Data!C738</f>
        <v/>
      </c>
      <c r="D738" s="2">
        <f>Raw_Data!D738</f>
        <v/>
      </c>
      <c r="E738" s="8">
        <f>Raw_Data!F738</f>
        <v/>
      </c>
      <c r="F738" s="7">
        <f>Raw_Data!H738</f>
        <v/>
      </c>
      <c r="G738" s="7">
        <f>Raw_Data!I738</f>
        <v/>
      </c>
      <c r="H738" s="2">
        <f>Raw_Data!J738</f>
        <v/>
      </c>
      <c r="I738" s="2">
        <f>IF(G738="",0,G738-B738)</f>
        <v/>
      </c>
      <c r="J738" s="2">
        <f>IF(H738="Paid",MAX(0,G738-F738),MAX(0,DATE(2026,12,31)-F738))</f>
        <v/>
      </c>
      <c r="K738" s="8">
        <f>IF(H738="Paid",0,E738)</f>
        <v/>
      </c>
      <c r="L738" s="2">
        <f>IF(J738=0,"Current",IF(J738&lt;=30,"1-30 Days",IF(J738&lt;=60,"31-60 Days",IF(J738&lt;=90,"61-90 Days","90+ Days"))))</f>
        <v/>
      </c>
      <c r="M738" s="8">
        <f>IF(Raw_Data!K738="Yes",Raw_Data!F738*Raw_Data!L738,0)</f>
        <v/>
      </c>
      <c r="N738" s="2">
        <f>IF(H738&lt;&gt;"Paid","Outstanding",IF(J738=0,"On Time","Late"))</f>
        <v/>
      </c>
    </row>
    <row r="739">
      <c r="A739" s="2">
        <f>Raw_Data!A739</f>
        <v/>
      </c>
      <c r="B739" s="7">
        <f>Raw_Data!B739</f>
        <v/>
      </c>
      <c r="C739" s="2">
        <f>Raw_Data!C739</f>
        <v/>
      </c>
      <c r="D739" s="2">
        <f>Raw_Data!D739</f>
        <v/>
      </c>
      <c r="E739" s="8">
        <f>Raw_Data!F739</f>
        <v/>
      </c>
      <c r="F739" s="7">
        <f>Raw_Data!H739</f>
        <v/>
      </c>
      <c r="G739" s="7">
        <f>Raw_Data!I739</f>
        <v/>
      </c>
      <c r="H739" s="2">
        <f>Raw_Data!J739</f>
        <v/>
      </c>
      <c r="I739" s="2">
        <f>IF(G739="",0,G739-B739)</f>
        <v/>
      </c>
      <c r="J739" s="2">
        <f>IF(H739="Paid",MAX(0,G739-F739),MAX(0,DATE(2026,12,31)-F739))</f>
        <v/>
      </c>
      <c r="K739" s="8">
        <f>IF(H739="Paid",0,E739)</f>
        <v/>
      </c>
      <c r="L739" s="2">
        <f>IF(J739=0,"Current",IF(J739&lt;=30,"1-30 Days",IF(J739&lt;=60,"31-60 Days",IF(J739&lt;=90,"61-90 Days","90+ Days"))))</f>
        <v/>
      </c>
      <c r="M739" s="8">
        <f>IF(Raw_Data!K739="Yes",Raw_Data!F739*Raw_Data!L739,0)</f>
        <v/>
      </c>
      <c r="N739" s="2">
        <f>IF(H739&lt;&gt;"Paid","Outstanding",IF(J739=0,"On Time","Late"))</f>
        <v/>
      </c>
    </row>
    <row r="740">
      <c r="A740" s="2">
        <f>Raw_Data!A740</f>
        <v/>
      </c>
      <c r="B740" s="7">
        <f>Raw_Data!B740</f>
        <v/>
      </c>
      <c r="C740" s="2">
        <f>Raw_Data!C740</f>
        <v/>
      </c>
      <c r="D740" s="2">
        <f>Raw_Data!D740</f>
        <v/>
      </c>
      <c r="E740" s="8">
        <f>Raw_Data!F740</f>
        <v/>
      </c>
      <c r="F740" s="7">
        <f>Raw_Data!H740</f>
        <v/>
      </c>
      <c r="G740" s="7">
        <f>Raw_Data!I740</f>
        <v/>
      </c>
      <c r="H740" s="2">
        <f>Raw_Data!J740</f>
        <v/>
      </c>
      <c r="I740" s="2">
        <f>IF(G740="",0,G740-B740)</f>
        <v/>
      </c>
      <c r="J740" s="2">
        <f>IF(H740="Paid",MAX(0,G740-F740),MAX(0,DATE(2026,12,31)-F740))</f>
        <v/>
      </c>
      <c r="K740" s="8">
        <f>IF(H740="Paid",0,E740)</f>
        <v/>
      </c>
      <c r="L740" s="2">
        <f>IF(J740=0,"Current",IF(J740&lt;=30,"1-30 Days",IF(J740&lt;=60,"31-60 Days",IF(J740&lt;=90,"61-90 Days","90+ Days"))))</f>
        <v/>
      </c>
      <c r="M740" s="8">
        <f>IF(Raw_Data!K740="Yes",Raw_Data!F740*Raw_Data!L740,0)</f>
        <v/>
      </c>
      <c r="N740" s="2">
        <f>IF(H740&lt;&gt;"Paid","Outstanding",IF(J740=0,"On Time","Late"))</f>
        <v/>
      </c>
    </row>
    <row r="741">
      <c r="A741" s="2">
        <f>Raw_Data!A741</f>
        <v/>
      </c>
      <c r="B741" s="7">
        <f>Raw_Data!B741</f>
        <v/>
      </c>
      <c r="C741" s="2">
        <f>Raw_Data!C741</f>
        <v/>
      </c>
      <c r="D741" s="2">
        <f>Raw_Data!D741</f>
        <v/>
      </c>
      <c r="E741" s="8">
        <f>Raw_Data!F741</f>
        <v/>
      </c>
      <c r="F741" s="7">
        <f>Raw_Data!H741</f>
        <v/>
      </c>
      <c r="G741" s="7">
        <f>Raw_Data!I741</f>
        <v/>
      </c>
      <c r="H741" s="2">
        <f>Raw_Data!J741</f>
        <v/>
      </c>
      <c r="I741" s="2">
        <f>IF(G741="",0,G741-B741)</f>
        <v/>
      </c>
      <c r="J741" s="2">
        <f>IF(H741="Paid",MAX(0,G741-F741),MAX(0,DATE(2026,12,31)-F741))</f>
        <v/>
      </c>
      <c r="K741" s="8">
        <f>IF(H741="Paid",0,E741)</f>
        <v/>
      </c>
      <c r="L741" s="2">
        <f>IF(J741=0,"Current",IF(J741&lt;=30,"1-30 Days",IF(J741&lt;=60,"31-60 Days",IF(J741&lt;=90,"61-90 Days","90+ Days"))))</f>
        <v/>
      </c>
      <c r="M741" s="8">
        <f>IF(Raw_Data!K741="Yes",Raw_Data!F741*Raw_Data!L741,0)</f>
        <v/>
      </c>
      <c r="N741" s="2">
        <f>IF(H741&lt;&gt;"Paid","Outstanding",IF(J741=0,"On Time","Late"))</f>
        <v/>
      </c>
    </row>
    <row r="742">
      <c r="A742" s="2">
        <f>Raw_Data!A742</f>
        <v/>
      </c>
      <c r="B742" s="7">
        <f>Raw_Data!B742</f>
        <v/>
      </c>
      <c r="C742" s="2">
        <f>Raw_Data!C742</f>
        <v/>
      </c>
      <c r="D742" s="2">
        <f>Raw_Data!D742</f>
        <v/>
      </c>
      <c r="E742" s="8">
        <f>Raw_Data!F742</f>
        <v/>
      </c>
      <c r="F742" s="7">
        <f>Raw_Data!H742</f>
        <v/>
      </c>
      <c r="G742" s="7">
        <f>Raw_Data!I742</f>
        <v/>
      </c>
      <c r="H742" s="2">
        <f>Raw_Data!J742</f>
        <v/>
      </c>
      <c r="I742" s="2">
        <f>IF(G742="",0,G742-B742)</f>
        <v/>
      </c>
      <c r="J742" s="2">
        <f>IF(H742="Paid",MAX(0,G742-F742),MAX(0,DATE(2026,12,31)-F742))</f>
        <v/>
      </c>
      <c r="K742" s="8">
        <f>IF(H742="Paid",0,E742)</f>
        <v/>
      </c>
      <c r="L742" s="2">
        <f>IF(J742=0,"Current",IF(J742&lt;=30,"1-30 Days",IF(J742&lt;=60,"31-60 Days",IF(J742&lt;=90,"61-90 Days","90+ Days"))))</f>
        <v/>
      </c>
      <c r="M742" s="8">
        <f>IF(Raw_Data!K742="Yes",Raw_Data!F742*Raw_Data!L742,0)</f>
        <v/>
      </c>
      <c r="N742" s="2">
        <f>IF(H742&lt;&gt;"Paid","Outstanding",IF(J742=0,"On Time","Late"))</f>
        <v/>
      </c>
    </row>
    <row r="743">
      <c r="A743" s="2">
        <f>Raw_Data!A743</f>
        <v/>
      </c>
      <c r="B743" s="7">
        <f>Raw_Data!B743</f>
        <v/>
      </c>
      <c r="C743" s="2">
        <f>Raw_Data!C743</f>
        <v/>
      </c>
      <c r="D743" s="2">
        <f>Raw_Data!D743</f>
        <v/>
      </c>
      <c r="E743" s="8">
        <f>Raw_Data!F743</f>
        <v/>
      </c>
      <c r="F743" s="7">
        <f>Raw_Data!H743</f>
        <v/>
      </c>
      <c r="G743" s="7">
        <f>Raw_Data!I743</f>
        <v/>
      </c>
      <c r="H743" s="2">
        <f>Raw_Data!J743</f>
        <v/>
      </c>
      <c r="I743" s="2">
        <f>IF(G743="",0,G743-B743)</f>
        <v/>
      </c>
      <c r="J743" s="2">
        <f>IF(H743="Paid",MAX(0,G743-F743),MAX(0,DATE(2026,12,31)-F743))</f>
        <v/>
      </c>
      <c r="K743" s="8">
        <f>IF(H743="Paid",0,E743)</f>
        <v/>
      </c>
      <c r="L743" s="2">
        <f>IF(J743=0,"Current",IF(J743&lt;=30,"1-30 Days",IF(J743&lt;=60,"31-60 Days",IF(J743&lt;=90,"61-90 Days","90+ Days"))))</f>
        <v/>
      </c>
      <c r="M743" s="8">
        <f>IF(Raw_Data!K743="Yes",Raw_Data!F743*Raw_Data!L743,0)</f>
        <v/>
      </c>
      <c r="N743" s="2">
        <f>IF(H743&lt;&gt;"Paid","Outstanding",IF(J743=0,"On Time","Late"))</f>
        <v/>
      </c>
    </row>
    <row r="744">
      <c r="A744" s="2">
        <f>Raw_Data!A744</f>
        <v/>
      </c>
      <c r="B744" s="7">
        <f>Raw_Data!B744</f>
        <v/>
      </c>
      <c r="C744" s="2">
        <f>Raw_Data!C744</f>
        <v/>
      </c>
      <c r="D744" s="2">
        <f>Raw_Data!D744</f>
        <v/>
      </c>
      <c r="E744" s="8">
        <f>Raw_Data!F744</f>
        <v/>
      </c>
      <c r="F744" s="7">
        <f>Raw_Data!H744</f>
        <v/>
      </c>
      <c r="G744" s="7">
        <f>Raw_Data!I744</f>
        <v/>
      </c>
      <c r="H744" s="2">
        <f>Raw_Data!J744</f>
        <v/>
      </c>
      <c r="I744" s="2">
        <f>IF(G744="",0,G744-B744)</f>
        <v/>
      </c>
      <c r="J744" s="2">
        <f>IF(H744="Paid",MAX(0,G744-F744),MAX(0,DATE(2026,12,31)-F744))</f>
        <v/>
      </c>
      <c r="K744" s="8">
        <f>IF(H744="Paid",0,E744)</f>
        <v/>
      </c>
      <c r="L744" s="2">
        <f>IF(J744=0,"Current",IF(J744&lt;=30,"1-30 Days",IF(J744&lt;=60,"31-60 Days",IF(J744&lt;=90,"61-90 Days","90+ Days"))))</f>
        <v/>
      </c>
      <c r="M744" s="8">
        <f>IF(Raw_Data!K744="Yes",Raw_Data!F744*Raw_Data!L744,0)</f>
        <v/>
      </c>
      <c r="N744" s="2">
        <f>IF(H744&lt;&gt;"Paid","Outstanding",IF(J744=0,"On Time","Late"))</f>
        <v/>
      </c>
    </row>
    <row r="745">
      <c r="A745" s="2">
        <f>Raw_Data!A745</f>
        <v/>
      </c>
      <c r="B745" s="7">
        <f>Raw_Data!B745</f>
        <v/>
      </c>
      <c r="C745" s="2">
        <f>Raw_Data!C745</f>
        <v/>
      </c>
      <c r="D745" s="2">
        <f>Raw_Data!D745</f>
        <v/>
      </c>
      <c r="E745" s="8">
        <f>Raw_Data!F745</f>
        <v/>
      </c>
      <c r="F745" s="7">
        <f>Raw_Data!H745</f>
        <v/>
      </c>
      <c r="G745" s="7">
        <f>Raw_Data!I745</f>
        <v/>
      </c>
      <c r="H745" s="2">
        <f>Raw_Data!J745</f>
        <v/>
      </c>
      <c r="I745" s="2">
        <f>IF(G745="",0,G745-B745)</f>
        <v/>
      </c>
      <c r="J745" s="2">
        <f>IF(H745="Paid",MAX(0,G745-F745),MAX(0,DATE(2026,12,31)-F745))</f>
        <v/>
      </c>
      <c r="K745" s="8">
        <f>IF(H745="Paid",0,E745)</f>
        <v/>
      </c>
      <c r="L745" s="2">
        <f>IF(J745=0,"Current",IF(J745&lt;=30,"1-30 Days",IF(J745&lt;=60,"31-60 Days",IF(J745&lt;=90,"61-90 Days","90+ Days"))))</f>
        <v/>
      </c>
      <c r="M745" s="8">
        <f>IF(Raw_Data!K745="Yes",Raw_Data!F745*Raw_Data!L745,0)</f>
        <v/>
      </c>
      <c r="N745" s="2">
        <f>IF(H745&lt;&gt;"Paid","Outstanding",IF(J745=0,"On Time","Late"))</f>
        <v/>
      </c>
    </row>
    <row r="746">
      <c r="A746" s="2">
        <f>Raw_Data!A746</f>
        <v/>
      </c>
      <c r="B746" s="7">
        <f>Raw_Data!B746</f>
        <v/>
      </c>
      <c r="C746" s="2">
        <f>Raw_Data!C746</f>
        <v/>
      </c>
      <c r="D746" s="2">
        <f>Raw_Data!D746</f>
        <v/>
      </c>
      <c r="E746" s="8">
        <f>Raw_Data!F746</f>
        <v/>
      </c>
      <c r="F746" s="7">
        <f>Raw_Data!H746</f>
        <v/>
      </c>
      <c r="G746" s="7">
        <f>Raw_Data!I746</f>
        <v/>
      </c>
      <c r="H746" s="2">
        <f>Raw_Data!J746</f>
        <v/>
      </c>
      <c r="I746" s="2">
        <f>IF(G746="",0,G746-B746)</f>
        <v/>
      </c>
      <c r="J746" s="2">
        <f>IF(H746="Paid",MAX(0,G746-F746),MAX(0,DATE(2026,12,31)-F746))</f>
        <v/>
      </c>
      <c r="K746" s="8">
        <f>IF(H746="Paid",0,E746)</f>
        <v/>
      </c>
      <c r="L746" s="2">
        <f>IF(J746=0,"Current",IF(J746&lt;=30,"1-30 Days",IF(J746&lt;=60,"31-60 Days",IF(J746&lt;=90,"61-90 Days","90+ Days"))))</f>
        <v/>
      </c>
      <c r="M746" s="8">
        <f>IF(Raw_Data!K746="Yes",Raw_Data!F746*Raw_Data!L746,0)</f>
        <v/>
      </c>
      <c r="N746" s="2">
        <f>IF(H746&lt;&gt;"Paid","Outstanding",IF(J746=0,"On Time","Late"))</f>
        <v/>
      </c>
    </row>
    <row r="747">
      <c r="A747" s="2">
        <f>Raw_Data!A747</f>
        <v/>
      </c>
      <c r="B747" s="7">
        <f>Raw_Data!B747</f>
        <v/>
      </c>
      <c r="C747" s="2">
        <f>Raw_Data!C747</f>
        <v/>
      </c>
      <c r="D747" s="2">
        <f>Raw_Data!D747</f>
        <v/>
      </c>
      <c r="E747" s="8">
        <f>Raw_Data!F747</f>
        <v/>
      </c>
      <c r="F747" s="7">
        <f>Raw_Data!H747</f>
        <v/>
      </c>
      <c r="G747" s="7">
        <f>Raw_Data!I747</f>
        <v/>
      </c>
      <c r="H747" s="2">
        <f>Raw_Data!J747</f>
        <v/>
      </c>
      <c r="I747" s="2">
        <f>IF(G747="",0,G747-B747)</f>
        <v/>
      </c>
      <c r="J747" s="2">
        <f>IF(H747="Paid",MAX(0,G747-F747),MAX(0,DATE(2026,12,31)-F747))</f>
        <v/>
      </c>
      <c r="K747" s="8">
        <f>IF(H747="Paid",0,E747)</f>
        <v/>
      </c>
      <c r="L747" s="2">
        <f>IF(J747=0,"Current",IF(J747&lt;=30,"1-30 Days",IF(J747&lt;=60,"31-60 Days",IF(J747&lt;=90,"61-90 Days","90+ Days"))))</f>
        <v/>
      </c>
      <c r="M747" s="8">
        <f>IF(Raw_Data!K747="Yes",Raw_Data!F747*Raw_Data!L747,0)</f>
        <v/>
      </c>
      <c r="N747" s="2">
        <f>IF(H747&lt;&gt;"Paid","Outstanding",IF(J747=0,"On Time","Late"))</f>
        <v/>
      </c>
    </row>
    <row r="748">
      <c r="A748" s="2">
        <f>Raw_Data!A748</f>
        <v/>
      </c>
      <c r="B748" s="7">
        <f>Raw_Data!B748</f>
        <v/>
      </c>
      <c r="C748" s="2">
        <f>Raw_Data!C748</f>
        <v/>
      </c>
      <c r="D748" s="2">
        <f>Raw_Data!D748</f>
        <v/>
      </c>
      <c r="E748" s="8">
        <f>Raw_Data!F748</f>
        <v/>
      </c>
      <c r="F748" s="7">
        <f>Raw_Data!H748</f>
        <v/>
      </c>
      <c r="G748" s="7">
        <f>Raw_Data!I748</f>
        <v/>
      </c>
      <c r="H748" s="2">
        <f>Raw_Data!J748</f>
        <v/>
      </c>
      <c r="I748" s="2">
        <f>IF(G748="",0,G748-B748)</f>
        <v/>
      </c>
      <c r="J748" s="2">
        <f>IF(H748="Paid",MAX(0,G748-F748),MAX(0,DATE(2026,12,31)-F748))</f>
        <v/>
      </c>
      <c r="K748" s="8">
        <f>IF(H748="Paid",0,E748)</f>
        <v/>
      </c>
      <c r="L748" s="2">
        <f>IF(J748=0,"Current",IF(J748&lt;=30,"1-30 Days",IF(J748&lt;=60,"31-60 Days",IF(J748&lt;=90,"61-90 Days","90+ Days"))))</f>
        <v/>
      </c>
      <c r="M748" s="8">
        <f>IF(Raw_Data!K748="Yes",Raw_Data!F748*Raw_Data!L748,0)</f>
        <v/>
      </c>
      <c r="N748" s="2">
        <f>IF(H748&lt;&gt;"Paid","Outstanding",IF(J748=0,"On Time","Late"))</f>
        <v/>
      </c>
    </row>
    <row r="749">
      <c r="A749" s="2">
        <f>Raw_Data!A749</f>
        <v/>
      </c>
      <c r="B749" s="7">
        <f>Raw_Data!B749</f>
        <v/>
      </c>
      <c r="C749" s="2">
        <f>Raw_Data!C749</f>
        <v/>
      </c>
      <c r="D749" s="2">
        <f>Raw_Data!D749</f>
        <v/>
      </c>
      <c r="E749" s="8">
        <f>Raw_Data!F749</f>
        <v/>
      </c>
      <c r="F749" s="7">
        <f>Raw_Data!H749</f>
        <v/>
      </c>
      <c r="G749" s="7">
        <f>Raw_Data!I749</f>
        <v/>
      </c>
      <c r="H749" s="2">
        <f>Raw_Data!J749</f>
        <v/>
      </c>
      <c r="I749" s="2">
        <f>IF(G749="",0,G749-B749)</f>
        <v/>
      </c>
      <c r="J749" s="2">
        <f>IF(H749="Paid",MAX(0,G749-F749),MAX(0,DATE(2026,12,31)-F749))</f>
        <v/>
      </c>
      <c r="K749" s="8">
        <f>IF(H749="Paid",0,E749)</f>
        <v/>
      </c>
      <c r="L749" s="2">
        <f>IF(J749=0,"Current",IF(J749&lt;=30,"1-30 Days",IF(J749&lt;=60,"31-60 Days",IF(J749&lt;=90,"61-90 Days","90+ Days"))))</f>
        <v/>
      </c>
      <c r="M749" s="8">
        <f>IF(Raw_Data!K749="Yes",Raw_Data!F749*Raw_Data!L749,0)</f>
        <v/>
      </c>
      <c r="N749" s="2">
        <f>IF(H749&lt;&gt;"Paid","Outstanding",IF(J749=0,"On Time","Late"))</f>
        <v/>
      </c>
    </row>
    <row r="750">
      <c r="A750" s="2">
        <f>Raw_Data!A750</f>
        <v/>
      </c>
      <c r="B750" s="7">
        <f>Raw_Data!B750</f>
        <v/>
      </c>
      <c r="C750" s="2">
        <f>Raw_Data!C750</f>
        <v/>
      </c>
      <c r="D750" s="2">
        <f>Raw_Data!D750</f>
        <v/>
      </c>
      <c r="E750" s="8">
        <f>Raw_Data!F750</f>
        <v/>
      </c>
      <c r="F750" s="7">
        <f>Raw_Data!H750</f>
        <v/>
      </c>
      <c r="G750" s="7">
        <f>Raw_Data!I750</f>
        <v/>
      </c>
      <c r="H750" s="2">
        <f>Raw_Data!J750</f>
        <v/>
      </c>
      <c r="I750" s="2">
        <f>IF(G750="",0,G750-B750)</f>
        <v/>
      </c>
      <c r="J750" s="2">
        <f>IF(H750="Paid",MAX(0,G750-F750),MAX(0,DATE(2026,12,31)-F750))</f>
        <v/>
      </c>
      <c r="K750" s="8">
        <f>IF(H750="Paid",0,E750)</f>
        <v/>
      </c>
      <c r="L750" s="2">
        <f>IF(J750=0,"Current",IF(J750&lt;=30,"1-30 Days",IF(J750&lt;=60,"31-60 Days",IF(J750&lt;=90,"61-90 Days","90+ Days"))))</f>
        <v/>
      </c>
      <c r="M750" s="8">
        <f>IF(Raw_Data!K750="Yes",Raw_Data!F750*Raw_Data!L750,0)</f>
        <v/>
      </c>
      <c r="N750" s="2">
        <f>IF(H750&lt;&gt;"Paid","Outstanding",IF(J750=0,"On Time","Late"))</f>
        <v/>
      </c>
    </row>
    <row r="751">
      <c r="A751" s="2">
        <f>Raw_Data!A751</f>
        <v/>
      </c>
      <c r="B751" s="7">
        <f>Raw_Data!B751</f>
        <v/>
      </c>
      <c r="C751" s="2">
        <f>Raw_Data!C751</f>
        <v/>
      </c>
      <c r="D751" s="2">
        <f>Raw_Data!D751</f>
        <v/>
      </c>
      <c r="E751" s="8">
        <f>Raw_Data!F751</f>
        <v/>
      </c>
      <c r="F751" s="7">
        <f>Raw_Data!H751</f>
        <v/>
      </c>
      <c r="G751" s="7">
        <f>Raw_Data!I751</f>
        <v/>
      </c>
      <c r="H751" s="2">
        <f>Raw_Data!J751</f>
        <v/>
      </c>
      <c r="I751" s="2">
        <f>IF(G751="",0,G751-B751)</f>
        <v/>
      </c>
      <c r="J751" s="2">
        <f>IF(H751="Paid",MAX(0,G751-F751),MAX(0,DATE(2026,12,31)-F751))</f>
        <v/>
      </c>
      <c r="K751" s="8">
        <f>IF(H751="Paid",0,E751)</f>
        <v/>
      </c>
      <c r="L751" s="2">
        <f>IF(J751=0,"Current",IF(J751&lt;=30,"1-30 Days",IF(J751&lt;=60,"31-60 Days",IF(J751&lt;=90,"61-90 Days","90+ Days"))))</f>
        <v/>
      </c>
      <c r="M751" s="8">
        <f>IF(Raw_Data!K751="Yes",Raw_Data!F751*Raw_Data!L751,0)</f>
        <v/>
      </c>
      <c r="N751" s="2">
        <f>IF(H751&lt;&gt;"Paid","Outstanding",IF(J751=0,"On Time","Late"))</f>
        <v/>
      </c>
    </row>
    <row r="752">
      <c r="A752" s="2">
        <f>Raw_Data!A752</f>
        <v/>
      </c>
      <c r="B752" s="7">
        <f>Raw_Data!B752</f>
        <v/>
      </c>
      <c r="C752" s="2">
        <f>Raw_Data!C752</f>
        <v/>
      </c>
      <c r="D752" s="2">
        <f>Raw_Data!D752</f>
        <v/>
      </c>
      <c r="E752" s="8">
        <f>Raw_Data!F752</f>
        <v/>
      </c>
      <c r="F752" s="7">
        <f>Raw_Data!H752</f>
        <v/>
      </c>
      <c r="G752" s="7">
        <f>Raw_Data!I752</f>
        <v/>
      </c>
      <c r="H752" s="2">
        <f>Raw_Data!J752</f>
        <v/>
      </c>
      <c r="I752" s="2">
        <f>IF(G752="",0,G752-B752)</f>
        <v/>
      </c>
      <c r="J752" s="2">
        <f>IF(H752="Paid",MAX(0,G752-F752),MAX(0,DATE(2026,12,31)-F752))</f>
        <v/>
      </c>
      <c r="K752" s="8">
        <f>IF(H752="Paid",0,E752)</f>
        <v/>
      </c>
      <c r="L752" s="2">
        <f>IF(J752=0,"Current",IF(J752&lt;=30,"1-30 Days",IF(J752&lt;=60,"31-60 Days",IF(J752&lt;=90,"61-90 Days","90+ Days"))))</f>
        <v/>
      </c>
      <c r="M752" s="8">
        <f>IF(Raw_Data!K752="Yes",Raw_Data!F752*Raw_Data!L752,0)</f>
        <v/>
      </c>
      <c r="N752" s="2">
        <f>IF(H752&lt;&gt;"Paid","Outstanding",IF(J752=0,"On Time","Late"))</f>
        <v/>
      </c>
    </row>
    <row r="753">
      <c r="A753" s="2">
        <f>Raw_Data!A753</f>
        <v/>
      </c>
      <c r="B753" s="7">
        <f>Raw_Data!B753</f>
        <v/>
      </c>
      <c r="C753" s="2">
        <f>Raw_Data!C753</f>
        <v/>
      </c>
      <c r="D753" s="2">
        <f>Raw_Data!D753</f>
        <v/>
      </c>
      <c r="E753" s="8">
        <f>Raw_Data!F753</f>
        <v/>
      </c>
      <c r="F753" s="7">
        <f>Raw_Data!H753</f>
        <v/>
      </c>
      <c r="G753" s="7">
        <f>Raw_Data!I753</f>
        <v/>
      </c>
      <c r="H753" s="2">
        <f>Raw_Data!J753</f>
        <v/>
      </c>
      <c r="I753" s="2">
        <f>IF(G753="",0,G753-B753)</f>
        <v/>
      </c>
      <c r="J753" s="2">
        <f>IF(H753="Paid",MAX(0,G753-F753),MAX(0,DATE(2026,12,31)-F753))</f>
        <v/>
      </c>
      <c r="K753" s="8">
        <f>IF(H753="Paid",0,E753)</f>
        <v/>
      </c>
      <c r="L753" s="2">
        <f>IF(J753=0,"Current",IF(J753&lt;=30,"1-30 Days",IF(J753&lt;=60,"31-60 Days",IF(J753&lt;=90,"61-90 Days","90+ Days"))))</f>
        <v/>
      </c>
      <c r="M753" s="8">
        <f>IF(Raw_Data!K753="Yes",Raw_Data!F753*Raw_Data!L753,0)</f>
        <v/>
      </c>
      <c r="N753" s="2">
        <f>IF(H753&lt;&gt;"Paid","Outstanding",IF(J753=0,"On Time","Late"))</f>
        <v/>
      </c>
    </row>
    <row r="754">
      <c r="A754" s="2">
        <f>Raw_Data!A754</f>
        <v/>
      </c>
      <c r="B754" s="7">
        <f>Raw_Data!B754</f>
        <v/>
      </c>
      <c r="C754" s="2">
        <f>Raw_Data!C754</f>
        <v/>
      </c>
      <c r="D754" s="2">
        <f>Raw_Data!D754</f>
        <v/>
      </c>
      <c r="E754" s="8">
        <f>Raw_Data!F754</f>
        <v/>
      </c>
      <c r="F754" s="7">
        <f>Raw_Data!H754</f>
        <v/>
      </c>
      <c r="G754" s="7">
        <f>Raw_Data!I754</f>
        <v/>
      </c>
      <c r="H754" s="2">
        <f>Raw_Data!J754</f>
        <v/>
      </c>
      <c r="I754" s="2">
        <f>IF(G754="",0,G754-B754)</f>
        <v/>
      </c>
      <c r="J754" s="2">
        <f>IF(H754="Paid",MAX(0,G754-F754),MAX(0,DATE(2026,12,31)-F754))</f>
        <v/>
      </c>
      <c r="K754" s="8">
        <f>IF(H754="Paid",0,E754)</f>
        <v/>
      </c>
      <c r="L754" s="2">
        <f>IF(J754=0,"Current",IF(J754&lt;=30,"1-30 Days",IF(J754&lt;=60,"31-60 Days",IF(J754&lt;=90,"61-90 Days","90+ Days"))))</f>
        <v/>
      </c>
      <c r="M754" s="8">
        <f>IF(Raw_Data!K754="Yes",Raw_Data!F754*Raw_Data!L754,0)</f>
        <v/>
      </c>
      <c r="N754" s="2">
        <f>IF(H754&lt;&gt;"Paid","Outstanding",IF(J754=0,"On Time","Late"))</f>
        <v/>
      </c>
    </row>
    <row r="755">
      <c r="A755" s="2">
        <f>Raw_Data!A755</f>
        <v/>
      </c>
      <c r="B755" s="7">
        <f>Raw_Data!B755</f>
        <v/>
      </c>
      <c r="C755" s="2">
        <f>Raw_Data!C755</f>
        <v/>
      </c>
      <c r="D755" s="2">
        <f>Raw_Data!D755</f>
        <v/>
      </c>
      <c r="E755" s="8">
        <f>Raw_Data!F755</f>
        <v/>
      </c>
      <c r="F755" s="7">
        <f>Raw_Data!H755</f>
        <v/>
      </c>
      <c r="G755" s="7">
        <f>Raw_Data!I755</f>
        <v/>
      </c>
      <c r="H755" s="2">
        <f>Raw_Data!J755</f>
        <v/>
      </c>
      <c r="I755" s="2">
        <f>IF(G755="",0,G755-B755)</f>
        <v/>
      </c>
      <c r="J755" s="2">
        <f>IF(H755="Paid",MAX(0,G755-F755),MAX(0,DATE(2026,12,31)-F755))</f>
        <v/>
      </c>
      <c r="K755" s="8">
        <f>IF(H755="Paid",0,E755)</f>
        <v/>
      </c>
      <c r="L755" s="2">
        <f>IF(J755=0,"Current",IF(J755&lt;=30,"1-30 Days",IF(J755&lt;=60,"31-60 Days",IF(J755&lt;=90,"61-90 Days","90+ Days"))))</f>
        <v/>
      </c>
      <c r="M755" s="8">
        <f>IF(Raw_Data!K755="Yes",Raw_Data!F755*Raw_Data!L755,0)</f>
        <v/>
      </c>
      <c r="N755" s="2">
        <f>IF(H755&lt;&gt;"Paid","Outstanding",IF(J755=0,"On Time","Late"))</f>
        <v/>
      </c>
    </row>
    <row r="756">
      <c r="A756" s="2">
        <f>Raw_Data!A756</f>
        <v/>
      </c>
      <c r="B756" s="7">
        <f>Raw_Data!B756</f>
        <v/>
      </c>
      <c r="C756" s="2">
        <f>Raw_Data!C756</f>
        <v/>
      </c>
      <c r="D756" s="2">
        <f>Raw_Data!D756</f>
        <v/>
      </c>
      <c r="E756" s="8">
        <f>Raw_Data!F756</f>
        <v/>
      </c>
      <c r="F756" s="7">
        <f>Raw_Data!H756</f>
        <v/>
      </c>
      <c r="G756" s="7">
        <f>Raw_Data!I756</f>
        <v/>
      </c>
      <c r="H756" s="2">
        <f>Raw_Data!J756</f>
        <v/>
      </c>
      <c r="I756" s="2">
        <f>IF(G756="",0,G756-B756)</f>
        <v/>
      </c>
      <c r="J756" s="2">
        <f>IF(H756="Paid",MAX(0,G756-F756),MAX(0,DATE(2026,12,31)-F756))</f>
        <v/>
      </c>
      <c r="K756" s="8">
        <f>IF(H756="Paid",0,E756)</f>
        <v/>
      </c>
      <c r="L756" s="2">
        <f>IF(J756=0,"Current",IF(J756&lt;=30,"1-30 Days",IF(J756&lt;=60,"31-60 Days",IF(J756&lt;=90,"61-90 Days","90+ Days"))))</f>
        <v/>
      </c>
      <c r="M756" s="8">
        <f>IF(Raw_Data!K756="Yes",Raw_Data!F756*Raw_Data!L756,0)</f>
        <v/>
      </c>
      <c r="N756" s="2">
        <f>IF(H756&lt;&gt;"Paid","Outstanding",IF(J756=0,"On Time","Late"))</f>
        <v/>
      </c>
    </row>
    <row r="757">
      <c r="A757" s="2">
        <f>Raw_Data!A757</f>
        <v/>
      </c>
      <c r="B757" s="7">
        <f>Raw_Data!B757</f>
        <v/>
      </c>
      <c r="C757" s="2">
        <f>Raw_Data!C757</f>
        <v/>
      </c>
      <c r="D757" s="2">
        <f>Raw_Data!D757</f>
        <v/>
      </c>
      <c r="E757" s="8">
        <f>Raw_Data!F757</f>
        <v/>
      </c>
      <c r="F757" s="7">
        <f>Raw_Data!H757</f>
        <v/>
      </c>
      <c r="G757" s="7">
        <f>Raw_Data!I757</f>
        <v/>
      </c>
      <c r="H757" s="2">
        <f>Raw_Data!J757</f>
        <v/>
      </c>
      <c r="I757" s="2">
        <f>IF(G757="",0,G757-B757)</f>
        <v/>
      </c>
      <c r="J757" s="2">
        <f>IF(H757="Paid",MAX(0,G757-F757),MAX(0,DATE(2026,12,31)-F757))</f>
        <v/>
      </c>
      <c r="K757" s="8">
        <f>IF(H757="Paid",0,E757)</f>
        <v/>
      </c>
      <c r="L757" s="2">
        <f>IF(J757=0,"Current",IF(J757&lt;=30,"1-30 Days",IF(J757&lt;=60,"31-60 Days",IF(J757&lt;=90,"61-90 Days","90+ Days"))))</f>
        <v/>
      </c>
      <c r="M757" s="8">
        <f>IF(Raw_Data!K757="Yes",Raw_Data!F757*Raw_Data!L757,0)</f>
        <v/>
      </c>
      <c r="N757" s="2">
        <f>IF(H757&lt;&gt;"Paid","Outstanding",IF(J757=0,"On Time","Late"))</f>
        <v/>
      </c>
    </row>
    <row r="758">
      <c r="A758" s="2">
        <f>Raw_Data!A758</f>
        <v/>
      </c>
      <c r="B758" s="7">
        <f>Raw_Data!B758</f>
        <v/>
      </c>
      <c r="C758" s="2">
        <f>Raw_Data!C758</f>
        <v/>
      </c>
      <c r="D758" s="2">
        <f>Raw_Data!D758</f>
        <v/>
      </c>
      <c r="E758" s="8">
        <f>Raw_Data!F758</f>
        <v/>
      </c>
      <c r="F758" s="7">
        <f>Raw_Data!H758</f>
        <v/>
      </c>
      <c r="G758" s="7">
        <f>Raw_Data!I758</f>
        <v/>
      </c>
      <c r="H758" s="2">
        <f>Raw_Data!J758</f>
        <v/>
      </c>
      <c r="I758" s="2">
        <f>IF(G758="",0,G758-B758)</f>
        <v/>
      </c>
      <c r="J758" s="2">
        <f>IF(H758="Paid",MAX(0,G758-F758),MAX(0,DATE(2026,12,31)-F758))</f>
        <v/>
      </c>
      <c r="K758" s="8">
        <f>IF(H758="Paid",0,E758)</f>
        <v/>
      </c>
      <c r="L758" s="2">
        <f>IF(J758=0,"Current",IF(J758&lt;=30,"1-30 Days",IF(J758&lt;=60,"31-60 Days",IF(J758&lt;=90,"61-90 Days","90+ Days"))))</f>
        <v/>
      </c>
      <c r="M758" s="8">
        <f>IF(Raw_Data!K758="Yes",Raw_Data!F758*Raw_Data!L758,0)</f>
        <v/>
      </c>
      <c r="N758" s="2">
        <f>IF(H758&lt;&gt;"Paid","Outstanding",IF(J758=0,"On Time","Late"))</f>
        <v/>
      </c>
    </row>
    <row r="759">
      <c r="A759" s="2">
        <f>Raw_Data!A759</f>
        <v/>
      </c>
      <c r="B759" s="7">
        <f>Raw_Data!B759</f>
        <v/>
      </c>
      <c r="C759" s="2">
        <f>Raw_Data!C759</f>
        <v/>
      </c>
      <c r="D759" s="2">
        <f>Raw_Data!D759</f>
        <v/>
      </c>
      <c r="E759" s="8">
        <f>Raw_Data!F759</f>
        <v/>
      </c>
      <c r="F759" s="7">
        <f>Raw_Data!H759</f>
        <v/>
      </c>
      <c r="G759" s="7">
        <f>Raw_Data!I759</f>
        <v/>
      </c>
      <c r="H759" s="2">
        <f>Raw_Data!J759</f>
        <v/>
      </c>
      <c r="I759" s="2">
        <f>IF(G759="",0,G759-B759)</f>
        <v/>
      </c>
      <c r="J759" s="2">
        <f>IF(H759="Paid",MAX(0,G759-F759),MAX(0,DATE(2026,12,31)-F759))</f>
        <v/>
      </c>
      <c r="K759" s="8">
        <f>IF(H759="Paid",0,E759)</f>
        <v/>
      </c>
      <c r="L759" s="2">
        <f>IF(J759=0,"Current",IF(J759&lt;=30,"1-30 Days",IF(J759&lt;=60,"31-60 Days",IF(J759&lt;=90,"61-90 Days","90+ Days"))))</f>
        <v/>
      </c>
      <c r="M759" s="8">
        <f>IF(Raw_Data!K759="Yes",Raw_Data!F759*Raw_Data!L759,0)</f>
        <v/>
      </c>
      <c r="N759" s="2">
        <f>IF(H759&lt;&gt;"Paid","Outstanding",IF(J759=0,"On Time","Late"))</f>
        <v/>
      </c>
    </row>
    <row r="760">
      <c r="A760" s="2">
        <f>Raw_Data!A760</f>
        <v/>
      </c>
      <c r="B760" s="7">
        <f>Raw_Data!B760</f>
        <v/>
      </c>
      <c r="C760" s="2">
        <f>Raw_Data!C760</f>
        <v/>
      </c>
      <c r="D760" s="2">
        <f>Raw_Data!D760</f>
        <v/>
      </c>
      <c r="E760" s="8">
        <f>Raw_Data!F760</f>
        <v/>
      </c>
      <c r="F760" s="7">
        <f>Raw_Data!H760</f>
        <v/>
      </c>
      <c r="G760" s="7">
        <f>Raw_Data!I760</f>
        <v/>
      </c>
      <c r="H760" s="2">
        <f>Raw_Data!J760</f>
        <v/>
      </c>
      <c r="I760" s="2">
        <f>IF(G760="",0,G760-B760)</f>
        <v/>
      </c>
      <c r="J760" s="2">
        <f>IF(H760="Paid",MAX(0,G760-F760),MAX(0,DATE(2026,12,31)-F760))</f>
        <v/>
      </c>
      <c r="K760" s="8">
        <f>IF(H760="Paid",0,E760)</f>
        <v/>
      </c>
      <c r="L760" s="2">
        <f>IF(J760=0,"Current",IF(J760&lt;=30,"1-30 Days",IF(J760&lt;=60,"31-60 Days",IF(J760&lt;=90,"61-90 Days","90+ Days"))))</f>
        <v/>
      </c>
      <c r="M760" s="8">
        <f>IF(Raw_Data!K760="Yes",Raw_Data!F760*Raw_Data!L760,0)</f>
        <v/>
      </c>
      <c r="N760" s="2">
        <f>IF(H760&lt;&gt;"Paid","Outstanding",IF(J760=0,"On Time","Late"))</f>
        <v/>
      </c>
    </row>
    <row r="761">
      <c r="A761" s="2">
        <f>Raw_Data!A761</f>
        <v/>
      </c>
      <c r="B761" s="7">
        <f>Raw_Data!B761</f>
        <v/>
      </c>
      <c r="C761" s="2">
        <f>Raw_Data!C761</f>
        <v/>
      </c>
      <c r="D761" s="2">
        <f>Raw_Data!D761</f>
        <v/>
      </c>
      <c r="E761" s="8">
        <f>Raw_Data!F761</f>
        <v/>
      </c>
      <c r="F761" s="7">
        <f>Raw_Data!H761</f>
        <v/>
      </c>
      <c r="G761" s="7">
        <f>Raw_Data!I761</f>
        <v/>
      </c>
      <c r="H761" s="2">
        <f>Raw_Data!J761</f>
        <v/>
      </c>
      <c r="I761" s="2">
        <f>IF(G761="",0,G761-B761)</f>
        <v/>
      </c>
      <c r="J761" s="2">
        <f>IF(H761="Paid",MAX(0,G761-F761),MAX(0,DATE(2026,12,31)-F761))</f>
        <v/>
      </c>
      <c r="K761" s="8">
        <f>IF(H761="Paid",0,E761)</f>
        <v/>
      </c>
      <c r="L761" s="2">
        <f>IF(J761=0,"Current",IF(J761&lt;=30,"1-30 Days",IF(J761&lt;=60,"31-60 Days",IF(J761&lt;=90,"61-90 Days","90+ Days"))))</f>
        <v/>
      </c>
      <c r="M761" s="8">
        <f>IF(Raw_Data!K761="Yes",Raw_Data!F761*Raw_Data!L761,0)</f>
        <v/>
      </c>
      <c r="N761" s="2">
        <f>IF(H761&lt;&gt;"Paid","Outstanding",IF(J761=0,"On Time","Late"))</f>
        <v/>
      </c>
    </row>
    <row r="762">
      <c r="A762" s="2">
        <f>Raw_Data!A762</f>
        <v/>
      </c>
      <c r="B762" s="7">
        <f>Raw_Data!B762</f>
        <v/>
      </c>
      <c r="C762" s="2">
        <f>Raw_Data!C762</f>
        <v/>
      </c>
      <c r="D762" s="2">
        <f>Raw_Data!D762</f>
        <v/>
      </c>
      <c r="E762" s="8">
        <f>Raw_Data!F762</f>
        <v/>
      </c>
      <c r="F762" s="7">
        <f>Raw_Data!H762</f>
        <v/>
      </c>
      <c r="G762" s="7">
        <f>Raw_Data!I762</f>
        <v/>
      </c>
      <c r="H762" s="2">
        <f>Raw_Data!J762</f>
        <v/>
      </c>
      <c r="I762" s="2">
        <f>IF(G762="",0,G762-B762)</f>
        <v/>
      </c>
      <c r="J762" s="2">
        <f>IF(H762="Paid",MAX(0,G762-F762),MAX(0,DATE(2026,12,31)-F762))</f>
        <v/>
      </c>
      <c r="K762" s="8">
        <f>IF(H762="Paid",0,E762)</f>
        <v/>
      </c>
      <c r="L762" s="2">
        <f>IF(J762=0,"Current",IF(J762&lt;=30,"1-30 Days",IF(J762&lt;=60,"31-60 Days",IF(J762&lt;=90,"61-90 Days","90+ Days"))))</f>
        <v/>
      </c>
      <c r="M762" s="8">
        <f>IF(Raw_Data!K762="Yes",Raw_Data!F762*Raw_Data!L762,0)</f>
        <v/>
      </c>
      <c r="N762" s="2">
        <f>IF(H762&lt;&gt;"Paid","Outstanding",IF(J762=0,"On Time","Late"))</f>
        <v/>
      </c>
    </row>
    <row r="763">
      <c r="A763" s="2">
        <f>Raw_Data!A763</f>
        <v/>
      </c>
      <c r="B763" s="7">
        <f>Raw_Data!B763</f>
        <v/>
      </c>
      <c r="C763" s="2">
        <f>Raw_Data!C763</f>
        <v/>
      </c>
      <c r="D763" s="2">
        <f>Raw_Data!D763</f>
        <v/>
      </c>
      <c r="E763" s="8">
        <f>Raw_Data!F763</f>
        <v/>
      </c>
      <c r="F763" s="7">
        <f>Raw_Data!H763</f>
        <v/>
      </c>
      <c r="G763" s="7">
        <f>Raw_Data!I763</f>
        <v/>
      </c>
      <c r="H763" s="2">
        <f>Raw_Data!J763</f>
        <v/>
      </c>
      <c r="I763" s="2">
        <f>IF(G763="",0,G763-B763)</f>
        <v/>
      </c>
      <c r="J763" s="2">
        <f>IF(H763="Paid",MAX(0,G763-F763),MAX(0,DATE(2026,12,31)-F763))</f>
        <v/>
      </c>
      <c r="K763" s="8">
        <f>IF(H763="Paid",0,E763)</f>
        <v/>
      </c>
      <c r="L763" s="2">
        <f>IF(J763=0,"Current",IF(J763&lt;=30,"1-30 Days",IF(J763&lt;=60,"31-60 Days",IF(J763&lt;=90,"61-90 Days","90+ Days"))))</f>
        <v/>
      </c>
      <c r="M763" s="8">
        <f>IF(Raw_Data!K763="Yes",Raw_Data!F763*Raw_Data!L763,0)</f>
        <v/>
      </c>
      <c r="N763" s="2">
        <f>IF(H763&lt;&gt;"Paid","Outstanding",IF(J763=0,"On Time","Late"))</f>
        <v/>
      </c>
    </row>
    <row r="764">
      <c r="A764" s="2">
        <f>Raw_Data!A764</f>
        <v/>
      </c>
      <c r="B764" s="7">
        <f>Raw_Data!B764</f>
        <v/>
      </c>
      <c r="C764" s="2">
        <f>Raw_Data!C764</f>
        <v/>
      </c>
      <c r="D764" s="2">
        <f>Raw_Data!D764</f>
        <v/>
      </c>
      <c r="E764" s="8">
        <f>Raw_Data!F764</f>
        <v/>
      </c>
      <c r="F764" s="7">
        <f>Raw_Data!H764</f>
        <v/>
      </c>
      <c r="G764" s="7">
        <f>Raw_Data!I764</f>
        <v/>
      </c>
      <c r="H764" s="2">
        <f>Raw_Data!J764</f>
        <v/>
      </c>
      <c r="I764" s="2">
        <f>IF(G764="",0,G764-B764)</f>
        <v/>
      </c>
      <c r="J764" s="2">
        <f>IF(H764="Paid",MAX(0,G764-F764),MAX(0,DATE(2026,12,31)-F764))</f>
        <v/>
      </c>
      <c r="K764" s="8">
        <f>IF(H764="Paid",0,E764)</f>
        <v/>
      </c>
      <c r="L764" s="2">
        <f>IF(J764=0,"Current",IF(J764&lt;=30,"1-30 Days",IF(J764&lt;=60,"31-60 Days",IF(J764&lt;=90,"61-90 Days","90+ Days"))))</f>
        <v/>
      </c>
      <c r="M764" s="8">
        <f>IF(Raw_Data!K764="Yes",Raw_Data!F764*Raw_Data!L764,0)</f>
        <v/>
      </c>
      <c r="N764" s="2">
        <f>IF(H764&lt;&gt;"Paid","Outstanding",IF(J764=0,"On Time","Late"))</f>
        <v/>
      </c>
    </row>
    <row r="765">
      <c r="A765" s="2">
        <f>Raw_Data!A765</f>
        <v/>
      </c>
      <c r="B765" s="7">
        <f>Raw_Data!B765</f>
        <v/>
      </c>
      <c r="C765" s="2">
        <f>Raw_Data!C765</f>
        <v/>
      </c>
      <c r="D765" s="2">
        <f>Raw_Data!D765</f>
        <v/>
      </c>
      <c r="E765" s="8">
        <f>Raw_Data!F765</f>
        <v/>
      </c>
      <c r="F765" s="7">
        <f>Raw_Data!H765</f>
        <v/>
      </c>
      <c r="G765" s="7">
        <f>Raw_Data!I765</f>
        <v/>
      </c>
      <c r="H765" s="2">
        <f>Raw_Data!J765</f>
        <v/>
      </c>
      <c r="I765" s="2">
        <f>IF(G765="",0,G765-B765)</f>
        <v/>
      </c>
      <c r="J765" s="2">
        <f>IF(H765="Paid",MAX(0,G765-F765),MAX(0,DATE(2026,12,31)-F765))</f>
        <v/>
      </c>
      <c r="K765" s="8">
        <f>IF(H765="Paid",0,E765)</f>
        <v/>
      </c>
      <c r="L765" s="2">
        <f>IF(J765=0,"Current",IF(J765&lt;=30,"1-30 Days",IF(J765&lt;=60,"31-60 Days",IF(J765&lt;=90,"61-90 Days","90+ Days"))))</f>
        <v/>
      </c>
      <c r="M765" s="8">
        <f>IF(Raw_Data!K765="Yes",Raw_Data!F765*Raw_Data!L765,0)</f>
        <v/>
      </c>
      <c r="N765" s="2">
        <f>IF(H765&lt;&gt;"Paid","Outstanding",IF(J765=0,"On Time","Late"))</f>
        <v/>
      </c>
    </row>
    <row r="766">
      <c r="A766" s="2">
        <f>Raw_Data!A766</f>
        <v/>
      </c>
      <c r="B766" s="7">
        <f>Raw_Data!B766</f>
        <v/>
      </c>
      <c r="C766" s="2">
        <f>Raw_Data!C766</f>
        <v/>
      </c>
      <c r="D766" s="2">
        <f>Raw_Data!D766</f>
        <v/>
      </c>
      <c r="E766" s="8">
        <f>Raw_Data!F766</f>
        <v/>
      </c>
      <c r="F766" s="7">
        <f>Raw_Data!H766</f>
        <v/>
      </c>
      <c r="G766" s="7">
        <f>Raw_Data!I766</f>
        <v/>
      </c>
      <c r="H766" s="2">
        <f>Raw_Data!J766</f>
        <v/>
      </c>
      <c r="I766" s="2">
        <f>IF(G766="",0,G766-B766)</f>
        <v/>
      </c>
      <c r="J766" s="2">
        <f>IF(H766="Paid",MAX(0,G766-F766),MAX(0,DATE(2026,12,31)-F766))</f>
        <v/>
      </c>
      <c r="K766" s="8">
        <f>IF(H766="Paid",0,E766)</f>
        <v/>
      </c>
      <c r="L766" s="2">
        <f>IF(J766=0,"Current",IF(J766&lt;=30,"1-30 Days",IF(J766&lt;=60,"31-60 Days",IF(J766&lt;=90,"61-90 Days","90+ Days"))))</f>
        <v/>
      </c>
      <c r="M766" s="8">
        <f>IF(Raw_Data!K766="Yes",Raw_Data!F766*Raw_Data!L766,0)</f>
        <v/>
      </c>
      <c r="N766" s="2">
        <f>IF(H766&lt;&gt;"Paid","Outstanding",IF(J766=0,"On Time","Late"))</f>
        <v/>
      </c>
    </row>
    <row r="767">
      <c r="A767" s="2">
        <f>Raw_Data!A767</f>
        <v/>
      </c>
      <c r="B767" s="7">
        <f>Raw_Data!B767</f>
        <v/>
      </c>
      <c r="C767" s="2">
        <f>Raw_Data!C767</f>
        <v/>
      </c>
      <c r="D767" s="2">
        <f>Raw_Data!D767</f>
        <v/>
      </c>
      <c r="E767" s="8">
        <f>Raw_Data!F767</f>
        <v/>
      </c>
      <c r="F767" s="7">
        <f>Raw_Data!H767</f>
        <v/>
      </c>
      <c r="G767" s="7">
        <f>Raw_Data!I767</f>
        <v/>
      </c>
      <c r="H767" s="2">
        <f>Raw_Data!J767</f>
        <v/>
      </c>
      <c r="I767" s="2">
        <f>IF(G767="",0,G767-B767)</f>
        <v/>
      </c>
      <c r="J767" s="2">
        <f>IF(H767="Paid",MAX(0,G767-F767),MAX(0,DATE(2026,12,31)-F767))</f>
        <v/>
      </c>
      <c r="K767" s="8">
        <f>IF(H767="Paid",0,E767)</f>
        <v/>
      </c>
      <c r="L767" s="2">
        <f>IF(J767=0,"Current",IF(J767&lt;=30,"1-30 Days",IF(J767&lt;=60,"31-60 Days",IF(J767&lt;=90,"61-90 Days","90+ Days"))))</f>
        <v/>
      </c>
      <c r="M767" s="8">
        <f>IF(Raw_Data!K767="Yes",Raw_Data!F767*Raw_Data!L767,0)</f>
        <v/>
      </c>
      <c r="N767" s="2">
        <f>IF(H767&lt;&gt;"Paid","Outstanding",IF(J767=0,"On Time","Late"))</f>
        <v/>
      </c>
    </row>
    <row r="768">
      <c r="A768" s="2">
        <f>Raw_Data!A768</f>
        <v/>
      </c>
      <c r="B768" s="7">
        <f>Raw_Data!B768</f>
        <v/>
      </c>
      <c r="C768" s="2">
        <f>Raw_Data!C768</f>
        <v/>
      </c>
      <c r="D768" s="2">
        <f>Raw_Data!D768</f>
        <v/>
      </c>
      <c r="E768" s="8">
        <f>Raw_Data!F768</f>
        <v/>
      </c>
      <c r="F768" s="7">
        <f>Raw_Data!H768</f>
        <v/>
      </c>
      <c r="G768" s="7">
        <f>Raw_Data!I768</f>
        <v/>
      </c>
      <c r="H768" s="2">
        <f>Raw_Data!J768</f>
        <v/>
      </c>
      <c r="I768" s="2">
        <f>IF(G768="",0,G768-B768)</f>
        <v/>
      </c>
      <c r="J768" s="2">
        <f>IF(H768="Paid",MAX(0,G768-F768),MAX(0,DATE(2026,12,31)-F768))</f>
        <v/>
      </c>
      <c r="K768" s="8">
        <f>IF(H768="Paid",0,E768)</f>
        <v/>
      </c>
      <c r="L768" s="2">
        <f>IF(J768=0,"Current",IF(J768&lt;=30,"1-30 Days",IF(J768&lt;=60,"31-60 Days",IF(J768&lt;=90,"61-90 Days","90+ Days"))))</f>
        <v/>
      </c>
      <c r="M768" s="8">
        <f>IF(Raw_Data!K768="Yes",Raw_Data!F768*Raw_Data!L768,0)</f>
        <v/>
      </c>
      <c r="N768" s="2">
        <f>IF(H768&lt;&gt;"Paid","Outstanding",IF(J768=0,"On Time","Late"))</f>
        <v/>
      </c>
    </row>
    <row r="769">
      <c r="A769" s="2">
        <f>Raw_Data!A769</f>
        <v/>
      </c>
      <c r="B769" s="7">
        <f>Raw_Data!B769</f>
        <v/>
      </c>
      <c r="C769" s="2">
        <f>Raw_Data!C769</f>
        <v/>
      </c>
      <c r="D769" s="2">
        <f>Raw_Data!D769</f>
        <v/>
      </c>
      <c r="E769" s="8">
        <f>Raw_Data!F769</f>
        <v/>
      </c>
      <c r="F769" s="7">
        <f>Raw_Data!H769</f>
        <v/>
      </c>
      <c r="G769" s="7">
        <f>Raw_Data!I769</f>
        <v/>
      </c>
      <c r="H769" s="2">
        <f>Raw_Data!J769</f>
        <v/>
      </c>
      <c r="I769" s="2">
        <f>IF(G769="",0,G769-B769)</f>
        <v/>
      </c>
      <c r="J769" s="2">
        <f>IF(H769="Paid",MAX(0,G769-F769),MAX(0,DATE(2026,12,31)-F769))</f>
        <v/>
      </c>
      <c r="K769" s="8">
        <f>IF(H769="Paid",0,E769)</f>
        <v/>
      </c>
      <c r="L769" s="2">
        <f>IF(J769=0,"Current",IF(J769&lt;=30,"1-30 Days",IF(J769&lt;=60,"31-60 Days",IF(J769&lt;=90,"61-90 Days","90+ Days"))))</f>
        <v/>
      </c>
      <c r="M769" s="8">
        <f>IF(Raw_Data!K769="Yes",Raw_Data!F769*Raw_Data!L769,0)</f>
        <v/>
      </c>
      <c r="N769" s="2">
        <f>IF(H769&lt;&gt;"Paid","Outstanding",IF(J769=0,"On Time","Late"))</f>
        <v/>
      </c>
    </row>
    <row r="770">
      <c r="A770" s="2">
        <f>Raw_Data!A770</f>
        <v/>
      </c>
      <c r="B770" s="7">
        <f>Raw_Data!B770</f>
        <v/>
      </c>
      <c r="C770" s="2">
        <f>Raw_Data!C770</f>
        <v/>
      </c>
      <c r="D770" s="2">
        <f>Raw_Data!D770</f>
        <v/>
      </c>
      <c r="E770" s="8">
        <f>Raw_Data!F770</f>
        <v/>
      </c>
      <c r="F770" s="7">
        <f>Raw_Data!H770</f>
        <v/>
      </c>
      <c r="G770" s="7">
        <f>Raw_Data!I770</f>
        <v/>
      </c>
      <c r="H770" s="2">
        <f>Raw_Data!J770</f>
        <v/>
      </c>
      <c r="I770" s="2">
        <f>IF(G770="",0,G770-B770)</f>
        <v/>
      </c>
      <c r="J770" s="2">
        <f>IF(H770="Paid",MAX(0,G770-F770),MAX(0,DATE(2026,12,31)-F770))</f>
        <v/>
      </c>
      <c r="K770" s="8">
        <f>IF(H770="Paid",0,E770)</f>
        <v/>
      </c>
      <c r="L770" s="2">
        <f>IF(J770=0,"Current",IF(J770&lt;=30,"1-30 Days",IF(J770&lt;=60,"31-60 Days",IF(J770&lt;=90,"61-90 Days","90+ Days"))))</f>
        <v/>
      </c>
      <c r="M770" s="8">
        <f>IF(Raw_Data!K770="Yes",Raw_Data!F770*Raw_Data!L770,0)</f>
        <v/>
      </c>
      <c r="N770" s="2">
        <f>IF(H770&lt;&gt;"Paid","Outstanding",IF(J770=0,"On Time","Late"))</f>
        <v/>
      </c>
    </row>
    <row r="771">
      <c r="A771" s="2">
        <f>Raw_Data!A771</f>
        <v/>
      </c>
      <c r="B771" s="7">
        <f>Raw_Data!B771</f>
        <v/>
      </c>
      <c r="C771" s="2">
        <f>Raw_Data!C771</f>
        <v/>
      </c>
      <c r="D771" s="2">
        <f>Raw_Data!D771</f>
        <v/>
      </c>
      <c r="E771" s="8">
        <f>Raw_Data!F771</f>
        <v/>
      </c>
      <c r="F771" s="7">
        <f>Raw_Data!H771</f>
        <v/>
      </c>
      <c r="G771" s="7">
        <f>Raw_Data!I771</f>
        <v/>
      </c>
      <c r="H771" s="2">
        <f>Raw_Data!J771</f>
        <v/>
      </c>
      <c r="I771" s="2">
        <f>IF(G771="",0,G771-B771)</f>
        <v/>
      </c>
      <c r="J771" s="2">
        <f>IF(H771="Paid",MAX(0,G771-F771),MAX(0,DATE(2026,12,31)-F771))</f>
        <v/>
      </c>
      <c r="K771" s="8">
        <f>IF(H771="Paid",0,E771)</f>
        <v/>
      </c>
      <c r="L771" s="2">
        <f>IF(J771=0,"Current",IF(J771&lt;=30,"1-30 Days",IF(J771&lt;=60,"31-60 Days",IF(J771&lt;=90,"61-90 Days","90+ Days"))))</f>
        <v/>
      </c>
      <c r="M771" s="8">
        <f>IF(Raw_Data!K771="Yes",Raw_Data!F771*Raw_Data!L771,0)</f>
        <v/>
      </c>
      <c r="N771" s="2">
        <f>IF(H771&lt;&gt;"Paid","Outstanding",IF(J771=0,"On Time","Late"))</f>
        <v/>
      </c>
    </row>
    <row r="772">
      <c r="A772" s="2">
        <f>Raw_Data!A772</f>
        <v/>
      </c>
      <c r="B772" s="7">
        <f>Raw_Data!B772</f>
        <v/>
      </c>
      <c r="C772" s="2">
        <f>Raw_Data!C772</f>
        <v/>
      </c>
      <c r="D772" s="2">
        <f>Raw_Data!D772</f>
        <v/>
      </c>
      <c r="E772" s="8">
        <f>Raw_Data!F772</f>
        <v/>
      </c>
      <c r="F772" s="7">
        <f>Raw_Data!H772</f>
        <v/>
      </c>
      <c r="G772" s="7">
        <f>Raw_Data!I772</f>
        <v/>
      </c>
      <c r="H772" s="2">
        <f>Raw_Data!J772</f>
        <v/>
      </c>
      <c r="I772" s="2">
        <f>IF(G772="",0,G772-B772)</f>
        <v/>
      </c>
      <c r="J772" s="2">
        <f>IF(H772="Paid",MAX(0,G772-F772),MAX(0,DATE(2026,12,31)-F772))</f>
        <v/>
      </c>
      <c r="K772" s="8">
        <f>IF(H772="Paid",0,E772)</f>
        <v/>
      </c>
      <c r="L772" s="2">
        <f>IF(J772=0,"Current",IF(J772&lt;=30,"1-30 Days",IF(J772&lt;=60,"31-60 Days",IF(J772&lt;=90,"61-90 Days","90+ Days"))))</f>
        <v/>
      </c>
      <c r="M772" s="8">
        <f>IF(Raw_Data!K772="Yes",Raw_Data!F772*Raw_Data!L772,0)</f>
        <v/>
      </c>
      <c r="N772" s="2">
        <f>IF(H772&lt;&gt;"Paid","Outstanding",IF(J772=0,"On Time","Late"))</f>
        <v/>
      </c>
    </row>
    <row r="773">
      <c r="A773" s="2">
        <f>Raw_Data!A773</f>
        <v/>
      </c>
      <c r="B773" s="7">
        <f>Raw_Data!B773</f>
        <v/>
      </c>
      <c r="C773" s="2">
        <f>Raw_Data!C773</f>
        <v/>
      </c>
      <c r="D773" s="2">
        <f>Raw_Data!D773</f>
        <v/>
      </c>
      <c r="E773" s="8">
        <f>Raw_Data!F773</f>
        <v/>
      </c>
      <c r="F773" s="7">
        <f>Raw_Data!H773</f>
        <v/>
      </c>
      <c r="G773" s="7">
        <f>Raw_Data!I773</f>
        <v/>
      </c>
      <c r="H773" s="2">
        <f>Raw_Data!J773</f>
        <v/>
      </c>
      <c r="I773" s="2">
        <f>IF(G773="",0,G773-B773)</f>
        <v/>
      </c>
      <c r="J773" s="2">
        <f>IF(H773="Paid",MAX(0,G773-F773),MAX(0,DATE(2026,12,31)-F773))</f>
        <v/>
      </c>
      <c r="K773" s="8">
        <f>IF(H773="Paid",0,E773)</f>
        <v/>
      </c>
      <c r="L773" s="2">
        <f>IF(J773=0,"Current",IF(J773&lt;=30,"1-30 Days",IF(J773&lt;=60,"31-60 Days",IF(J773&lt;=90,"61-90 Days","90+ Days"))))</f>
        <v/>
      </c>
      <c r="M773" s="8">
        <f>IF(Raw_Data!K773="Yes",Raw_Data!F773*Raw_Data!L773,0)</f>
        <v/>
      </c>
      <c r="N773" s="2">
        <f>IF(H773&lt;&gt;"Paid","Outstanding",IF(J773=0,"On Time","Late"))</f>
        <v/>
      </c>
    </row>
    <row r="774">
      <c r="A774" s="2">
        <f>Raw_Data!A774</f>
        <v/>
      </c>
      <c r="B774" s="7">
        <f>Raw_Data!B774</f>
        <v/>
      </c>
      <c r="C774" s="2">
        <f>Raw_Data!C774</f>
        <v/>
      </c>
      <c r="D774" s="2">
        <f>Raw_Data!D774</f>
        <v/>
      </c>
      <c r="E774" s="8">
        <f>Raw_Data!F774</f>
        <v/>
      </c>
      <c r="F774" s="7">
        <f>Raw_Data!H774</f>
        <v/>
      </c>
      <c r="G774" s="7">
        <f>Raw_Data!I774</f>
        <v/>
      </c>
      <c r="H774" s="2">
        <f>Raw_Data!J774</f>
        <v/>
      </c>
      <c r="I774" s="2">
        <f>IF(G774="",0,G774-B774)</f>
        <v/>
      </c>
      <c r="J774" s="2">
        <f>IF(H774="Paid",MAX(0,G774-F774),MAX(0,DATE(2026,12,31)-F774))</f>
        <v/>
      </c>
      <c r="K774" s="8">
        <f>IF(H774="Paid",0,E774)</f>
        <v/>
      </c>
      <c r="L774" s="2">
        <f>IF(J774=0,"Current",IF(J774&lt;=30,"1-30 Days",IF(J774&lt;=60,"31-60 Days",IF(J774&lt;=90,"61-90 Days","90+ Days"))))</f>
        <v/>
      </c>
      <c r="M774" s="8">
        <f>IF(Raw_Data!K774="Yes",Raw_Data!F774*Raw_Data!L774,0)</f>
        <v/>
      </c>
      <c r="N774" s="2">
        <f>IF(H774&lt;&gt;"Paid","Outstanding",IF(J774=0,"On Time","Late"))</f>
        <v/>
      </c>
    </row>
    <row r="775">
      <c r="A775" s="2">
        <f>Raw_Data!A775</f>
        <v/>
      </c>
      <c r="B775" s="7">
        <f>Raw_Data!B775</f>
        <v/>
      </c>
      <c r="C775" s="2">
        <f>Raw_Data!C775</f>
        <v/>
      </c>
      <c r="D775" s="2">
        <f>Raw_Data!D775</f>
        <v/>
      </c>
      <c r="E775" s="8">
        <f>Raw_Data!F775</f>
        <v/>
      </c>
      <c r="F775" s="7">
        <f>Raw_Data!H775</f>
        <v/>
      </c>
      <c r="G775" s="7">
        <f>Raw_Data!I775</f>
        <v/>
      </c>
      <c r="H775" s="2">
        <f>Raw_Data!J775</f>
        <v/>
      </c>
      <c r="I775" s="2">
        <f>IF(G775="",0,G775-B775)</f>
        <v/>
      </c>
      <c r="J775" s="2">
        <f>IF(H775="Paid",MAX(0,G775-F775),MAX(0,DATE(2026,12,31)-F775))</f>
        <v/>
      </c>
      <c r="K775" s="8">
        <f>IF(H775="Paid",0,E775)</f>
        <v/>
      </c>
      <c r="L775" s="2">
        <f>IF(J775=0,"Current",IF(J775&lt;=30,"1-30 Days",IF(J775&lt;=60,"31-60 Days",IF(J775&lt;=90,"61-90 Days","90+ Days"))))</f>
        <v/>
      </c>
      <c r="M775" s="8">
        <f>IF(Raw_Data!K775="Yes",Raw_Data!F775*Raw_Data!L775,0)</f>
        <v/>
      </c>
      <c r="N775" s="2">
        <f>IF(H775&lt;&gt;"Paid","Outstanding",IF(J775=0,"On Time","Late"))</f>
        <v/>
      </c>
    </row>
    <row r="776">
      <c r="A776" s="2">
        <f>Raw_Data!A776</f>
        <v/>
      </c>
      <c r="B776" s="7">
        <f>Raw_Data!B776</f>
        <v/>
      </c>
      <c r="C776" s="2">
        <f>Raw_Data!C776</f>
        <v/>
      </c>
      <c r="D776" s="2">
        <f>Raw_Data!D776</f>
        <v/>
      </c>
      <c r="E776" s="8">
        <f>Raw_Data!F776</f>
        <v/>
      </c>
      <c r="F776" s="7">
        <f>Raw_Data!H776</f>
        <v/>
      </c>
      <c r="G776" s="7">
        <f>Raw_Data!I776</f>
        <v/>
      </c>
      <c r="H776" s="2">
        <f>Raw_Data!J776</f>
        <v/>
      </c>
      <c r="I776" s="2">
        <f>IF(G776="",0,G776-B776)</f>
        <v/>
      </c>
      <c r="J776" s="2">
        <f>IF(H776="Paid",MAX(0,G776-F776),MAX(0,DATE(2026,12,31)-F776))</f>
        <v/>
      </c>
      <c r="K776" s="8">
        <f>IF(H776="Paid",0,E776)</f>
        <v/>
      </c>
      <c r="L776" s="2">
        <f>IF(J776=0,"Current",IF(J776&lt;=30,"1-30 Days",IF(J776&lt;=60,"31-60 Days",IF(J776&lt;=90,"61-90 Days","90+ Days"))))</f>
        <v/>
      </c>
      <c r="M776" s="8">
        <f>IF(Raw_Data!K776="Yes",Raw_Data!F776*Raw_Data!L776,0)</f>
        <v/>
      </c>
      <c r="N776" s="2">
        <f>IF(H776&lt;&gt;"Paid","Outstanding",IF(J776=0,"On Time","Late"))</f>
        <v/>
      </c>
    </row>
    <row r="777">
      <c r="A777" s="2">
        <f>Raw_Data!A777</f>
        <v/>
      </c>
      <c r="B777" s="7">
        <f>Raw_Data!B777</f>
        <v/>
      </c>
      <c r="C777" s="2">
        <f>Raw_Data!C777</f>
        <v/>
      </c>
      <c r="D777" s="2">
        <f>Raw_Data!D777</f>
        <v/>
      </c>
      <c r="E777" s="8">
        <f>Raw_Data!F777</f>
        <v/>
      </c>
      <c r="F777" s="7">
        <f>Raw_Data!H777</f>
        <v/>
      </c>
      <c r="G777" s="7">
        <f>Raw_Data!I777</f>
        <v/>
      </c>
      <c r="H777" s="2">
        <f>Raw_Data!J777</f>
        <v/>
      </c>
      <c r="I777" s="2">
        <f>IF(G777="",0,G777-B777)</f>
        <v/>
      </c>
      <c r="J777" s="2">
        <f>IF(H777="Paid",MAX(0,G777-F777),MAX(0,DATE(2026,12,31)-F777))</f>
        <v/>
      </c>
      <c r="K777" s="8">
        <f>IF(H777="Paid",0,E777)</f>
        <v/>
      </c>
      <c r="L777" s="2">
        <f>IF(J777=0,"Current",IF(J777&lt;=30,"1-30 Days",IF(J777&lt;=60,"31-60 Days",IF(J777&lt;=90,"61-90 Days","90+ Days"))))</f>
        <v/>
      </c>
      <c r="M777" s="8">
        <f>IF(Raw_Data!K777="Yes",Raw_Data!F777*Raw_Data!L777,0)</f>
        <v/>
      </c>
      <c r="N777" s="2">
        <f>IF(H777&lt;&gt;"Paid","Outstanding",IF(J777=0,"On Time","Late"))</f>
        <v/>
      </c>
    </row>
    <row r="778">
      <c r="A778" s="2">
        <f>Raw_Data!A778</f>
        <v/>
      </c>
      <c r="B778" s="7">
        <f>Raw_Data!B778</f>
        <v/>
      </c>
      <c r="C778" s="2">
        <f>Raw_Data!C778</f>
        <v/>
      </c>
      <c r="D778" s="2">
        <f>Raw_Data!D778</f>
        <v/>
      </c>
      <c r="E778" s="8">
        <f>Raw_Data!F778</f>
        <v/>
      </c>
      <c r="F778" s="7">
        <f>Raw_Data!H778</f>
        <v/>
      </c>
      <c r="G778" s="7">
        <f>Raw_Data!I778</f>
        <v/>
      </c>
      <c r="H778" s="2">
        <f>Raw_Data!J778</f>
        <v/>
      </c>
      <c r="I778" s="2">
        <f>IF(G778="",0,G778-B778)</f>
        <v/>
      </c>
      <c r="J778" s="2">
        <f>IF(H778="Paid",MAX(0,G778-F778),MAX(0,DATE(2026,12,31)-F778))</f>
        <v/>
      </c>
      <c r="K778" s="8">
        <f>IF(H778="Paid",0,E778)</f>
        <v/>
      </c>
      <c r="L778" s="2">
        <f>IF(J778=0,"Current",IF(J778&lt;=30,"1-30 Days",IF(J778&lt;=60,"31-60 Days",IF(J778&lt;=90,"61-90 Days","90+ Days"))))</f>
        <v/>
      </c>
      <c r="M778" s="8">
        <f>IF(Raw_Data!K778="Yes",Raw_Data!F778*Raw_Data!L778,0)</f>
        <v/>
      </c>
      <c r="N778" s="2">
        <f>IF(H778&lt;&gt;"Paid","Outstanding",IF(J778=0,"On Time","Late"))</f>
        <v/>
      </c>
    </row>
    <row r="779">
      <c r="A779" s="2">
        <f>Raw_Data!A779</f>
        <v/>
      </c>
      <c r="B779" s="7">
        <f>Raw_Data!B779</f>
        <v/>
      </c>
      <c r="C779" s="2">
        <f>Raw_Data!C779</f>
        <v/>
      </c>
      <c r="D779" s="2">
        <f>Raw_Data!D779</f>
        <v/>
      </c>
      <c r="E779" s="8">
        <f>Raw_Data!F779</f>
        <v/>
      </c>
      <c r="F779" s="7">
        <f>Raw_Data!H779</f>
        <v/>
      </c>
      <c r="G779" s="7">
        <f>Raw_Data!I779</f>
        <v/>
      </c>
      <c r="H779" s="2">
        <f>Raw_Data!J779</f>
        <v/>
      </c>
      <c r="I779" s="2">
        <f>IF(G779="",0,G779-B779)</f>
        <v/>
      </c>
      <c r="J779" s="2">
        <f>IF(H779="Paid",MAX(0,G779-F779),MAX(0,DATE(2026,12,31)-F779))</f>
        <v/>
      </c>
      <c r="K779" s="8">
        <f>IF(H779="Paid",0,E779)</f>
        <v/>
      </c>
      <c r="L779" s="2">
        <f>IF(J779=0,"Current",IF(J779&lt;=30,"1-30 Days",IF(J779&lt;=60,"31-60 Days",IF(J779&lt;=90,"61-90 Days","90+ Days"))))</f>
        <v/>
      </c>
      <c r="M779" s="8">
        <f>IF(Raw_Data!K779="Yes",Raw_Data!F779*Raw_Data!L779,0)</f>
        <v/>
      </c>
      <c r="N779" s="2">
        <f>IF(H779&lt;&gt;"Paid","Outstanding",IF(J779=0,"On Time","Late"))</f>
        <v/>
      </c>
    </row>
    <row r="780">
      <c r="A780" s="2">
        <f>Raw_Data!A780</f>
        <v/>
      </c>
      <c r="B780" s="7">
        <f>Raw_Data!B780</f>
        <v/>
      </c>
      <c r="C780" s="2">
        <f>Raw_Data!C780</f>
        <v/>
      </c>
      <c r="D780" s="2">
        <f>Raw_Data!D780</f>
        <v/>
      </c>
      <c r="E780" s="8">
        <f>Raw_Data!F780</f>
        <v/>
      </c>
      <c r="F780" s="7">
        <f>Raw_Data!H780</f>
        <v/>
      </c>
      <c r="G780" s="7">
        <f>Raw_Data!I780</f>
        <v/>
      </c>
      <c r="H780" s="2">
        <f>Raw_Data!J780</f>
        <v/>
      </c>
      <c r="I780" s="2">
        <f>IF(G780="",0,G780-B780)</f>
        <v/>
      </c>
      <c r="J780" s="2">
        <f>IF(H780="Paid",MAX(0,G780-F780),MAX(0,DATE(2026,12,31)-F780))</f>
        <v/>
      </c>
      <c r="K780" s="8">
        <f>IF(H780="Paid",0,E780)</f>
        <v/>
      </c>
      <c r="L780" s="2">
        <f>IF(J780=0,"Current",IF(J780&lt;=30,"1-30 Days",IF(J780&lt;=60,"31-60 Days",IF(J780&lt;=90,"61-90 Days","90+ Days"))))</f>
        <v/>
      </c>
      <c r="M780" s="8">
        <f>IF(Raw_Data!K780="Yes",Raw_Data!F780*Raw_Data!L780,0)</f>
        <v/>
      </c>
      <c r="N780" s="2">
        <f>IF(H780&lt;&gt;"Paid","Outstanding",IF(J780=0,"On Time","Late"))</f>
        <v/>
      </c>
    </row>
    <row r="781">
      <c r="A781" s="2">
        <f>Raw_Data!A781</f>
        <v/>
      </c>
      <c r="B781" s="7">
        <f>Raw_Data!B781</f>
        <v/>
      </c>
      <c r="C781" s="2">
        <f>Raw_Data!C781</f>
        <v/>
      </c>
      <c r="D781" s="2">
        <f>Raw_Data!D781</f>
        <v/>
      </c>
      <c r="E781" s="8">
        <f>Raw_Data!F781</f>
        <v/>
      </c>
      <c r="F781" s="7">
        <f>Raw_Data!H781</f>
        <v/>
      </c>
      <c r="G781" s="7">
        <f>Raw_Data!I781</f>
        <v/>
      </c>
      <c r="H781" s="2">
        <f>Raw_Data!J781</f>
        <v/>
      </c>
      <c r="I781" s="2">
        <f>IF(G781="",0,G781-B781)</f>
        <v/>
      </c>
      <c r="J781" s="2">
        <f>IF(H781="Paid",MAX(0,G781-F781),MAX(0,DATE(2026,12,31)-F781))</f>
        <v/>
      </c>
      <c r="K781" s="8">
        <f>IF(H781="Paid",0,E781)</f>
        <v/>
      </c>
      <c r="L781" s="2">
        <f>IF(J781=0,"Current",IF(J781&lt;=30,"1-30 Days",IF(J781&lt;=60,"31-60 Days",IF(J781&lt;=90,"61-90 Days","90+ Days"))))</f>
        <v/>
      </c>
      <c r="M781" s="8">
        <f>IF(Raw_Data!K781="Yes",Raw_Data!F781*Raw_Data!L781,0)</f>
        <v/>
      </c>
      <c r="N781" s="2">
        <f>IF(H781&lt;&gt;"Paid","Outstanding",IF(J781=0,"On Time","Late"))</f>
        <v/>
      </c>
    </row>
    <row r="782">
      <c r="A782" s="2">
        <f>Raw_Data!A782</f>
        <v/>
      </c>
      <c r="B782" s="7">
        <f>Raw_Data!B782</f>
        <v/>
      </c>
      <c r="C782" s="2">
        <f>Raw_Data!C782</f>
        <v/>
      </c>
      <c r="D782" s="2">
        <f>Raw_Data!D782</f>
        <v/>
      </c>
      <c r="E782" s="8">
        <f>Raw_Data!F782</f>
        <v/>
      </c>
      <c r="F782" s="7">
        <f>Raw_Data!H782</f>
        <v/>
      </c>
      <c r="G782" s="7">
        <f>Raw_Data!I782</f>
        <v/>
      </c>
      <c r="H782" s="2">
        <f>Raw_Data!J782</f>
        <v/>
      </c>
      <c r="I782" s="2">
        <f>IF(G782="",0,G782-B782)</f>
        <v/>
      </c>
      <c r="J782" s="2">
        <f>IF(H782="Paid",MAX(0,G782-F782),MAX(0,DATE(2026,12,31)-F782))</f>
        <v/>
      </c>
      <c r="K782" s="8">
        <f>IF(H782="Paid",0,E782)</f>
        <v/>
      </c>
      <c r="L782" s="2">
        <f>IF(J782=0,"Current",IF(J782&lt;=30,"1-30 Days",IF(J782&lt;=60,"31-60 Days",IF(J782&lt;=90,"61-90 Days","90+ Days"))))</f>
        <v/>
      </c>
      <c r="M782" s="8">
        <f>IF(Raw_Data!K782="Yes",Raw_Data!F782*Raw_Data!L782,0)</f>
        <v/>
      </c>
      <c r="N782" s="2">
        <f>IF(H782&lt;&gt;"Paid","Outstanding",IF(J782=0,"On Time","Late"))</f>
        <v/>
      </c>
    </row>
    <row r="783">
      <c r="A783" s="2">
        <f>Raw_Data!A783</f>
        <v/>
      </c>
      <c r="B783" s="7">
        <f>Raw_Data!B783</f>
        <v/>
      </c>
      <c r="C783" s="2">
        <f>Raw_Data!C783</f>
        <v/>
      </c>
      <c r="D783" s="2">
        <f>Raw_Data!D783</f>
        <v/>
      </c>
      <c r="E783" s="8">
        <f>Raw_Data!F783</f>
        <v/>
      </c>
      <c r="F783" s="7">
        <f>Raw_Data!H783</f>
        <v/>
      </c>
      <c r="G783" s="7">
        <f>Raw_Data!I783</f>
        <v/>
      </c>
      <c r="H783" s="2">
        <f>Raw_Data!J783</f>
        <v/>
      </c>
      <c r="I783" s="2">
        <f>IF(G783="",0,G783-B783)</f>
        <v/>
      </c>
      <c r="J783" s="2">
        <f>IF(H783="Paid",MAX(0,G783-F783),MAX(0,DATE(2026,12,31)-F783))</f>
        <v/>
      </c>
      <c r="K783" s="8">
        <f>IF(H783="Paid",0,E783)</f>
        <v/>
      </c>
      <c r="L783" s="2">
        <f>IF(J783=0,"Current",IF(J783&lt;=30,"1-30 Days",IF(J783&lt;=60,"31-60 Days",IF(J783&lt;=90,"61-90 Days","90+ Days"))))</f>
        <v/>
      </c>
      <c r="M783" s="8">
        <f>IF(Raw_Data!K783="Yes",Raw_Data!F783*Raw_Data!L783,0)</f>
        <v/>
      </c>
      <c r="N783" s="2">
        <f>IF(H783&lt;&gt;"Paid","Outstanding",IF(J783=0,"On Time","Late"))</f>
        <v/>
      </c>
    </row>
    <row r="784">
      <c r="A784" s="2">
        <f>Raw_Data!A784</f>
        <v/>
      </c>
      <c r="B784" s="7">
        <f>Raw_Data!B784</f>
        <v/>
      </c>
      <c r="C784" s="2">
        <f>Raw_Data!C784</f>
        <v/>
      </c>
      <c r="D784" s="2">
        <f>Raw_Data!D784</f>
        <v/>
      </c>
      <c r="E784" s="8">
        <f>Raw_Data!F784</f>
        <v/>
      </c>
      <c r="F784" s="7">
        <f>Raw_Data!H784</f>
        <v/>
      </c>
      <c r="G784" s="7">
        <f>Raw_Data!I784</f>
        <v/>
      </c>
      <c r="H784" s="2">
        <f>Raw_Data!J784</f>
        <v/>
      </c>
      <c r="I784" s="2">
        <f>IF(G784="",0,G784-B784)</f>
        <v/>
      </c>
      <c r="J784" s="2">
        <f>IF(H784="Paid",MAX(0,G784-F784),MAX(0,DATE(2026,12,31)-F784))</f>
        <v/>
      </c>
      <c r="K784" s="8">
        <f>IF(H784="Paid",0,E784)</f>
        <v/>
      </c>
      <c r="L784" s="2">
        <f>IF(J784=0,"Current",IF(J784&lt;=30,"1-30 Days",IF(J784&lt;=60,"31-60 Days",IF(J784&lt;=90,"61-90 Days","90+ Days"))))</f>
        <v/>
      </c>
      <c r="M784" s="8">
        <f>IF(Raw_Data!K784="Yes",Raw_Data!F784*Raw_Data!L784,0)</f>
        <v/>
      </c>
      <c r="N784" s="2">
        <f>IF(H784&lt;&gt;"Paid","Outstanding",IF(J784=0,"On Time","Late"))</f>
        <v/>
      </c>
    </row>
    <row r="785">
      <c r="A785" s="2">
        <f>Raw_Data!A785</f>
        <v/>
      </c>
      <c r="B785" s="7">
        <f>Raw_Data!B785</f>
        <v/>
      </c>
      <c r="C785" s="2">
        <f>Raw_Data!C785</f>
        <v/>
      </c>
      <c r="D785" s="2">
        <f>Raw_Data!D785</f>
        <v/>
      </c>
      <c r="E785" s="8">
        <f>Raw_Data!F785</f>
        <v/>
      </c>
      <c r="F785" s="7">
        <f>Raw_Data!H785</f>
        <v/>
      </c>
      <c r="G785" s="7">
        <f>Raw_Data!I785</f>
        <v/>
      </c>
      <c r="H785" s="2">
        <f>Raw_Data!J785</f>
        <v/>
      </c>
      <c r="I785" s="2">
        <f>IF(G785="",0,G785-B785)</f>
        <v/>
      </c>
      <c r="J785" s="2">
        <f>IF(H785="Paid",MAX(0,G785-F785),MAX(0,DATE(2026,12,31)-F785))</f>
        <v/>
      </c>
      <c r="K785" s="8">
        <f>IF(H785="Paid",0,E785)</f>
        <v/>
      </c>
      <c r="L785" s="2">
        <f>IF(J785=0,"Current",IF(J785&lt;=30,"1-30 Days",IF(J785&lt;=60,"31-60 Days",IF(J785&lt;=90,"61-90 Days","90+ Days"))))</f>
        <v/>
      </c>
      <c r="M785" s="8">
        <f>IF(Raw_Data!K785="Yes",Raw_Data!F785*Raw_Data!L785,0)</f>
        <v/>
      </c>
      <c r="N785" s="2">
        <f>IF(H785&lt;&gt;"Paid","Outstanding",IF(J785=0,"On Time","Late"))</f>
        <v/>
      </c>
    </row>
    <row r="786">
      <c r="A786" s="2">
        <f>Raw_Data!A786</f>
        <v/>
      </c>
      <c r="B786" s="7">
        <f>Raw_Data!B786</f>
        <v/>
      </c>
      <c r="C786" s="2">
        <f>Raw_Data!C786</f>
        <v/>
      </c>
      <c r="D786" s="2">
        <f>Raw_Data!D786</f>
        <v/>
      </c>
      <c r="E786" s="8">
        <f>Raw_Data!F786</f>
        <v/>
      </c>
      <c r="F786" s="7">
        <f>Raw_Data!H786</f>
        <v/>
      </c>
      <c r="G786" s="7">
        <f>Raw_Data!I786</f>
        <v/>
      </c>
      <c r="H786" s="2">
        <f>Raw_Data!J786</f>
        <v/>
      </c>
      <c r="I786" s="2">
        <f>IF(G786="",0,G786-B786)</f>
        <v/>
      </c>
      <c r="J786" s="2">
        <f>IF(H786="Paid",MAX(0,G786-F786),MAX(0,DATE(2026,12,31)-F786))</f>
        <v/>
      </c>
      <c r="K786" s="8">
        <f>IF(H786="Paid",0,E786)</f>
        <v/>
      </c>
      <c r="L786" s="2">
        <f>IF(J786=0,"Current",IF(J786&lt;=30,"1-30 Days",IF(J786&lt;=60,"31-60 Days",IF(J786&lt;=90,"61-90 Days","90+ Days"))))</f>
        <v/>
      </c>
      <c r="M786" s="8">
        <f>IF(Raw_Data!K786="Yes",Raw_Data!F786*Raw_Data!L786,0)</f>
        <v/>
      </c>
      <c r="N786" s="2">
        <f>IF(H786&lt;&gt;"Paid","Outstanding",IF(J786=0,"On Time","Late"))</f>
        <v/>
      </c>
    </row>
    <row r="787">
      <c r="A787" s="2">
        <f>Raw_Data!A787</f>
        <v/>
      </c>
      <c r="B787" s="7">
        <f>Raw_Data!B787</f>
        <v/>
      </c>
      <c r="C787" s="2">
        <f>Raw_Data!C787</f>
        <v/>
      </c>
      <c r="D787" s="2">
        <f>Raw_Data!D787</f>
        <v/>
      </c>
      <c r="E787" s="8">
        <f>Raw_Data!F787</f>
        <v/>
      </c>
      <c r="F787" s="7">
        <f>Raw_Data!H787</f>
        <v/>
      </c>
      <c r="G787" s="7">
        <f>Raw_Data!I787</f>
        <v/>
      </c>
      <c r="H787" s="2">
        <f>Raw_Data!J787</f>
        <v/>
      </c>
      <c r="I787" s="2">
        <f>IF(G787="",0,G787-B787)</f>
        <v/>
      </c>
      <c r="J787" s="2">
        <f>IF(H787="Paid",MAX(0,G787-F787),MAX(0,DATE(2026,12,31)-F787))</f>
        <v/>
      </c>
      <c r="K787" s="8">
        <f>IF(H787="Paid",0,E787)</f>
        <v/>
      </c>
      <c r="L787" s="2">
        <f>IF(J787=0,"Current",IF(J787&lt;=30,"1-30 Days",IF(J787&lt;=60,"31-60 Days",IF(J787&lt;=90,"61-90 Days","90+ Days"))))</f>
        <v/>
      </c>
      <c r="M787" s="8">
        <f>IF(Raw_Data!K787="Yes",Raw_Data!F787*Raw_Data!L787,0)</f>
        <v/>
      </c>
      <c r="N787" s="2">
        <f>IF(H787&lt;&gt;"Paid","Outstanding",IF(J787=0,"On Time","Late"))</f>
        <v/>
      </c>
    </row>
    <row r="788">
      <c r="A788" s="2">
        <f>Raw_Data!A788</f>
        <v/>
      </c>
      <c r="B788" s="7">
        <f>Raw_Data!B788</f>
        <v/>
      </c>
      <c r="C788" s="2">
        <f>Raw_Data!C788</f>
        <v/>
      </c>
      <c r="D788" s="2">
        <f>Raw_Data!D788</f>
        <v/>
      </c>
      <c r="E788" s="8">
        <f>Raw_Data!F788</f>
        <v/>
      </c>
      <c r="F788" s="7">
        <f>Raw_Data!H788</f>
        <v/>
      </c>
      <c r="G788" s="7">
        <f>Raw_Data!I788</f>
        <v/>
      </c>
      <c r="H788" s="2">
        <f>Raw_Data!J788</f>
        <v/>
      </c>
      <c r="I788" s="2">
        <f>IF(G788="",0,G788-B788)</f>
        <v/>
      </c>
      <c r="J788" s="2">
        <f>IF(H788="Paid",MAX(0,G788-F788),MAX(0,DATE(2026,12,31)-F788))</f>
        <v/>
      </c>
      <c r="K788" s="8">
        <f>IF(H788="Paid",0,E788)</f>
        <v/>
      </c>
      <c r="L788" s="2">
        <f>IF(J788=0,"Current",IF(J788&lt;=30,"1-30 Days",IF(J788&lt;=60,"31-60 Days",IF(J788&lt;=90,"61-90 Days","90+ Days"))))</f>
        <v/>
      </c>
      <c r="M788" s="8">
        <f>IF(Raw_Data!K788="Yes",Raw_Data!F788*Raw_Data!L788,0)</f>
        <v/>
      </c>
      <c r="N788" s="2">
        <f>IF(H788&lt;&gt;"Paid","Outstanding",IF(J788=0,"On Time","Late"))</f>
        <v/>
      </c>
    </row>
    <row r="789">
      <c r="A789" s="2">
        <f>Raw_Data!A789</f>
        <v/>
      </c>
      <c r="B789" s="7">
        <f>Raw_Data!B789</f>
        <v/>
      </c>
      <c r="C789" s="2">
        <f>Raw_Data!C789</f>
        <v/>
      </c>
      <c r="D789" s="2">
        <f>Raw_Data!D789</f>
        <v/>
      </c>
      <c r="E789" s="8">
        <f>Raw_Data!F789</f>
        <v/>
      </c>
      <c r="F789" s="7">
        <f>Raw_Data!H789</f>
        <v/>
      </c>
      <c r="G789" s="7">
        <f>Raw_Data!I789</f>
        <v/>
      </c>
      <c r="H789" s="2">
        <f>Raw_Data!J789</f>
        <v/>
      </c>
      <c r="I789" s="2">
        <f>IF(G789="",0,G789-B789)</f>
        <v/>
      </c>
      <c r="J789" s="2">
        <f>IF(H789="Paid",MAX(0,G789-F789),MAX(0,DATE(2026,12,31)-F789))</f>
        <v/>
      </c>
      <c r="K789" s="8">
        <f>IF(H789="Paid",0,E789)</f>
        <v/>
      </c>
      <c r="L789" s="2">
        <f>IF(J789=0,"Current",IF(J789&lt;=30,"1-30 Days",IF(J789&lt;=60,"31-60 Days",IF(J789&lt;=90,"61-90 Days","90+ Days"))))</f>
        <v/>
      </c>
      <c r="M789" s="8">
        <f>IF(Raw_Data!K789="Yes",Raw_Data!F789*Raw_Data!L789,0)</f>
        <v/>
      </c>
      <c r="N789" s="2">
        <f>IF(H789&lt;&gt;"Paid","Outstanding",IF(J789=0,"On Time","Late"))</f>
        <v/>
      </c>
    </row>
    <row r="790">
      <c r="A790" s="2">
        <f>Raw_Data!A790</f>
        <v/>
      </c>
      <c r="B790" s="7">
        <f>Raw_Data!B790</f>
        <v/>
      </c>
      <c r="C790" s="2">
        <f>Raw_Data!C790</f>
        <v/>
      </c>
      <c r="D790" s="2">
        <f>Raw_Data!D790</f>
        <v/>
      </c>
      <c r="E790" s="8">
        <f>Raw_Data!F790</f>
        <v/>
      </c>
      <c r="F790" s="7">
        <f>Raw_Data!H790</f>
        <v/>
      </c>
      <c r="G790" s="7">
        <f>Raw_Data!I790</f>
        <v/>
      </c>
      <c r="H790" s="2">
        <f>Raw_Data!J790</f>
        <v/>
      </c>
      <c r="I790" s="2">
        <f>IF(G790="",0,G790-B790)</f>
        <v/>
      </c>
      <c r="J790" s="2">
        <f>IF(H790="Paid",MAX(0,G790-F790),MAX(0,DATE(2026,12,31)-F790))</f>
        <v/>
      </c>
      <c r="K790" s="8">
        <f>IF(H790="Paid",0,E790)</f>
        <v/>
      </c>
      <c r="L790" s="2">
        <f>IF(J790=0,"Current",IF(J790&lt;=30,"1-30 Days",IF(J790&lt;=60,"31-60 Days",IF(J790&lt;=90,"61-90 Days","90+ Days"))))</f>
        <v/>
      </c>
      <c r="M790" s="8">
        <f>IF(Raw_Data!K790="Yes",Raw_Data!F790*Raw_Data!L790,0)</f>
        <v/>
      </c>
      <c r="N790" s="2">
        <f>IF(H790&lt;&gt;"Paid","Outstanding",IF(J790=0,"On Time","Late"))</f>
        <v/>
      </c>
    </row>
    <row r="791">
      <c r="A791" s="2">
        <f>Raw_Data!A791</f>
        <v/>
      </c>
      <c r="B791" s="7">
        <f>Raw_Data!B791</f>
        <v/>
      </c>
      <c r="C791" s="2">
        <f>Raw_Data!C791</f>
        <v/>
      </c>
      <c r="D791" s="2">
        <f>Raw_Data!D791</f>
        <v/>
      </c>
      <c r="E791" s="8">
        <f>Raw_Data!F791</f>
        <v/>
      </c>
      <c r="F791" s="7">
        <f>Raw_Data!H791</f>
        <v/>
      </c>
      <c r="G791" s="7">
        <f>Raw_Data!I791</f>
        <v/>
      </c>
      <c r="H791" s="2">
        <f>Raw_Data!J791</f>
        <v/>
      </c>
      <c r="I791" s="2">
        <f>IF(G791="",0,G791-B791)</f>
        <v/>
      </c>
      <c r="J791" s="2">
        <f>IF(H791="Paid",MAX(0,G791-F791),MAX(0,DATE(2026,12,31)-F791))</f>
        <v/>
      </c>
      <c r="K791" s="8">
        <f>IF(H791="Paid",0,E791)</f>
        <v/>
      </c>
      <c r="L791" s="2">
        <f>IF(J791=0,"Current",IF(J791&lt;=30,"1-30 Days",IF(J791&lt;=60,"31-60 Days",IF(J791&lt;=90,"61-90 Days","90+ Days"))))</f>
        <v/>
      </c>
      <c r="M791" s="8">
        <f>IF(Raw_Data!K791="Yes",Raw_Data!F791*Raw_Data!L791,0)</f>
        <v/>
      </c>
      <c r="N791" s="2">
        <f>IF(H791&lt;&gt;"Paid","Outstanding",IF(J791=0,"On Time","Late"))</f>
        <v/>
      </c>
    </row>
    <row r="792">
      <c r="A792" s="2">
        <f>Raw_Data!A792</f>
        <v/>
      </c>
      <c r="B792" s="7">
        <f>Raw_Data!B792</f>
        <v/>
      </c>
      <c r="C792" s="2">
        <f>Raw_Data!C792</f>
        <v/>
      </c>
      <c r="D792" s="2">
        <f>Raw_Data!D792</f>
        <v/>
      </c>
      <c r="E792" s="8">
        <f>Raw_Data!F792</f>
        <v/>
      </c>
      <c r="F792" s="7">
        <f>Raw_Data!H792</f>
        <v/>
      </c>
      <c r="G792" s="7">
        <f>Raw_Data!I792</f>
        <v/>
      </c>
      <c r="H792" s="2">
        <f>Raw_Data!J792</f>
        <v/>
      </c>
      <c r="I792" s="2">
        <f>IF(G792="",0,G792-B792)</f>
        <v/>
      </c>
      <c r="J792" s="2">
        <f>IF(H792="Paid",MAX(0,G792-F792),MAX(0,DATE(2026,12,31)-F792))</f>
        <v/>
      </c>
      <c r="K792" s="8">
        <f>IF(H792="Paid",0,E792)</f>
        <v/>
      </c>
      <c r="L792" s="2">
        <f>IF(J792=0,"Current",IF(J792&lt;=30,"1-30 Days",IF(J792&lt;=60,"31-60 Days",IF(J792&lt;=90,"61-90 Days","90+ Days"))))</f>
        <v/>
      </c>
      <c r="M792" s="8">
        <f>IF(Raw_Data!K792="Yes",Raw_Data!F792*Raw_Data!L792,0)</f>
        <v/>
      </c>
      <c r="N792" s="2">
        <f>IF(H792&lt;&gt;"Paid","Outstanding",IF(J792=0,"On Time","Late"))</f>
        <v/>
      </c>
    </row>
    <row r="793">
      <c r="A793" s="2">
        <f>Raw_Data!A793</f>
        <v/>
      </c>
      <c r="B793" s="7">
        <f>Raw_Data!B793</f>
        <v/>
      </c>
      <c r="C793" s="2">
        <f>Raw_Data!C793</f>
        <v/>
      </c>
      <c r="D793" s="2">
        <f>Raw_Data!D793</f>
        <v/>
      </c>
      <c r="E793" s="8">
        <f>Raw_Data!F793</f>
        <v/>
      </c>
      <c r="F793" s="7">
        <f>Raw_Data!H793</f>
        <v/>
      </c>
      <c r="G793" s="7">
        <f>Raw_Data!I793</f>
        <v/>
      </c>
      <c r="H793" s="2">
        <f>Raw_Data!J793</f>
        <v/>
      </c>
      <c r="I793" s="2">
        <f>IF(G793="",0,G793-B793)</f>
        <v/>
      </c>
      <c r="J793" s="2">
        <f>IF(H793="Paid",MAX(0,G793-F793),MAX(0,DATE(2026,12,31)-F793))</f>
        <v/>
      </c>
      <c r="K793" s="8">
        <f>IF(H793="Paid",0,E793)</f>
        <v/>
      </c>
      <c r="L793" s="2">
        <f>IF(J793=0,"Current",IF(J793&lt;=30,"1-30 Days",IF(J793&lt;=60,"31-60 Days",IF(J793&lt;=90,"61-90 Days","90+ Days"))))</f>
        <v/>
      </c>
      <c r="M793" s="8">
        <f>IF(Raw_Data!K793="Yes",Raw_Data!F793*Raw_Data!L793,0)</f>
        <v/>
      </c>
      <c r="N793" s="2">
        <f>IF(H793&lt;&gt;"Paid","Outstanding",IF(J793=0,"On Time","Late"))</f>
        <v/>
      </c>
    </row>
    <row r="794">
      <c r="A794" s="2">
        <f>Raw_Data!A794</f>
        <v/>
      </c>
      <c r="B794" s="7">
        <f>Raw_Data!B794</f>
        <v/>
      </c>
      <c r="C794" s="2">
        <f>Raw_Data!C794</f>
        <v/>
      </c>
      <c r="D794" s="2">
        <f>Raw_Data!D794</f>
        <v/>
      </c>
      <c r="E794" s="8">
        <f>Raw_Data!F794</f>
        <v/>
      </c>
      <c r="F794" s="7">
        <f>Raw_Data!H794</f>
        <v/>
      </c>
      <c r="G794" s="7">
        <f>Raw_Data!I794</f>
        <v/>
      </c>
      <c r="H794" s="2">
        <f>Raw_Data!J794</f>
        <v/>
      </c>
      <c r="I794" s="2">
        <f>IF(G794="",0,G794-B794)</f>
        <v/>
      </c>
      <c r="J794" s="2">
        <f>IF(H794="Paid",MAX(0,G794-F794),MAX(0,DATE(2026,12,31)-F794))</f>
        <v/>
      </c>
      <c r="K794" s="8">
        <f>IF(H794="Paid",0,E794)</f>
        <v/>
      </c>
      <c r="L794" s="2">
        <f>IF(J794=0,"Current",IF(J794&lt;=30,"1-30 Days",IF(J794&lt;=60,"31-60 Days",IF(J794&lt;=90,"61-90 Days","90+ Days"))))</f>
        <v/>
      </c>
      <c r="M794" s="8">
        <f>IF(Raw_Data!K794="Yes",Raw_Data!F794*Raw_Data!L794,0)</f>
        <v/>
      </c>
      <c r="N794" s="2">
        <f>IF(H794&lt;&gt;"Paid","Outstanding",IF(J794=0,"On Time","Late"))</f>
        <v/>
      </c>
    </row>
    <row r="795">
      <c r="A795" s="2">
        <f>Raw_Data!A795</f>
        <v/>
      </c>
      <c r="B795" s="7">
        <f>Raw_Data!B795</f>
        <v/>
      </c>
      <c r="C795" s="2">
        <f>Raw_Data!C795</f>
        <v/>
      </c>
      <c r="D795" s="2">
        <f>Raw_Data!D795</f>
        <v/>
      </c>
      <c r="E795" s="8">
        <f>Raw_Data!F795</f>
        <v/>
      </c>
      <c r="F795" s="7">
        <f>Raw_Data!H795</f>
        <v/>
      </c>
      <c r="G795" s="7">
        <f>Raw_Data!I795</f>
        <v/>
      </c>
      <c r="H795" s="2">
        <f>Raw_Data!J795</f>
        <v/>
      </c>
      <c r="I795" s="2">
        <f>IF(G795="",0,G795-B795)</f>
        <v/>
      </c>
      <c r="J795" s="2">
        <f>IF(H795="Paid",MAX(0,G795-F795),MAX(0,DATE(2026,12,31)-F795))</f>
        <v/>
      </c>
      <c r="K795" s="8">
        <f>IF(H795="Paid",0,E795)</f>
        <v/>
      </c>
      <c r="L795" s="2">
        <f>IF(J795=0,"Current",IF(J795&lt;=30,"1-30 Days",IF(J795&lt;=60,"31-60 Days",IF(J795&lt;=90,"61-90 Days","90+ Days"))))</f>
        <v/>
      </c>
      <c r="M795" s="8">
        <f>IF(Raw_Data!K795="Yes",Raw_Data!F795*Raw_Data!L795,0)</f>
        <v/>
      </c>
      <c r="N795" s="2">
        <f>IF(H795&lt;&gt;"Paid","Outstanding",IF(J795=0,"On Time","Late"))</f>
        <v/>
      </c>
    </row>
    <row r="796">
      <c r="A796" s="2">
        <f>Raw_Data!A796</f>
        <v/>
      </c>
      <c r="B796" s="7">
        <f>Raw_Data!B796</f>
        <v/>
      </c>
      <c r="C796" s="2">
        <f>Raw_Data!C796</f>
        <v/>
      </c>
      <c r="D796" s="2">
        <f>Raw_Data!D796</f>
        <v/>
      </c>
      <c r="E796" s="8">
        <f>Raw_Data!F796</f>
        <v/>
      </c>
      <c r="F796" s="7">
        <f>Raw_Data!H796</f>
        <v/>
      </c>
      <c r="G796" s="7">
        <f>Raw_Data!I796</f>
        <v/>
      </c>
      <c r="H796" s="2">
        <f>Raw_Data!J796</f>
        <v/>
      </c>
      <c r="I796" s="2">
        <f>IF(G796="",0,G796-B796)</f>
        <v/>
      </c>
      <c r="J796" s="2">
        <f>IF(H796="Paid",MAX(0,G796-F796),MAX(0,DATE(2026,12,31)-F796))</f>
        <v/>
      </c>
      <c r="K796" s="8">
        <f>IF(H796="Paid",0,E796)</f>
        <v/>
      </c>
      <c r="L796" s="2">
        <f>IF(J796=0,"Current",IF(J796&lt;=30,"1-30 Days",IF(J796&lt;=60,"31-60 Days",IF(J796&lt;=90,"61-90 Days","90+ Days"))))</f>
        <v/>
      </c>
      <c r="M796" s="8">
        <f>IF(Raw_Data!K796="Yes",Raw_Data!F796*Raw_Data!L796,0)</f>
        <v/>
      </c>
      <c r="N796" s="2">
        <f>IF(H796&lt;&gt;"Paid","Outstanding",IF(J796=0,"On Time","Late"))</f>
        <v/>
      </c>
    </row>
    <row r="797">
      <c r="A797" s="2">
        <f>Raw_Data!A797</f>
        <v/>
      </c>
      <c r="B797" s="7">
        <f>Raw_Data!B797</f>
        <v/>
      </c>
      <c r="C797" s="2">
        <f>Raw_Data!C797</f>
        <v/>
      </c>
      <c r="D797" s="2">
        <f>Raw_Data!D797</f>
        <v/>
      </c>
      <c r="E797" s="8">
        <f>Raw_Data!F797</f>
        <v/>
      </c>
      <c r="F797" s="7">
        <f>Raw_Data!H797</f>
        <v/>
      </c>
      <c r="G797" s="7">
        <f>Raw_Data!I797</f>
        <v/>
      </c>
      <c r="H797" s="2">
        <f>Raw_Data!J797</f>
        <v/>
      </c>
      <c r="I797" s="2">
        <f>IF(G797="",0,G797-B797)</f>
        <v/>
      </c>
      <c r="J797" s="2">
        <f>IF(H797="Paid",MAX(0,G797-F797),MAX(0,DATE(2026,12,31)-F797))</f>
        <v/>
      </c>
      <c r="K797" s="8">
        <f>IF(H797="Paid",0,E797)</f>
        <v/>
      </c>
      <c r="L797" s="2">
        <f>IF(J797=0,"Current",IF(J797&lt;=30,"1-30 Days",IF(J797&lt;=60,"31-60 Days",IF(J797&lt;=90,"61-90 Days","90+ Days"))))</f>
        <v/>
      </c>
      <c r="M797" s="8">
        <f>IF(Raw_Data!K797="Yes",Raw_Data!F797*Raw_Data!L797,0)</f>
        <v/>
      </c>
      <c r="N797" s="2">
        <f>IF(H797&lt;&gt;"Paid","Outstanding",IF(J797=0,"On Time","Late"))</f>
        <v/>
      </c>
    </row>
    <row r="798">
      <c r="A798" s="2">
        <f>Raw_Data!A798</f>
        <v/>
      </c>
      <c r="B798" s="7">
        <f>Raw_Data!B798</f>
        <v/>
      </c>
      <c r="C798" s="2">
        <f>Raw_Data!C798</f>
        <v/>
      </c>
      <c r="D798" s="2">
        <f>Raw_Data!D798</f>
        <v/>
      </c>
      <c r="E798" s="8">
        <f>Raw_Data!F798</f>
        <v/>
      </c>
      <c r="F798" s="7">
        <f>Raw_Data!H798</f>
        <v/>
      </c>
      <c r="G798" s="7">
        <f>Raw_Data!I798</f>
        <v/>
      </c>
      <c r="H798" s="2">
        <f>Raw_Data!J798</f>
        <v/>
      </c>
      <c r="I798" s="2">
        <f>IF(G798="",0,G798-B798)</f>
        <v/>
      </c>
      <c r="J798" s="2">
        <f>IF(H798="Paid",MAX(0,G798-F798),MAX(0,DATE(2026,12,31)-F798))</f>
        <v/>
      </c>
      <c r="K798" s="8">
        <f>IF(H798="Paid",0,E798)</f>
        <v/>
      </c>
      <c r="L798" s="2">
        <f>IF(J798=0,"Current",IF(J798&lt;=30,"1-30 Days",IF(J798&lt;=60,"31-60 Days",IF(J798&lt;=90,"61-90 Days","90+ Days"))))</f>
        <v/>
      </c>
      <c r="M798" s="8">
        <f>IF(Raw_Data!K798="Yes",Raw_Data!F798*Raw_Data!L798,0)</f>
        <v/>
      </c>
      <c r="N798" s="2">
        <f>IF(H798&lt;&gt;"Paid","Outstanding",IF(J798=0,"On Time","Late"))</f>
        <v/>
      </c>
    </row>
    <row r="799">
      <c r="A799" s="2">
        <f>Raw_Data!A799</f>
        <v/>
      </c>
      <c r="B799" s="7">
        <f>Raw_Data!B799</f>
        <v/>
      </c>
      <c r="C799" s="2">
        <f>Raw_Data!C799</f>
        <v/>
      </c>
      <c r="D799" s="2">
        <f>Raw_Data!D799</f>
        <v/>
      </c>
      <c r="E799" s="8">
        <f>Raw_Data!F799</f>
        <v/>
      </c>
      <c r="F799" s="7">
        <f>Raw_Data!H799</f>
        <v/>
      </c>
      <c r="G799" s="7">
        <f>Raw_Data!I799</f>
        <v/>
      </c>
      <c r="H799" s="2">
        <f>Raw_Data!J799</f>
        <v/>
      </c>
      <c r="I799" s="2">
        <f>IF(G799="",0,G799-B799)</f>
        <v/>
      </c>
      <c r="J799" s="2">
        <f>IF(H799="Paid",MAX(0,G799-F799),MAX(0,DATE(2026,12,31)-F799))</f>
        <v/>
      </c>
      <c r="K799" s="8">
        <f>IF(H799="Paid",0,E799)</f>
        <v/>
      </c>
      <c r="L799" s="2">
        <f>IF(J799=0,"Current",IF(J799&lt;=30,"1-30 Days",IF(J799&lt;=60,"31-60 Days",IF(J799&lt;=90,"61-90 Days","90+ Days"))))</f>
        <v/>
      </c>
      <c r="M799" s="8">
        <f>IF(Raw_Data!K799="Yes",Raw_Data!F799*Raw_Data!L799,0)</f>
        <v/>
      </c>
      <c r="N799" s="2">
        <f>IF(H799&lt;&gt;"Paid","Outstanding",IF(J799=0,"On Time","Late"))</f>
        <v/>
      </c>
    </row>
    <row r="800">
      <c r="A800" s="2">
        <f>Raw_Data!A800</f>
        <v/>
      </c>
      <c r="B800" s="7">
        <f>Raw_Data!B800</f>
        <v/>
      </c>
      <c r="C800" s="2">
        <f>Raw_Data!C800</f>
        <v/>
      </c>
      <c r="D800" s="2">
        <f>Raw_Data!D800</f>
        <v/>
      </c>
      <c r="E800" s="8">
        <f>Raw_Data!F800</f>
        <v/>
      </c>
      <c r="F800" s="7">
        <f>Raw_Data!H800</f>
        <v/>
      </c>
      <c r="G800" s="7">
        <f>Raw_Data!I800</f>
        <v/>
      </c>
      <c r="H800" s="2">
        <f>Raw_Data!J800</f>
        <v/>
      </c>
      <c r="I800" s="2">
        <f>IF(G800="",0,G800-B800)</f>
        <v/>
      </c>
      <c r="J800" s="2">
        <f>IF(H800="Paid",MAX(0,G800-F800),MAX(0,DATE(2026,12,31)-F800))</f>
        <v/>
      </c>
      <c r="K800" s="8">
        <f>IF(H800="Paid",0,E800)</f>
        <v/>
      </c>
      <c r="L800" s="2">
        <f>IF(J800=0,"Current",IF(J800&lt;=30,"1-30 Days",IF(J800&lt;=60,"31-60 Days",IF(J800&lt;=90,"61-90 Days","90+ Days"))))</f>
        <v/>
      </c>
      <c r="M800" s="8">
        <f>IF(Raw_Data!K800="Yes",Raw_Data!F800*Raw_Data!L800,0)</f>
        <v/>
      </c>
      <c r="N800" s="2">
        <f>IF(H800&lt;&gt;"Paid","Outstanding",IF(J800=0,"On Time","Late"))</f>
        <v/>
      </c>
    </row>
    <row r="801">
      <c r="A801" s="2">
        <f>Raw_Data!A801</f>
        <v/>
      </c>
      <c r="B801" s="7">
        <f>Raw_Data!B801</f>
        <v/>
      </c>
      <c r="C801" s="2">
        <f>Raw_Data!C801</f>
        <v/>
      </c>
      <c r="D801" s="2">
        <f>Raw_Data!D801</f>
        <v/>
      </c>
      <c r="E801" s="8">
        <f>Raw_Data!F801</f>
        <v/>
      </c>
      <c r="F801" s="7">
        <f>Raw_Data!H801</f>
        <v/>
      </c>
      <c r="G801" s="7">
        <f>Raw_Data!I801</f>
        <v/>
      </c>
      <c r="H801" s="2">
        <f>Raw_Data!J801</f>
        <v/>
      </c>
      <c r="I801" s="2">
        <f>IF(G801="",0,G801-B801)</f>
        <v/>
      </c>
      <c r="J801" s="2">
        <f>IF(H801="Paid",MAX(0,G801-F801),MAX(0,DATE(2026,12,31)-F801))</f>
        <v/>
      </c>
      <c r="K801" s="8">
        <f>IF(H801="Paid",0,E801)</f>
        <v/>
      </c>
      <c r="L801" s="2">
        <f>IF(J801=0,"Current",IF(J801&lt;=30,"1-30 Days",IF(J801&lt;=60,"31-60 Days",IF(J801&lt;=90,"61-90 Days","90+ Days"))))</f>
        <v/>
      </c>
      <c r="M801" s="8">
        <f>IF(Raw_Data!K801="Yes",Raw_Data!F801*Raw_Data!L801,0)</f>
        <v/>
      </c>
      <c r="N801" s="2">
        <f>IF(H801&lt;&gt;"Paid","Outstanding",IF(J801=0,"On Time","Late"))</f>
        <v/>
      </c>
    </row>
    <row r="802">
      <c r="A802" s="2">
        <f>Raw_Data!A802</f>
        <v/>
      </c>
      <c r="B802" s="7">
        <f>Raw_Data!B802</f>
        <v/>
      </c>
      <c r="C802" s="2">
        <f>Raw_Data!C802</f>
        <v/>
      </c>
      <c r="D802" s="2">
        <f>Raw_Data!D802</f>
        <v/>
      </c>
      <c r="E802" s="8">
        <f>Raw_Data!F802</f>
        <v/>
      </c>
      <c r="F802" s="7">
        <f>Raw_Data!H802</f>
        <v/>
      </c>
      <c r="G802" s="7">
        <f>Raw_Data!I802</f>
        <v/>
      </c>
      <c r="H802" s="2">
        <f>Raw_Data!J802</f>
        <v/>
      </c>
      <c r="I802" s="2">
        <f>IF(G802="",0,G802-B802)</f>
        <v/>
      </c>
      <c r="J802" s="2">
        <f>IF(H802="Paid",MAX(0,G802-F802),MAX(0,DATE(2026,12,31)-F802))</f>
        <v/>
      </c>
      <c r="K802" s="8">
        <f>IF(H802="Paid",0,E802)</f>
        <v/>
      </c>
      <c r="L802" s="2">
        <f>IF(J802=0,"Current",IF(J802&lt;=30,"1-30 Days",IF(J802&lt;=60,"31-60 Days",IF(J802&lt;=90,"61-90 Days","90+ Days"))))</f>
        <v/>
      </c>
      <c r="M802" s="8">
        <f>IF(Raw_Data!K802="Yes",Raw_Data!F802*Raw_Data!L802,0)</f>
        <v/>
      </c>
      <c r="N802" s="2">
        <f>IF(H802&lt;&gt;"Paid","Outstanding",IF(J802=0,"On Time","Late"))</f>
        <v/>
      </c>
    </row>
    <row r="803">
      <c r="A803" s="2">
        <f>Raw_Data!A803</f>
        <v/>
      </c>
      <c r="B803" s="7">
        <f>Raw_Data!B803</f>
        <v/>
      </c>
      <c r="C803" s="2">
        <f>Raw_Data!C803</f>
        <v/>
      </c>
      <c r="D803" s="2">
        <f>Raw_Data!D803</f>
        <v/>
      </c>
      <c r="E803" s="8">
        <f>Raw_Data!F803</f>
        <v/>
      </c>
      <c r="F803" s="7">
        <f>Raw_Data!H803</f>
        <v/>
      </c>
      <c r="G803" s="7">
        <f>Raw_Data!I803</f>
        <v/>
      </c>
      <c r="H803" s="2">
        <f>Raw_Data!J803</f>
        <v/>
      </c>
      <c r="I803" s="2">
        <f>IF(G803="",0,G803-B803)</f>
        <v/>
      </c>
      <c r="J803" s="2">
        <f>IF(H803="Paid",MAX(0,G803-F803),MAX(0,DATE(2026,12,31)-F803))</f>
        <v/>
      </c>
      <c r="K803" s="8">
        <f>IF(H803="Paid",0,E803)</f>
        <v/>
      </c>
      <c r="L803" s="2">
        <f>IF(J803=0,"Current",IF(J803&lt;=30,"1-30 Days",IF(J803&lt;=60,"31-60 Days",IF(J803&lt;=90,"61-90 Days","90+ Days"))))</f>
        <v/>
      </c>
      <c r="M803" s="8">
        <f>IF(Raw_Data!K803="Yes",Raw_Data!F803*Raw_Data!L803,0)</f>
        <v/>
      </c>
      <c r="N803" s="2">
        <f>IF(H803&lt;&gt;"Paid","Outstanding",IF(J803=0,"On Time","Late"))</f>
        <v/>
      </c>
    </row>
    <row r="804">
      <c r="A804" s="2">
        <f>Raw_Data!A804</f>
        <v/>
      </c>
      <c r="B804" s="7">
        <f>Raw_Data!B804</f>
        <v/>
      </c>
      <c r="C804" s="2">
        <f>Raw_Data!C804</f>
        <v/>
      </c>
      <c r="D804" s="2">
        <f>Raw_Data!D804</f>
        <v/>
      </c>
      <c r="E804" s="8">
        <f>Raw_Data!F804</f>
        <v/>
      </c>
      <c r="F804" s="7">
        <f>Raw_Data!H804</f>
        <v/>
      </c>
      <c r="G804" s="7">
        <f>Raw_Data!I804</f>
        <v/>
      </c>
      <c r="H804" s="2">
        <f>Raw_Data!J804</f>
        <v/>
      </c>
      <c r="I804" s="2">
        <f>IF(G804="",0,G804-B804)</f>
        <v/>
      </c>
      <c r="J804" s="2">
        <f>IF(H804="Paid",MAX(0,G804-F804),MAX(0,DATE(2026,12,31)-F804))</f>
        <v/>
      </c>
      <c r="K804" s="8">
        <f>IF(H804="Paid",0,E804)</f>
        <v/>
      </c>
      <c r="L804" s="2">
        <f>IF(J804=0,"Current",IF(J804&lt;=30,"1-30 Days",IF(J804&lt;=60,"31-60 Days",IF(J804&lt;=90,"61-90 Days","90+ Days"))))</f>
        <v/>
      </c>
      <c r="M804" s="8">
        <f>IF(Raw_Data!K804="Yes",Raw_Data!F804*Raw_Data!L804,0)</f>
        <v/>
      </c>
      <c r="N804" s="2">
        <f>IF(H804&lt;&gt;"Paid","Outstanding",IF(J804=0,"On Time","Late"))</f>
        <v/>
      </c>
    </row>
    <row r="805">
      <c r="A805" s="2">
        <f>Raw_Data!A805</f>
        <v/>
      </c>
      <c r="B805" s="7">
        <f>Raw_Data!B805</f>
        <v/>
      </c>
      <c r="C805" s="2">
        <f>Raw_Data!C805</f>
        <v/>
      </c>
      <c r="D805" s="2">
        <f>Raw_Data!D805</f>
        <v/>
      </c>
      <c r="E805" s="8">
        <f>Raw_Data!F805</f>
        <v/>
      </c>
      <c r="F805" s="7">
        <f>Raw_Data!H805</f>
        <v/>
      </c>
      <c r="G805" s="7">
        <f>Raw_Data!I805</f>
        <v/>
      </c>
      <c r="H805" s="2">
        <f>Raw_Data!J805</f>
        <v/>
      </c>
      <c r="I805" s="2">
        <f>IF(G805="",0,G805-B805)</f>
        <v/>
      </c>
      <c r="J805" s="2">
        <f>IF(H805="Paid",MAX(0,G805-F805),MAX(0,DATE(2026,12,31)-F805))</f>
        <v/>
      </c>
      <c r="K805" s="8">
        <f>IF(H805="Paid",0,E805)</f>
        <v/>
      </c>
      <c r="L805" s="2">
        <f>IF(J805=0,"Current",IF(J805&lt;=30,"1-30 Days",IF(J805&lt;=60,"31-60 Days",IF(J805&lt;=90,"61-90 Days","90+ Days"))))</f>
        <v/>
      </c>
      <c r="M805" s="8">
        <f>IF(Raw_Data!K805="Yes",Raw_Data!F805*Raw_Data!L805,0)</f>
        <v/>
      </c>
      <c r="N805" s="2">
        <f>IF(H805&lt;&gt;"Paid","Outstanding",IF(J805=0,"On Time","Late"))</f>
        <v/>
      </c>
    </row>
    <row r="806">
      <c r="A806" s="2">
        <f>Raw_Data!A806</f>
        <v/>
      </c>
      <c r="B806" s="7">
        <f>Raw_Data!B806</f>
        <v/>
      </c>
      <c r="C806" s="2">
        <f>Raw_Data!C806</f>
        <v/>
      </c>
      <c r="D806" s="2">
        <f>Raw_Data!D806</f>
        <v/>
      </c>
      <c r="E806" s="8">
        <f>Raw_Data!F806</f>
        <v/>
      </c>
      <c r="F806" s="7">
        <f>Raw_Data!H806</f>
        <v/>
      </c>
      <c r="G806" s="7">
        <f>Raw_Data!I806</f>
        <v/>
      </c>
      <c r="H806" s="2">
        <f>Raw_Data!J806</f>
        <v/>
      </c>
      <c r="I806" s="2">
        <f>IF(G806="",0,G806-B806)</f>
        <v/>
      </c>
      <c r="J806" s="2">
        <f>IF(H806="Paid",MAX(0,G806-F806),MAX(0,DATE(2026,12,31)-F806))</f>
        <v/>
      </c>
      <c r="K806" s="8">
        <f>IF(H806="Paid",0,E806)</f>
        <v/>
      </c>
      <c r="L806" s="2">
        <f>IF(J806=0,"Current",IF(J806&lt;=30,"1-30 Days",IF(J806&lt;=60,"31-60 Days",IF(J806&lt;=90,"61-90 Days","90+ Days"))))</f>
        <v/>
      </c>
      <c r="M806" s="8">
        <f>IF(Raw_Data!K806="Yes",Raw_Data!F806*Raw_Data!L806,0)</f>
        <v/>
      </c>
      <c r="N806" s="2">
        <f>IF(H806&lt;&gt;"Paid","Outstanding",IF(J806=0,"On Time","Late"))</f>
        <v/>
      </c>
    </row>
    <row r="807">
      <c r="A807" s="2">
        <f>Raw_Data!A807</f>
        <v/>
      </c>
      <c r="B807" s="7">
        <f>Raw_Data!B807</f>
        <v/>
      </c>
      <c r="C807" s="2">
        <f>Raw_Data!C807</f>
        <v/>
      </c>
      <c r="D807" s="2">
        <f>Raw_Data!D807</f>
        <v/>
      </c>
      <c r="E807" s="8">
        <f>Raw_Data!F807</f>
        <v/>
      </c>
      <c r="F807" s="7">
        <f>Raw_Data!H807</f>
        <v/>
      </c>
      <c r="G807" s="7">
        <f>Raw_Data!I807</f>
        <v/>
      </c>
      <c r="H807" s="2">
        <f>Raw_Data!J807</f>
        <v/>
      </c>
      <c r="I807" s="2">
        <f>IF(G807="",0,G807-B807)</f>
        <v/>
      </c>
      <c r="J807" s="2">
        <f>IF(H807="Paid",MAX(0,G807-F807),MAX(0,DATE(2026,12,31)-F807))</f>
        <v/>
      </c>
      <c r="K807" s="8">
        <f>IF(H807="Paid",0,E807)</f>
        <v/>
      </c>
      <c r="L807" s="2">
        <f>IF(J807=0,"Current",IF(J807&lt;=30,"1-30 Days",IF(J807&lt;=60,"31-60 Days",IF(J807&lt;=90,"61-90 Days","90+ Days"))))</f>
        <v/>
      </c>
      <c r="M807" s="8">
        <f>IF(Raw_Data!K807="Yes",Raw_Data!F807*Raw_Data!L807,0)</f>
        <v/>
      </c>
      <c r="N807" s="2">
        <f>IF(H807&lt;&gt;"Paid","Outstanding",IF(J807=0,"On Time","Late"))</f>
        <v/>
      </c>
    </row>
    <row r="808">
      <c r="A808" s="2">
        <f>Raw_Data!A808</f>
        <v/>
      </c>
      <c r="B808" s="7">
        <f>Raw_Data!B808</f>
        <v/>
      </c>
      <c r="C808" s="2">
        <f>Raw_Data!C808</f>
        <v/>
      </c>
      <c r="D808" s="2">
        <f>Raw_Data!D808</f>
        <v/>
      </c>
      <c r="E808" s="8">
        <f>Raw_Data!F808</f>
        <v/>
      </c>
      <c r="F808" s="7">
        <f>Raw_Data!H808</f>
        <v/>
      </c>
      <c r="G808" s="7">
        <f>Raw_Data!I808</f>
        <v/>
      </c>
      <c r="H808" s="2">
        <f>Raw_Data!J808</f>
        <v/>
      </c>
      <c r="I808" s="2">
        <f>IF(G808="",0,G808-B808)</f>
        <v/>
      </c>
      <c r="J808" s="2">
        <f>IF(H808="Paid",MAX(0,G808-F808),MAX(0,DATE(2026,12,31)-F808))</f>
        <v/>
      </c>
      <c r="K808" s="8">
        <f>IF(H808="Paid",0,E808)</f>
        <v/>
      </c>
      <c r="L808" s="2">
        <f>IF(J808=0,"Current",IF(J808&lt;=30,"1-30 Days",IF(J808&lt;=60,"31-60 Days",IF(J808&lt;=90,"61-90 Days","90+ Days"))))</f>
        <v/>
      </c>
      <c r="M808" s="8">
        <f>IF(Raw_Data!K808="Yes",Raw_Data!F808*Raw_Data!L808,0)</f>
        <v/>
      </c>
      <c r="N808" s="2">
        <f>IF(H808&lt;&gt;"Paid","Outstanding",IF(J808=0,"On Time","Late"))</f>
        <v/>
      </c>
    </row>
    <row r="809">
      <c r="A809" s="2">
        <f>Raw_Data!A809</f>
        <v/>
      </c>
      <c r="B809" s="7">
        <f>Raw_Data!B809</f>
        <v/>
      </c>
      <c r="C809" s="2">
        <f>Raw_Data!C809</f>
        <v/>
      </c>
      <c r="D809" s="2">
        <f>Raw_Data!D809</f>
        <v/>
      </c>
      <c r="E809" s="8">
        <f>Raw_Data!F809</f>
        <v/>
      </c>
      <c r="F809" s="7">
        <f>Raw_Data!H809</f>
        <v/>
      </c>
      <c r="G809" s="7">
        <f>Raw_Data!I809</f>
        <v/>
      </c>
      <c r="H809" s="2">
        <f>Raw_Data!J809</f>
        <v/>
      </c>
      <c r="I809" s="2">
        <f>IF(G809="",0,G809-B809)</f>
        <v/>
      </c>
      <c r="J809" s="2">
        <f>IF(H809="Paid",MAX(0,G809-F809),MAX(0,DATE(2026,12,31)-F809))</f>
        <v/>
      </c>
      <c r="K809" s="8">
        <f>IF(H809="Paid",0,E809)</f>
        <v/>
      </c>
      <c r="L809" s="2">
        <f>IF(J809=0,"Current",IF(J809&lt;=30,"1-30 Days",IF(J809&lt;=60,"31-60 Days",IF(J809&lt;=90,"61-90 Days","90+ Days"))))</f>
        <v/>
      </c>
      <c r="M809" s="8">
        <f>IF(Raw_Data!K809="Yes",Raw_Data!F809*Raw_Data!L809,0)</f>
        <v/>
      </c>
      <c r="N809" s="2">
        <f>IF(H809&lt;&gt;"Paid","Outstanding",IF(J809=0,"On Time","Late"))</f>
        <v/>
      </c>
    </row>
    <row r="810">
      <c r="A810" s="2">
        <f>Raw_Data!A810</f>
        <v/>
      </c>
      <c r="B810" s="7">
        <f>Raw_Data!B810</f>
        <v/>
      </c>
      <c r="C810" s="2">
        <f>Raw_Data!C810</f>
        <v/>
      </c>
      <c r="D810" s="2">
        <f>Raw_Data!D810</f>
        <v/>
      </c>
      <c r="E810" s="8">
        <f>Raw_Data!F810</f>
        <v/>
      </c>
      <c r="F810" s="7">
        <f>Raw_Data!H810</f>
        <v/>
      </c>
      <c r="G810" s="7">
        <f>Raw_Data!I810</f>
        <v/>
      </c>
      <c r="H810" s="2">
        <f>Raw_Data!J810</f>
        <v/>
      </c>
      <c r="I810" s="2">
        <f>IF(G810="",0,G810-B810)</f>
        <v/>
      </c>
      <c r="J810" s="2">
        <f>IF(H810="Paid",MAX(0,G810-F810),MAX(0,DATE(2026,12,31)-F810))</f>
        <v/>
      </c>
      <c r="K810" s="8">
        <f>IF(H810="Paid",0,E810)</f>
        <v/>
      </c>
      <c r="L810" s="2">
        <f>IF(J810=0,"Current",IF(J810&lt;=30,"1-30 Days",IF(J810&lt;=60,"31-60 Days",IF(J810&lt;=90,"61-90 Days","90+ Days"))))</f>
        <v/>
      </c>
      <c r="M810" s="8">
        <f>IF(Raw_Data!K810="Yes",Raw_Data!F810*Raw_Data!L810,0)</f>
        <v/>
      </c>
      <c r="N810" s="2">
        <f>IF(H810&lt;&gt;"Paid","Outstanding",IF(J810=0,"On Time","Late"))</f>
        <v/>
      </c>
    </row>
    <row r="811">
      <c r="A811" s="2">
        <f>Raw_Data!A811</f>
        <v/>
      </c>
      <c r="B811" s="7">
        <f>Raw_Data!B811</f>
        <v/>
      </c>
      <c r="C811" s="2">
        <f>Raw_Data!C811</f>
        <v/>
      </c>
      <c r="D811" s="2">
        <f>Raw_Data!D811</f>
        <v/>
      </c>
      <c r="E811" s="8">
        <f>Raw_Data!F811</f>
        <v/>
      </c>
      <c r="F811" s="7">
        <f>Raw_Data!H811</f>
        <v/>
      </c>
      <c r="G811" s="7">
        <f>Raw_Data!I811</f>
        <v/>
      </c>
      <c r="H811" s="2">
        <f>Raw_Data!J811</f>
        <v/>
      </c>
      <c r="I811" s="2">
        <f>IF(G811="",0,G811-B811)</f>
        <v/>
      </c>
      <c r="J811" s="2">
        <f>IF(H811="Paid",MAX(0,G811-F811),MAX(0,DATE(2026,12,31)-F811))</f>
        <v/>
      </c>
      <c r="K811" s="8">
        <f>IF(H811="Paid",0,E811)</f>
        <v/>
      </c>
      <c r="L811" s="2">
        <f>IF(J811=0,"Current",IF(J811&lt;=30,"1-30 Days",IF(J811&lt;=60,"31-60 Days",IF(J811&lt;=90,"61-90 Days","90+ Days"))))</f>
        <v/>
      </c>
      <c r="M811" s="8">
        <f>IF(Raw_Data!K811="Yes",Raw_Data!F811*Raw_Data!L811,0)</f>
        <v/>
      </c>
      <c r="N811" s="2">
        <f>IF(H811&lt;&gt;"Paid","Outstanding",IF(J811=0,"On Time","Late"))</f>
        <v/>
      </c>
    </row>
    <row r="812">
      <c r="A812" s="2">
        <f>Raw_Data!A812</f>
        <v/>
      </c>
      <c r="B812" s="7">
        <f>Raw_Data!B812</f>
        <v/>
      </c>
      <c r="C812" s="2">
        <f>Raw_Data!C812</f>
        <v/>
      </c>
      <c r="D812" s="2">
        <f>Raw_Data!D812</f>
        <v/>
      </c>
      <c r="E812" s="8">
        <f>Raw_Data!F812</f>
        <v/>
      </c>
      <c r="F812" s="7">
        <f>Raw_Data!H812</f>
        <v/>
      </c>
      <c r="G812" s="7">
        <f>Raw_Data!I812</f>
        <v/>
      </c>
      <c r="H812" s="2">
        <f>Raw_Data!J812</f>
        <v/>
      </c>
      <c r="I812" s="2">
        <f>IF(G812="",0,G812-B812)</f>
        <v/>
      </c>
      <c r="J812" s="2">
        <f>IF(H812="Paid",MAX(0,G812-F812),MAX(0,DATE(2026,12,31)-F812))</f>
        <v/>
      </c>
      <c r="K812" s="8">
        <f>IF(H812="Paid",0,E812)</f>
        <v/>
      </c>
      <c r="L812" s="2">
        <f>IF(J812=0,"Current",IF(J812&lt;=30,"1-30 Days",IF(J812&lt;=60,"31-60 Days",IF(J812&lt;=90,"61-90 Days","90+ Days"))))</f>
        <v/>
      </c>
      <c r="M812" s="8">
        <f>IF(Raw_Data!K812="Yes",Raw_Data!F812*Raw_Data!L812,0)</f>
        <v/>
      </c>
      <c r="N812" s="2">
        <f>IF(H812&lt;&gt;"Paid","Outstanding",IF(J812=0,"On Time","Late"))</f>
        <v/>
      </c>
    </row>
    <row r="813">
      <c r="A813" s="2">
        <f>Raw_Data!A813</f>
        <v/>
      </c>
      <c r="B813" s="7">
        <f>Raw_Data!B813</f>
        <v/>
      </c>
      <c r="C813" s="2">
        <f>Raw_Data!C813</f>
        <v/>
      </c>
      <c r="D813" s="2">
        <f>Raw_Data!D813</f>
        <v/>
      </c>
      <c r="E813" s="8">
        <f>Raw_Data!F813</f>
        <v/>
      </c>
      <c r="F813" s="7">
        <f>Raw_Data!H813</f>
        <v/>
      </c>
      <c r="G813" s="7">
        <f>Raw_Data!I813</f>
        <v/>
      </c>
      <c r="H813" s="2">
        <f>Raw_Data!J813</f>
        <v/>
      </c>
      <c r="I813" s="2">
        <f>IF(G813="",0,G813-B813)</f>
        <v/>
      </c>
      <c r="J813" s="2">
        <f>IF(H813="Paid",MAX(0,G813-F813),MAX(0,DATE(2026,12,31)-F813))</f>
        <v/>
      </c>
      <c r="K813" s="8">
        <f>IF(H813="Paid",0,E813)</f>
        <v/>
      </c>
      <c r="L813" s="2">
        <f>IF(J813=0,"Current",IF(J813&lt;=30,"1-30 Days",IF(J813&lt;=60,"31-60 Days",IF(J813&lt;=90,"61-90 Days","90+ Days"))))</f>
        <v/>
      </c>
      <c r="M813" s="8">
        <f>IF(Raw_Data!K813="Yes",Raw_Data!F813*Raw_Data!L813,0)</f>
        <v/>
      </c>
      <c r="N813" s="2">
        <f>IF(H813&lt;&gt;"Paid","Outstanding",IF(J813=0,"On Time","Late"))</f>
        <v/>
      </c>
    </row>
    <row r="814">
      <c r="A814" s="2">
        <f>Raw_Data!A814</f>
        <v/>
      </c>
      <c r="B814" s="7">
        <f>Raw_Data!B814</f>
        <v/>
      </c>
      <c r="C814" s="2">
        <f>Raw_Data!C814</f>
        <v/>
      </c>
      <c r="D814" s="2">
        <f>Raw_Data!D814</f>
        <v/>
      </c>
      <c r="E814" s="8">
        <f>Raw_Data!F814</f>
        <v/>
      </c>
      <c r="F814" s="7">
        <f>Raw_Data!H814</f>
        <v/>
      </c>
      <c r="G814" s="7">
        <f>Raw_Data!I814</f>
        <v/>
      </c>
      <c r="H814" s="2">
        <f>Raw_Data!J814</f>
        <v/>
      </c>
      <c r="I814" s="2">
        <f>IF(G814="",0,G814-B814)</f>
        <v/>
      </c>
      <c r="J814" s="2">
        <f>IF(H814="Paid",MAX(0,G814-F814),MAX(0,DATE(2026,12,31)-F814))</f>
        <v/>
      </c>
      <c r="K814" s="8">
        <f>IF(H814="Paid",0,E814)</f>
        <v/>
      </c>
      <c r="L814" s="2">
        <f>IF(J814=0,"Current",IF(J814&lt;=30,"1-30 Days",IF(J814&lt;=60,"31-60 Days",IF(J814&lt;=90,"61-90 Days","90+ Days"))))</f>
        <v/>
      </c>
      <c r="M814" s="8">
        <f>IF(Raw_Data!K814="Yes",Raw_Data!F814*Raw_Data!L814,0)</f>
        <v/>
      </c>
      <c r="N814" s="2">
        <f>IF(H814&lt;&gt;"Paid","Outstanding",IF(J814=0,"On Time","Late"))</f>
        <v/>
      </c>
    </row>
    <row r="815">
      <c r="A815" s="2">
        <f>Raw_Data!A815</f>
        <v/>
      </c>
      <c r="B815" s="7">
        <f>Raw_Data!B815</f>
        <v/>
      </c>
      <c r="C815" s="2">
        <f>Raw_Data!C815</f>
        <v/>
      </c>
      <c r="D815" s="2">
        <f>Raw_Data!D815</f>
        <v/>
      </c>
      <c r="E815" s="8">
        <f>Raw_Data!F815</f>
        <v/>
      </c>
      <c r="F815" s="7">
        <f>Raw_Data!H815</f>
        <v/>
      </c>
      <c r="G815" s="7">
        <f>Raw_Data!I815</f>
        <v/>
      </c>
      <c r="H815" s="2">
        <f>Raw_Data!J815</f>
        <v/>
      </c>
      <c r="I815" s="2">
        <f>IF(G815="",0,G815-B815)</f>
        <v/>
      </c>
      <c r="J815" s="2">
        <f>IF(H815="Paid",MAX(0,G815-F815),MAX(0,DATE(2026,12,31)-F815))</f>
        <v/>
      </c>
      <c r="K815" s="8">
        <f>IF(H815="Paid",0,E815)</f>
        <v/>
      </c>
      <c r="L815" s="2">
        <f>IF(J815=0,"Current",IF(J815&lt;=30,"1-30 Days",IF(J815&lt;=60,"31-60 Days",IF(J815&lt;=90,"61-90 Days","90+ Days"))))</f>
        <v/>
      </c>
      <c r="M815" s="8">
        <f>IF(Raw_Data!K815="Yes",Raw_Data!F815*Raw_Data!L815,0)</f>
        <v/>
      </c>
      <c r="N815" s="2">
        <f>IF(H815&lt;&gt;"Paid","Outstanding",IF(J815=0,"On Time","Late"))</f>
        <v/>
      </c>
    </row>
    <row r="816">
      <c r="A816" s="2">
        <f>Raw_Data!A816</f>
        <v/>
      </c>
      <c r="B816" s="7">
        <f>Raw_Data!B816</f>
        <v/>
      </c>
      <c r="C816" s="2">
        <f>Raw_Data!C816</f>
        <v/>
      </c>
      <c r="D816" s="2">
        <f>Raw_Data!D816</f>
        <v/>
      </c>
      <c r="E816" s="8">
        <f>Raw_Data!F816</f>
        <v/>
      </c>
      <c r="F816" s="7">
        <f>Raw_Data!H816</f>
        <v/>
      </c>
      <c r="G816" s="7">
        <f>Raw_Data!I816</f>
        <v/>
      </c>
      <c r="H816" s="2">
        <f>Raw_Data!J816</f>
        <v/>
      </c>
      <c r="I816" s="2">
        <f>IF(G816="",0,G816-B816)</f>
        <v/>
      </c>
      <c r="J816" s="2">
        <f>IF(H816="Paid",MAX(0,G816-F816),MAX(0,DATE(2026,12,31)-F816))</f>
        <v/>
      </c>
      <c r="K816" s="8">
        <f>IF(H816="Paid",0,E816)</f>
        <v/>
      </c>
      <c r="L816" s="2">
        <f>IF(J816=0,"Current",IF(J816&lt;=30,"1-30 Days",IF(J816&lt;=60,"31-60 Days",IF(J816&lt;=90,"61-90 Days","90+ Days"))))</f>
        <v/>
      </c>
      <c r="M816" s="8">
        <f>IF(Raw_Data!K816="Yes",Raw_Data!F816*Raw_Data!L816,0)</f>
        <v/>
      </c>
      <c r="N816" s="2">
        <f>IF(H816&lt;&gt;"Paid","Outstanding",IF(J816=0,"On Time","Late"))</f>
        <v/>
      </c>
    </row>
    <row r="817">
      <c r="A817" s="2">
        <f>Raw_Data!A817</f>
        <v/>
      </c>
      <c r="B817" s="7">
        <f>Raw_Data!B817</f>
        <v/>
      </c>
      <c r="C817" s="2">
        <f>Raw_Data!C817</f>
        <v/>
      </c>
      <c r="D817" s="2">
        <f>Raw_Data!D817</f>
        <v/>
      </c>
      <c r="E817" s="8">
        <f>Raw_Data!F817</f>
        <v/>
      </c>
      <c r="F817" s="7">
        <f>Raw_Data!H817</f>
        <v/>
      </c>
      <c r="G817" s="7">
        <f>Raw_Data!I817</f>
        <v/>
      </c>
      <c r="H817" s="2">
        <f>Raw_Data!J817</f>
        <v/>
      </c>
      <c r="I817" s="2">
        <f>IF(G817="",0,G817-B817)</f>
        <v/>
      </c>
      <c r="J817" s="2">
        <f>IF(H817="Paid",MAX(0,G817-F817),MAX(0,DATE(2026,12,31)-F817))</f>
        <v/>
      </c>
      <c r="K817" s="8">
        <f>IF(H817="Paid",0,E817)</f>
        <v/>
      </c>
      <c r="L817" s="2">
        <f>IF(J817=0,"Current",IF(J817&lt;=30,"1-30 Days",IF(J817&lt;=60,"31-60 Days",IF(J817&lt;=90,"61-90 Days","90+ Days"))))</f>
        <v/>
      </c>
      <c r="M817" s="8">
        <f>IF(Raw_Data!K817="Yes",Raw_Data!F817*Raw_Data!L817,0)</f>
        <v/>
      </c>
      <c r="N817" s="2">
        <f>IF(H817&lt;&gt;"Paid","Outstanding",IF(J817=0,"On Time","Late"))</f>
        <v/>
      </c>
    </row>
    <row r="818">
      <c r="A818" s="2">
        <f>Raw_Data!A818</f>
        <v/>
      </c>
      <c r="B818" s="7">
        <f>Raw_Data!B818</f>
        <v/>
      </c>
      <c r="C818" s="2">
        <f>Raw_Data!C818</f>
        <v/>
      </c>
      <c r="D818" s="2">
        <f>Raw_Data!D818</f>
        <v/>
      </c>
      <c r="E818" s="8">
        <f>Raw_Data!F818</f>
        <v/>
      </c>
      <c r="F818" s="7">
        <f>Raw_Data!H818</f>
        <v/>
      </c>
      <c r="G818" s="7">
        <f>Raw_Data!I818</f>
        <v/>
      </c>
      <c r="H818" s="2">
        <f>Raw_Data!J818</f>
        <v/>
      </c>
      <c r="I818" s="2">
        <f>IF(G818="",0,G818-B818)</f>
        <v/>
      </c>
      <c r="J818" s="2">
        <f>IF(H818="Paid",MAX(0,G818-F818),MAX(0,DATE(2026,12,31)-F818))</f>
        <v/>
      </c>
      <c r="K818" s="8">
        <f>IF(H818="Paid",0,E818)</f>
        <v/>
      </c>
      <c r="L818" s="2">
        <f>IF(J818=0,"Current",IF(J818&lt;=30,"1-30 Days",IF(J818&lt;=60,"31-60 Days",IF(J818&lt;=90,"61-90 Days","90+ Days"))))</f>
        <v/>
      </c>
      <c r="M818" s="8">
        <f>IF(Raw_Data!K818="Yes",Raw_Data!F818*Raw_Data!L818,0)</f>
        <v/>
      </c>
      <c r="N818" s="2">
        <f>IF(H818&lt;&gt;"Paid","Outstanding",IF(J818=0,"On Time","Late"))</f>
        <v/>
      </c>
    </row>
    <row r="819">
      <c r="A819" s="2">
        <f>Raw_Data!A819</f>
        <v/>
      </c>
      <c r="B819" s="7">
        <f>Raw_Data!B819</f>
        <v/>
      </c>
      <c r="C819" s="2">
        <f>Raw_Data!C819</f>
        <v/>
      </c>
      <c r="D819" s="2">
        <f>Raw_Data!D819</f>
        <v/>
      </c>
      <c r="E819" s="8">
        <f>Raw_Data!F819</f>
        <v/>
      </c>
      <c r="F819" s="7">
        <f>Raw_Data!H819</f>
        <v/>
      </c>
      <c r="G819" s="7">
        <f>Raw_Data!I819</f>
        <v/>
      </c>
      <c r="H819" s="2">
        <f>Raw_Data!J819</f>
        <v/>
      </c>
      <c r="I819" s="2">
        <f>IF(G819="",0,G819-B819)</f>
        <v/>
      </c>
      <c r="J819" s="2">
        <f>IF(H819="Paid",MAX(0,G819-F819),MAX(0,DATE(2026,12,31)-F819))</f>
        <v/>
      </c>
      <c r="K819" s="8">
        <f>IF(H819="Paid",0,E819)</f>
        <v/>
      </c>
      <c r="L819" s="2">
        <f>IF(J819=0,"Current",IF(J819&lt;=30,"1-30 Days",IF(J819&lt;=60,"31-60 Days",IF(J819&lt;=90,"61-90 Days","90+ Days"))))</f>
        <v/>
      </c>
      <c r="M819" s="8">
        <f>IF(Raw_Data!K819="Yes",Raw_Data!F819*Raw_Data!L819,0)</f>
        <v/>
      </c>
      <c r="N819" s="2">
        <f>IF(H819&lt;&gt;"Paid","Outstanding",IF(J819=0,"On Time","Late"))</f>
        <v/>
      </c>
    </row>
    <row r="820">
      <c r="A820" s="2">
        <f>Raw_Data!A820</f>
        <v/>
      </c>
      <c r="B820" s="7">
        <f>Raw_Data!B820</f>
        <v/>
      </c>
      <c r="C820" s="2">
        <f>Raw_Data!C820</f>
        <v/>
      </c>
      <c r="D820" s="2">
        <f>Raw_Data!D820</f>
        <v/>
      </c>
      <c r="E820" s="8">
        <f>Raw_Data!F820</f>
        <v/>
      </c>
      <c r="F820" s="7">
        <f>Raw_Data!H820</f>
        <v/>
      </c>
      <c r="G820" s="7">
        <f>Raw_Data!I820</f>
        <v/>
      </c>
      <c r="H820" s="2">
        <f>Raw_Data!J820</f>
        <v/>
      </c>
      <c r="I820" s="2">
        <f>IF(G820="",0,G820-B820)</f>
        <v/>
      </c>
      <c r="J820" s="2">
        <f>IF(H820="Paid",MAX(0,G820-F820),MAX(0,DATE(2026,12,31)-F820))</f>
        <v/>
      </c>
      <c r="K820" s="8">
        <f>IF(H820="Paid",0,E820)</f>
        <v/>
      </c>
      <c r="L820" s="2">
        <f>IF(J820=0,"Current",IF(J820&lt;=30,"1-30 Days",IF(J820&lt;=60,"31-60 Days",IF(J820&lt;=90,"61-90 Days","90+ Days"))))</f>
        <v/>
      </c>
      <c r="M820" s="8">
        <f>IF(Raw_Data!K820="Yes",Raw_Data!F820*Raw_Data!L820,0)</f>
        <v/>
      </c>
      <c r="N820" s="2">
        <f>IF(H820&lt;&gt;"Paid","Outstanding",IF(J820=0,"On Time","Late"))</f>
        <v/>
      </c>
    </row>
    <row r="821">
      <c r="A821" s="2">
        <f>Raw_Data!A821</f>
        <v/>
      </c>
      <c r="B821" s="7">
        <f>Raw_Data!B821</f>
        <v/>
      </c>
      <c r="C821" s="2">
        <f>Raw_Data!C821</f>
        <v/>
      </c>
      <c r="D821" s="2">
        <f>Raw_Data!D821</f>
        <v/>
      </c>
      <c r="E821" s="8">
        <f>Raw_Data!F821</f>
        <v/>
      </c>
      <c r="F821" s="7">
        <f>Raw_Data!H821</f>
        <v/>
      </c>
      <c r="G821" s="7">
        <f>Raw_Data!I821</f>
        <v/>
      </c>
      <c r="H821" s="2">
        <f>Raw_Data!J821</f>
        <v/>
      </c>
      <c r="I821" s="2">
        <f>IF(G821="",0,G821-B821)</f>
        <v/>
      </c>
      <c r="J821" s="2">
        <f>IF(H821="Paid",MAX(0,G821-F821),MAX(0,DATE(2026,12,31)-F821))</f>
        <v/>
      </c>
      <c r="K821" s="8">
        <f>IF(H821="Paid",0,E821)</f>
        <v/>
      </c>
      <c r="L821" s="2">
        <f>IF(J821=0,"Current",IF(J821&lt;=30,"1-30 Days",IF(J821&lt;=60,"31-60 Days",IF(J821&lt;=90,"61-90 Days","90+ Days"))))</f>
        <v/>
      </c>
      <c r="M821" s="8">
        <f>IF(Raw_Data!K821="Yes",Raw_Data!F821*Raw_Data!L821,0)</f>
        <v/>
      </c>
      <c r="N821" s="2">
        <f>IF(H821&lt;&gt;"Paid","Outstanding",IF(J821=0,"On Time","Late"))</f>
        <v/>
      </c>
    </row>
    <row r="822">
      <c r="A822" s="2">
        <f>Raw_Data!A822</f>
        <v/>
      </c>
      <c r="B822" s="7">
        <f>Raw_Data!B822</f>
        <v/>
      </c>
      <c r="C822" s="2">
        <f>Raw_Data!C822</f>
        <v/>
      </c>
      <c r="D822" s="2">
        <f>Raw_Data!D822</f>
        <v/>
      </c>
      <c r="E822" s="8">
        <f>Raw_Data!F822</f>
        <v/>
      </c>
      <c r="F822" s="7">
        <f>Raw_Data!H822</f>
        <v/>
      </c>
      <c r="G822" s="7">
        <f>Raw_Data!I822</f>
        <v/>
      </c>
      <c r="H822" s="2">
        <f>Raw_Data!J822</f>
        <v/>
      </c>
      <c r="I822" s="2">
        <f>IF(G822="",0,G822-B822)</f>
        <v/>
      </c>
      <c r="J822" s="2">
        <f>IF(H822="Paid",MAX(0,G822-F822),MAX(0,DATE(2026,12,31)-F822))</f>
        <v/>
      </c>
      <c r="K822" s="8">
        <f>IF(H822="Paid",0,E822)</f>
        <v/>
      </c>
      <c r="L822" s="2">
        <f>IF(J822=0,"Current",IF(J822&lt;=30,"1-30 Days",IF(J822&lt;=60,"31-60 Days",IF(J822&lt;=90,"61-90 Days","90+ Days"))))</f>
        <v/>
      </c>
      <c r="M822" s="8">
        <f>IF(Raw_Data!K822="Yes",Raw_Data!F822*Raw_Data!L822,0)</f>
        <v/>
      </c>
      <c r="N822" s="2">
        <f>IF(H822&lt;&gt;"Paid","Outstanding",IF(J822=0,"On Time","Late"))</f>
        <v/>
      </c>
    </row>
    <row r="823">
      <c r="A823" s="2">
        <f>Raw_Data!A823</f>
        <v/>
      </c>
      <c r="B823" s="7">
        <f>Raw_Data!B823</f>
        <v/>
      </c>
      <c r="C823" s="2">
        <f>Raw_Data!C823</f>
        <v/>
      </c>
      <c r="D823" s="2">
        <f>Raw_Data!D823</f>
        <v/>
      </c>
      <c r="E823" s="8">
        <f>Raw_Data!F823</f>
        <v/>
      </c>
      <c r="F823" s="7">
        <f>Raw_Data!H823</f>
        <v/>
      </c>
      <c r="G823" s="7">
        <f>Raw_Data!I823</f>
        <v/>
      </c>
      <c r="H823" s="2">
        <f>Raw_Data!J823</f>
        <v/>
      </c>
      <c r="I823" s="2">
        <f>IF(G823="",0,G823-B823)</f>
        <v/>
      </c>
      <c r="J823" s="2">
        <f>IF(H823="Paid",MAX(0,G823-F823),MAX(0,DATE(2026,12,31)-F823))</f>
        <v/>
      </c>
      <c r="K823" s="8">
        <f>IF(H823="Paid",0,E823)</f>
        <v/>
      </c>
      <c r="L823" s="2">
        <f>IF(J823=0,"Current",IF(J823&lt;=30,"1-30 Days",IF(J823&lt;=60,"31-60 Days",IF(J823&lt;=90,"61-90 Days","90+ Days"))))</f>
        <v/>
      </c>
      <c r="M823" s="8">
        <f>IF(Raw_Data!K823="Yes",Raw_Data!F823*Raw_Data!L823,0)</f>
        <v/>
      </c>
      <c r="N823" s="2">
        <f>IF(H823&lt;&gt;"Paid","Outstanding",IF(J823=0,"On Time","Late"))</f>
        <v/>
      </c>
    </row>
    <row r="824">
      <c r="A824" s="2">
        <f>Raw_Data!A824</f>
        <v/>
      </c>
      <c r="B824" s="7">
        <f>Raw_Data!B824</f>
        <v/>
      </c>
      <c r="C824" s="2">
        <f>Raw_Data!C824</f>
        <v/>
      </c>
      <c r="D824" s="2">
        <f>Raw_Data!D824</f>
        <v/>
      </c>
      <c r="E824" s="8">
        <f>Raw_Data!F824</f>
        <v/>
      </c>
      <c r="F824" s="7">
        <f>Raw_Data!H824</f>
        <v/>
      </c>
      <c r="G824" s="7">
        <f>Raw_Data!I824</f>
        <v/>
      </c>
      <c r="H824" s="2">
        <f>Raw_Data!J824</f>
        <v/>
      </c>
      <c r="I824" s="2">
        <f>IF(G824="",0,G824-B824)</f>
        <v/>
      </c>
      <c r="J824" s="2">
        <f>IF(H824="Paid",MAX(0,G824-F824),MAX(0,DATE(2026,12,31)-F824))</f>
        <v/>
      </c>
      <c r="K824" s="8">
        <f>IF(H824="Paid",0,E824)</f>
        <v/>
      </c>
      <c r="L824" s="2">
        <f>IF(J824=0,"Current",IF(J824&lt;=30,"1-30 Days",IF(J824&lt;=60,"31-60 Days",IF(J824&lt;=90,"61-90 Days","90+ Days"))))</f>
        <v/>
      </c>
      <c r="M824" s="8">
        <f>IF(Raw_Data!K824="Yes",Raw_Data!F824*Raw_Data!L824,0)</f>
        <v/>
      </c>
      <c r="N824" s="2">
        <f>IF(H824&lt;&gt;"Paid","Outstanding",IF(J824=0,"On Time","Late"))</f>
        <v/>
      </c>
    </row>
    <row r="825">
      <c r="A825" s="2">
        <f>Raw_Data!A825</f>
        <v/>
      </c>
      <c r="B825" s="7">
        <f>Raw_Data!B825</f>
        <v/>
      </c>
      <c r="C825" s="2">
        <f>Raw_Data!C825</f>
        <v/>
      </c>
      <c r="D825" s="2">
        <f>Raw_Data!D825</f>
        <v/>
      </c>
      <c r="E825" s="8">
        <f>Raw_Data!F825</f>
        <v/>
      </c>
      <c r="F825" s="7">
        <f>Raw_Data!H825</f>
        <v/>
      </c>
      <c r="G825" s="7">
        <f>Raw_Data!I825</f>
        <v/>
      </c>
      <c r="H825" s="2">
        <f>Raw_Data!J825</f>
        <v/>
      </c>
      <c r="I825" s="2">
        <f>IF(G825="",0,G825-B825)</f>
        <v/>
      </c>
      <c r="J825" s="2">
        <f>IF(H825="Paid",MAX(0,G825-F825),MAX(0,DATE(2026,12,31)-F825))</f>
        <v/>
      </c>
      <c r="K825" s="8">
        <f>IF(H825="Paid",0,E825)</f>
        <v/>
      </c>
      <c r="L825" s="2">
        <f>IF(J825=0,"Current",IF(J825&lt;=30,"1-30 Days",IF(J825&lt;=60,"31-60 Days",IF(J825&lt;=90,"61-90 Days","90+ Days"))))</f>
        <v/>
      </c>
      <c r="M825" s="8">
        <f>IF(Raw_Data!K825="Yes",Raw_Data!F825*Raw_Data!L825,0)</f>
        <v/>
      </c>
      <c r="N825" s="2">
        <f>IF(H825&lt;&gt;"Paid","Outstanding",IF(J825=0,"On Time","Late"))</f>
        <v/>
      </c>
    </row>
    <row r="826">
      <c r="A826" s="2">
        <f>Raw_Data!A826</f>
        <v/>
      </c>
      <c r="B826" s="7">
        <f>Raw_Data!B826</f>
        <v/>
      </c>
      <c r="C826" s="2">
        <f>Raw_Data!C826</f>
        <v/>
      </c>
      <c r="D826" s="2">
        <f>Raw_Data!D826</f>
        <v/>
      </c>
      <c r="E826" s="8">
        <f>Raw_Data!F826</f>
        <v/>
      </c>
      <c r="F826" s="7">
        <f>Raw_Data!H826</f>
        <v/>
      </c>
      <c r="G826" s="7">
        <f>Raw_Data!I826</f>
        <v/>
      </c>
      <c r="H826" s="2">
        <f>Raw_Data!J826</f>
        <v/>
      </c>
      <c r="I826" s="2">
        <f>IF(G826="",0,G826-B826)</f>
        <v/>
      </c>
      <c r="J826" s="2">
        <f>IF(H826="Paid",MAX(0,G826-F826),MAX(0,DATE(2026,12,31)-F826))</f>
        <v/>
      </c>
      <c r="K826" s="8">
        <f>IF(H826="Paid",0,E826)</f>
        <v/>
      </c>
      <c r="L826" s="2">
        <f>IF(J826=0,"Current",IF(J826&lt;=30,"1-30 Days",IF(J826&lt;=60,"31-60 Days",IF(J826&lt;=90,"61-90 Days","90+ Days"))))</f>
        <v/>
      </c>
      <c r="M826" s="8">
        <f>IF(Raw_Data!K826="Yes",Raw_Data!F826*Raw_Data!L826,0)</f>
        <v/>
      </c>
      <c r="N826" s="2">
        <f>IF(H826&lt;&gt;"Paid","Outstanding",IF(J826=0,"On Time","Late"))</f>
        <v/>
      </c>
    </row>
    <row r="827">
      <c r="A827" s="2">
        <f>Raw_Data!A827</f>
        <v/>
      </c>
      <c r="B827" s="7">
        <f>Raw_Data!B827</f>
        <v/>
      </c>
      <c r="C827" s="2">
        <f>Raw_Data!C827</f>
        <v/>
      </c>
      <c r="D827" s="2">
        <f>Raw_Data!D827</f>
        <v/>
      </c>
      <c r="E827" s="8">
        <f>Raw_Data!F827</f>
        <v/>
      </c>
      <c r="F827" s="7">
        <f>Raw_Data!H827</f>
        <v/>
      </c>
      <c r="G827" s="7">
        <f>Raw_Data!I827</f>
        <v/>
      </c>
      <c r="H827" s="2">
        <f>Raw_Data!J827</f>
        <v/>
      </c>
      <c r="I827" s="2">
        <f>IF(G827="",0,G827-B827)</f>
        <v/>
      </c>
      <c r="J827" s="2">
        <f>IF(H827="Paid",MAX(0,G827-F827),MAX(0,DATE(2026,12,31)-F827))</f>
        <v/>
      </c>
      <c r="K827" s="8">
        <f>IF(H827="Paid",0,E827)</f>
        <v/>
      </c>
      <c r="L827" s="2">
        <f>IF(J827=0,"Current",IF(J827&lt;=30,"1-30 Days",IF(J827&lt;=60,"31-60 Days",IF(J827&lt;=90,"61-90 Days","90+ Days"))))</f>
        <v/>
      </c>
      <c r="M827" s="8">
        <f>IF(Raw_Data!K827="Yes",Raw_Data!F827*Raw_Data!L827,0)</f>
        <v/>
      </c>
      <c r="N827" s="2">
        <f>IF(H827&lt;&gt;"Paid","Outstanding",IF(J827=0,"On Time","Late"))</f>
        <v/>
      </c>
    </row>
    <row r="828">
      <c r="A828" s="2">
        <f>Raw_Data!A828</f>
        <v/>
      </c>
      <c r="B828" s="7">
        <f>Raw_Data!B828</f>
        <v/>
      </c>
      <c r="C828" s="2">
        <f>Raw_Data!C828</f>
        <v/>
      </c>
      <c r="D828" s="2">
        <f>Raw_Data!D828</f>
        <v/>
      </c>
      <c r="E828" s="8">
        <f>Raw_Data!F828</f>
        <v/>
      </c>
      <c r="F828" s="7">
        <f>Raw_Data!H828</f>
        <v/>
      </c>
      <c r="G828" s="7">
        <f>Raw_Data!I828</f>
        <v/>
      </c>
      <c r="H828" s="2">
        <f>Raw_Data!J828</f>
        <v/>
      </c>
      <c r="I828" s="2">
        <f>IF(G828="",0,G828-B828)</f>
        <v/>
      </c>
      <c r="J828" s="2">
        <f>IF(H828="Paid",MAX(0,G828-F828),MAX(0,DATE(2026,12,31)-F828))</f>
        <v/>
      </c>
      <c r="K828" s="8">
        <f>IF(H828="Paid",0,E828)</f>
        <v/>
      </c>
      <c r="L828" s="2">
        <f>IF(J828=0,"Current",IF(J828&lt;=30,"1-30 Days",IF(J828&lt;=60,"31-60 Days",IF(J828&lt;=90,"61-90 Days","90+ Days"))))</f>
        <v/>
      </c>
      <c r="M828" s="8">
        <f>IF(Raw_Data!K828="Yes",Raw_Data!F828*Raw_Data!L828,0)</f>
        <v/>
      </c>
      <c r="N828" s="2">
        <f>IF(H828&lt;&gt;"Paid","Outstanding",IF(J828=0,"On Time","Late"))</f>
        <v/>
      </c>
    </row>
    <row r="829">
      <c r="A829" s="2">
        <f>Raw_Data!A829</f>
        <v/>
      </c>
      <c r="B829" s="7">
        <f>Raw_Data!B829</f>
        <v/>
      </c>
      <c r="C829" s="2">
        <f>Raw_Data!C829</f>
        <v/>
      </c>
      <c r="D829" s="2">
        <f>Raw_Data!D829</f>
        <v/>
      </c>
      <c r="E829" s="8">
        <f>Raw_Data!F829</f>
        <v/>
      </c>
      <c r="F829" s="7">
        <f>Raw_Data!H829</f>
        <v/>
      </c>
      <c r="G829" s="7">
        <f>Raw_Data!I829</f>
        <v/>
      </c>
      <c r="H829" s="2">
        <f>Raw_Data!J829</f>
        <v/>
      </c>
      <c r="I829" s="2">
        <f>IF(G829="",0,G829-B829)</f>
        <v/>
      </c>
      <c r="J829" s="2">
        <f>IF(H829="Paid",MAX(0,G829-F829),MAX(0,DATE(2026,12,31)-F829))</f>
        <v/>
      </c>
      <c r="K829" s="8">
        <f>IF(H829="Paid",0,E829)</f>
        <v/>
      </c>
      <c r="L829" s="2">
        <f>IF(J829=0,"Current",IF(J829&lt;=30,"1-30 Days",IF(J829&lt;=60,"31-60 Days",IF(J829&lt;=90,"61-90 Days","90+ Days"))))</f>
        <v/>
      </c>
      <c r="M829" s="8">
        <f>IF(Raw_Data!K829="Yes",Raw_Data!F829*Raw_Data!L829,0)</f>
        <v/>
      </c>
      <c r="N829" s="2">
        <f>IF(H829&lt;&gt;"Paid","Outstanding",IF(J829=0,"On Time","Late"))</f>
        <v/>
      </c>
    </row>
    <row r="830">
      <c r="A830" s="2">
        <f>Raw_Data!A830</f>
        <v/>
      </c>
      <c r="B830" s="7">
        <f>Raw_Data!B830</f>
        <v/>
      </c>
      <c r="C830" s="2">
        <f>Raw_Data!C830</f>
        <v/>
      </c>
      <c r="D830" s="2">
        <f>Raw_Data!D830</f>
        <v/>
      </c>
      <c r="E830" s="8">
        <f>Raw_Data!F830</f>
        <v/>
      </c>
      <c r="F830" s="7">
        <f>Raw_Data!H830</f>
        <v/>
      </c>
      <c r="G830" s="7">
        <f>Raw_Data!I830</f>
        <v/>
      </c>
      <c r="H830" s="2">
        <f>Raw_Data!J830</f>
        <v/>
      </c>
      <c r="I830" s="2">
        <f>IF(G830="",0,G830-B830)</f>
        <v/>
      </c>
      <c r="J830" s="2">
        <f>IF(H830="Paid",MAX(0,G830-F830),MAX(0,DATE(2026,12,31)-F830))</f>
        <v/>
      </c>
      <c r="K830" s="8">
        <f>IF(H830="Paid",0,E830)</f>
        <v/>
      </c>
      <c r="L830" s="2">
        <f>IF(J830=0,"Current",IF(J830&lt;=30,"1-30 Days",IF(J830&lt;=60,"31-60 Days",IF(J830&lt;=90,"61-90 Days","90+ Days"))))</f>
        <v/>
      </c>
      <c r="M830" s="8">
        <f>IF(Raw_Data!K830="Yes",Raw_Data!F830*Raw_Data!L830,0)</f>
        <v/>
      </c>
      <c r="N830" s="2">
        <f>IF(H830&lt;&gt;"Paid","Outstanding",IF(J830=0,"On Time","Late"))</f>
        <v/>
      </c>
    </row>
    <row r="831">
      <c r="A831" s="2">
        <f>Raw_Data!A831</f>
        <v/>
      </c>
      <c r="B831" s="7">
        <f>Raw_Data!B831</f>
        <v/>
      </c>
      <c r="C831" s="2">
        <f>Raw_Data!C831</f>
        <v/>
      </c>
      <c r="D831" s="2">
        <f>Raw_Data!D831</f>
        <v/>
      </c>
      <c r="E831" s="8">
        <f>Raw_Data!F831</f>
        <v/>
      </c>
      <c r="F831" s="7">
        <f>Raw_Data!H831</f>
        <v/>
      </c>
      <c r="G831" s="7">
        <f>Raw_Data!I831</f>
        <v/>
      </c>
      <c r="H831" s="2">
        <f>Raw_Data!J831</f>
        <v/>
      </c>
      <c r="I831" s="2">
        <f>IF(G831="",0,G831-B831)</f>
        <v/>
      </c>
      <c r="J831" s="2">
        <f>IF(H831="Paid",MAX(0,G831-F831),MAX(0,DATE(2026,12,31)-F831))</f>
        <v/>
      </c>
      <c r="K831" s="8">
        <f>IF(H831="Paid",0,E831)</f>
        <v/>
      </c>
      <c r="L831" s="2">
        <f>IF(J831=0,"Current",IF(J831&lt;=30,"1-30 Days",IF(J831&lt;=60,"31-60 Days",IF(J831&lt;=90,"61-90 Days","90+ Days"))))</f>
        <v/>
      </c>
      <c r="M831" s="8">
        <f>IF(Raw_Data!K831="Yes",Raw_Data!F831*Raw_Data!L831,0)</f>
        <v/>
      </c>
      <c r="N831" s="2">
        <f>IF(H831&lt;&gt;"Paid","Outstanding",IF(J831=0,"On Time","Late"))</f>
        <v/>
      </c>
    </row>
    <row r="832">
      <c r="A832" s="2">
        <f>Raw_Data!A832</f>
        <v/>
      </c>
      <c r="B832" s="7">
        <f>Raw_Data!B832</f>
        <v/>
      </c>
      <c r="C832" s="2">
        <f>Raw_Data!C832</f>
        <v/>
      </c>
      <c r="D832" s="2">
        <f>Raw_Data!D832</f>
        <v/>
      </c>
      <c r="E832" s="8">
        <f>Raw_Data!F832</f>
        <v/>
      </c>
      <c r="F832" s="7">
        <f>Raw_Data!H832</f>
        <v/>
      </c>
      <c r="G832" s="7">
        <f>Raw_Data!I832</f>
        <v/>
      </c>
      <c r="H832" s="2">
        <f>Raw_Data!J832</f>
        <v/>
      </c>
      <c r="I832" s="2">
        <f>IF(G832="",0,G832-B832)</f>
        <v/>
      </c>
      <c r="J832" s="2">
        <f>IF(H832="Paid",MAX(0,G832-F832),MAX(0,DATE(2026,12,31)-F832))</f>
        <v/>
      </c>
      <c r="K832" s="8">
        <f>IF(H832="Paid",0,E832)</f>
        <v/>
      </c>
      <c r="L832" s="2">
        <f>IF(J832=0,"Current",IF(J832&lt;=30,"1-30 Days",IF(J832&lt;=60,"31-60 Days",IF(J832&lt;=90,"61-90 Days","90+ Days"))))</f>
        <v/>
      </c>
      <c r="M832" s="8">
        <f>IF(Raw_Data!K832="Yes",Raw_Data!F832*Raw_Data!L832,0)</f>
        <v/>
      </c>
      <c r="N832" s="2">
        <f>IF(H832&lt;&gt;"Paid","Outstanding",IF(J832=0,"On Time","Late"))</f>
        <v/>
      </c>
    </row>
    <row r="833">
      <c r="A833" s="2">
        <f>Raw_Data!A833</f>
        <v/>
      </c>
      <c r="B833" s="7">
        <f>Raw_Data!B833</f>
        <v/>
      </c>
      <c r="C833" s="2">
        <f>Raw_Data!C833</f>
        <v/>
      </c>
      <c r="D833" s="2">
        <f>Raw_Data!D833</f>
        <v/>
      </c>
      <c r="E833" s="8">
        <f>Raw_Data!F833</f>
        <v/>
      </c>
      <c r="F833" s="7">
        <f>Raw_Data!H833</f>
        <v/>
      </c>
      <c r="G833" s="7">
        <f>Raw_Data!I833</f>
        <v/>
      </c>
      <c r="H833" s="2">
        <f>Raw_Data!J833</f>
        <v/>
      </c>
      <c r="I833" s="2">
        <f>IF(G833="",0,G833-B833)</f>
        <v/>
      </c>
      <c r="J833" s="2">
        <f>IF(H833="Paid",MAX(0,G833-F833),MAX(0,DATE(2026,12,31)-F833))</f>
        <v/>
      </c>
      <c r="K833" s="8">
        <f>IF(H833="Paid",0,E833)</f>
        <v/>
      </c>
      <c r="L833" s="2">
        <f>IF(J833=0,"Current",IF(J833&lt;=30,"1-30 Days",IF(J833&lt;=60,"31-60 Days",IF(J833&lt;=90,"61-90 Days","90+ Days"))))</f>
        <v/>
      </c>
      <c r="M833" s="8">
        <f>IF(Raw_Data!K833="Yes",Raw_Data!F833*Raw_Data!L833,0)</f>
        <v/>
      </c>
      <c r="N833" s="2">
        <f>IF(H833&lt;&gt;"Paid","Outstanding",IF(J833=0,"On Time","Late"))</f>
        <v/>
      </c>
    </row>
    <row r="834">
      <c r="A834" s="2">
        <f>Raw_Data!A834</f>
        <v/>
      </c>
      <c r="B834" s="7">
        <f>Raw_Data!B834</f>
        <v/>
      </c>
      <c r="C834" s="2">
        <f>Raw_Data!C834</f>
        <v/>
      </c>
      <c r="D834" s="2">
        <f>Raw_Data!D834</f>
        <v/>
      </c>
      <c r="E834" s="8">
        <f>Raw_Data!F834</f>
        <v/>
      </c>
      <c r="F834" s="7">
        <f>Raw_Data!H834</f>
        <v/>
      </c>
      <c r="G834" s="7">
        <f>Raw_Data!I834</f>
        <v/>
      </c>
      <c r="H834" s="2">
        <f>Raw_Data!J834</f>
        <v/>
      </c>
      <c r="I834" s="2">
        <f>IF(G834="",0,G834-B834)</f>
        <v/>
      </c>
      <c r="J834" s="2">
        <f>IF(H834="Paid",MAX(0,G834-F834),MAX(0,DATE(2026,12,31)-F834))</f>
        <v/>
      </c>
      <c r="K834" s="8">
        <f>IF(H834="Paid",0,E834)</f>
        <v/>
      </c>
      <c r="L834" s="2">
        <f>IF(J834=0,"Current",IF(J834&lt;=30,"1-30 Days",IF(J834&lt;=60,"31-60 Days",IF(J834&lt;=90,"61-90 Days","90+ Days"))))</f>
        <v/>
      </c>
      <c r="M834" s="8">
        <f>IF(Raw_Data!K834="Yes",Raw_Data!F834*Raw_Data!L834,0)</f>
        <v/>
      </c>
      <c r="N834" s="2">
        <f>IF(H834&lt;&gt;"Paid","Outstanding",IF(J834=0,"On Time","Late"))</f>
        <v/>
      </c>
    </row>
    <row r="835">
      <c r="A835" s="2">
        <f>Raw_Data!A835</f>
        <v/>
      </c>
      <c r="B835" s="7">
        <f>Raw_Data!B835</f>
        <v/>
      </c>
      <c r="C835" s="2">
        <f>Raw_Data!C835</f>
        <v/>
      </c>
      <c r="D835" s="2">
        <f>Raw_Data!D835</f>
        <v/>
      </c>
      <c r="E835" s="8">
        <f>Raw_Data!F835</f>
        <v/>
      </c>
      <c r="F835" s="7">
        <f>Raw_Data!H835</f>
        <v/>
      </c>
      <c r="G835" s="7">
        <f>Raw_Data!I835</f>
        <v/>
      </c>
      <c r="H835" s="2">
        <f>Raw_Data!J835</f>
        <v/>
      </c>
      <c r="I835" s="2">
        <f>IF(G835="",0,G835-B835)</f>
        <v/>
      </c>
      <c r="J835" s="2">
        <f>IF(H835="Paid",MAX(0,G835-F835),MAX(0,DATE(2026,12,31)-F835))</f>
        <v/>
      </c>
      <c r="K835" s="8">
        <f>IF(H835="Paid",0,E835)</f>
        <v/>
      </c>
      <c r="L835" s="2">
        <f>IF(J835=0,"Current",IF(J835&lt;=30,"1-30 Days",IF(J835&lt;=60,"31-60 Days",IF(J835&lt;=90,"61-90 Days","90+ Days"))))</f>
        <v/>
      </c>
      <c r="M835" s="8">
        <f>IF(Raw_Data!K835="Yes",Raw_Data!F835*Raw_Data!L835,0)</f>
        <v/>
      </c>
      <c r="N835" s="2">
        <f>IF(H835&lt;&gt;"Paid","Outstanding",IF(J835=0,"On Time","Late"))</f>
        <v/>
      </c>
    </row>
    <row r="836">
      <c r="A836" s="2">
        <f>Raw_Data!A836</f>
        <v/>
      </c>
      <c r="B836" s="7">
        <f>Raw_Data!B836</f>
        <v/>
      </c>
      <c r="C836" s="2">
        <f>Raw_Data!C836</f>
        <v/>
      </c>
      <c r="D836" s="2">
        <f>Raw_Data!D836</f>
        <v/>
      </c>
      <c r="E836" s="8">
        <f>Raw_Data!F836</f>
        <v/>
      </c>
      <c r="F836" s="7">
        <f>Raw_Data!H836</f>
        <v/>
      </c>
      <c r="G836" s="7">
        <f>Raw_Data!I836</f>
        <v/>
      </c>
      <c r="H836" s="2">
        <f>Raw_Data!J836</f>
        <v/>
      </c>
      <c r="I836" s="2">
        <f>IF(G836="",0,G836-B836)</f>
        <v/>
      </c>
      <c r="J836" s="2">
        <f>IF(H836="Paid",MAX(0,G836-F836),MAX(0,DATE(2026,12,31)-F836))</f>
        <v/>
      </c>
      <c r="K836" s="8">
        <f>IF(H836="Paid",0,E836)</f>
        <v/>
      </c>
      <c r="L836" s="2">
        <f>IF(J836=0,"Current",IF(J836&lt;=30,"1-30 Days",IF(J836&lt;=60,"31-60 Days",IF(J836&lt;=90,"61-90 Days","90+ Days"))))</f>
        <v/>
      </c>
      <c r="M836" s="8">
        <f>IF(Raw_Data!K836="Yes",Raw_Data!F836*Raw_Data!L836,0)</f>
        <v/>
      </c>
      <c r="N836" s="2">
        <f>IF(H836&lt;&gt;"Paid","Outstanding",IF(J836=0,"On Time","Late"))</f>
        <v/>
      </c>
    </row>
    <row r="837">
      <c r="A837" s="2">
        <f>Raw_Data!A837</f>
        <v/>
      </c>
      <c r="B837" s="7">
        <f>Raw_Data!B837</f>
        <v/>
      </c>
      <c r="C837" s="2">
        <f>Raw_Data!C837</f>
        <v/>
      </c>
      <c r="D837" s="2">
        <f>Raw_Data!D837</f>
        <v/>
      </c>
      <c r="E837" s="8">
        <f>Raw_Data!F837</f>
        <v/>
      </c>
      <c r="F837" s="7">
        <f>Raw_Data!H837</f>
        <v/>
      </c>
      <c r="G837" s="7">
        <f>Raw_Data!I837</f>
        <v/>
      </c>
      <c r="H837" s="2">
        <f>Raw_Data!J837</f>
        <v/>
      </c>
      <c r="I837" s="2">
        <f>IF(G837="",0,G837-B837)</f>
        <v/>
      </c>
      <c r="J837" s="2">
        <f>IF(H837="Paid",MAX(0,G837-F837),MAX(0,DATE(2026,12,31)-F837))</f>
        <v/>
      </c>
      <c r="K837" s="8">
        <f>IF(H837="Paid",0,E837)</f>
        <v/>
      </c>
      <c r="L837" s="2">
        <f>IF(J837=0,"Current",IF(J837&lt;=30,"1-30 Days",IF(J837&lt;=60,"31-60 Days",IF(J837&lt;=90,"61-90 Days","90+ Days"))))</f>
        <v/>
      </c>
      <c r="M837" s="8">
        <f>IF(Raw_Data!K837="Yes",Raw_Data!F837*Raw_Data!L837,0)</f>
        <v/>
      </c>
      <c r="N837" s="2">
        <f>IF(H837&lt;&gt;"Paid","Outstanding",IF(J837=0,"On Time","Late"))</f>
        <v/>
      </c>
    </row>
    <row r="838">
      <c r="A838" s="2">
        <f>Raw_Data!A838</f>
        <v/>
      </c>
      <c r="B838" s="7">
        <f>Raw_Data!B838</f>
        <v/>
      </c>
      <c r="C838" s="2">
        <f>Raw_Data!C838</f>
        <v/>
      </c>
      <c r="D838" s="2">
        <f>Raw_Data!D838</f>
        <v/>
      </c>
      <c r="E838" s="8">
        <f>Raw_Data!F838</f>
        <v/>
      </c>
      <c r="F838" s="7">
        <f>Raw_Data!H838</f>
        <v/>
      </c>
      <c r="G838" s="7">
        <f>Raw_Data!I838</f>
        <v/>
      </c>
      <c r="H838" s="2">
        <f>Raw_Data!J838</f>
        <v/>
      </c>
      <c r="I838" s="2">
        <f>IF(G838="",0,G838-B838)</f>
        <v/>
      </c>
      <c r="J838" s="2">
        <f>IF(H838="Paid",MAX(0,G838-F838),MAX(0,DATE(2026,12,31)-F838))</f>
        <v/>
      </c>
      <c r="K838" s="8">
        <f>IF(H838="Paid",0,E838)</f>
        <v/>
      </c>
      <c r="L838" s="2">
        <f>IF(J838=0,"Current",IF(J838&lt;=30,"1-30 Days",IF(J838&lt;=60,"31-60 Days",IF(J838&lt;=90,"61-90 Days","90+ Days"))))</f>
        <v/>
      </c>
      <c r="M838" s="8">
        <f>IF(Raw_Data!K838="Yes",Raw_Data!F838*Raw_Data!L838,0)</f>
        <v/>
      </c>
      <c r="N838" s="2">
        <f>IF(H838&lt;&gt;"Paid","Outstanding",IF(J838=0,"On Time","Late"))</f>
        <v/>
      </c>
    </row>
    <row r="839">
      <c r="A839" s="2">
        <f>Raw_Data!A839</f>
        <v/>
      </c>
      <c r="B839" s="7">
        <f>Raw_Data!B839</f>
        <v/>
      </c>
      <c r="C839" s="2">
        <f>Raw_Data!C839</f>
        <v/>
      </c>
      <c r="D839" s="2">
        <f>Raw_Data!D839</f>
        <v/>
      </c>
      <c r="E839" s="8">
        <f>Raw_Data!F839</f>
        <v/>
      </c>
      <c r="F839" s="7">
        <f>Raw_Data!H839</f>
        <v/>
      </c>
      <c r="G839" s="7">
        <f>Raw_Data!I839</f>
        <v/>
      </c>
      <c r="H839" s="2">
        <f>Raw_Data!J839</f>
        <v/>
      </c>
      <c r="I839" s="2">
        <f>IF(G839="",0,G839-B839)</f>
        <v/>
      </c>
      <c r="J839" s="2">
        <f>IF(H839="Paid",MAX(0,G839-F839),MAX(0,DATE(2026,12,31)-F839))</f>
        <v/>
      </c>
      <c r="K839" s="8">
        <f>IF(H839="Paid",0,E839)</f>
        <v/>
      </c>
      <c r="L839" s="2">
        <f>IF(J839=0,"Current",IF(J839&lt;=30,"1-30 Days",IF(J839&lt;=60,"31-60 Days",IF(J839&lt;=90,"61-90 Days","90+ Days"))))</f>
        <v/>
      </c>
      <c r="M839" s="8">
        <f>IF(Raw_Data!K839="Yes",Raw_Data!F839*Raw_Data!L839,0)</f>
        <v/>
      </c>
      <c r="N839" s="2">
        <f>IF(H839&lt;&gt;"Paid","Outstanding",IF(J839=0,"On Time","Late"))</f>
        <v/>
      </c>
    </row>
    <row r="840">
      <c r="A840" s="2">
        <f>Raw_Data!A840</f>
        <v/>
      </c>
      <c r="B840" s="7">
        <f>Raw_Data!B840</f>
        <v/>
      </c>
      <c r="C840" s="2">
        <f>Raw_Data!C840</f>
        <v/>
      </c>
      <c r="D840" s="2">
        <f>Raw_Data!D840</f>
        <v/>
      </c>
      <c r="E840" s="8">
        <f>Raw_Data!F840</f>
        <v/>
      </c>
      <c r="F840" s="7">
        <f>Raw_Data!H840</f>
        <v/>
      </c>
      <c r="G840" s="7">
        <f>Raw_Data!I840</f>
        <v/>
      </c>
      <c r="H840" s="2">
        <f>Raw_Data!J840</f>
        <v/>
      </c>
      <c r="I840" s="2">
        <f>IF(G840="",0,G840-B840)</f>
        <v/>
      </c>
      <c r="J840" s="2">
        <f>IF(H840="Paid",MAX(0,G840-F840),MAX(0,DATE(2026,12,31)-F840))</f>
        <v/>
      </c>
      <c r="K840" s="8">
        <f>IF(H840="Paid",0,E840)</f>
        <v/>
      </c>
      <c r="L840" s="2">
        <f>IF(J840=0,"Current",IF(J840&lt;=30,"1-30 Days",IF(J840&lt;=60,"31-60 Days",IF(J840&lt;=90,"61-90 Days","90+ Days"))))</f>
        <v/>
      </c>
      <c r="M840" s="8">
        <f>IF(Raw_Data!K840="Yes",Raw_Data!F840*Raw_Data!L840,0)</f>
        <v/>
      </c>
      <c r="N840" s="2">
        <f>IF(H840&lt;&gt;"Paid","Outstanding",IF(J840=0,"On Time","Late"))</f>
        <v/>
      </c>
    </row>
    <row r="841">
      <c r="A841" s="2">
        <f>Raw_Data!A841</f>
        <v/>
      </c>
      <c r="B841" s="7">
        <f>Raw_Data!B841</f>
        <v/>
      </c>
      <c r="C841" s="2">
        <f>Raw_Data!C841</f>
        <v/>
      </c>
      <c r="D841" s="2">
        <f>Raw_Data!D841</f>
        <v/>
      </c>
      <c r="E841" s="8">
        <f>Raw_Data!F841</f>
        <v/>
      </c>
      <c r="F841" s="7">
        <f>Raw_Data!H841</f>
        <v/>
      </c>
      <c r="G841" s="7">
        <f>Raw_Data!I841</f>
        <v/>
      </c>
      <c r="H841" s="2">
        <f>Raw_Data!J841</f>
        <v/>
      </c>
      <c r="I841" s="2">
        <f>IF(G841="",0,G841-B841)</f>
        <v/>
      </c>
      <c r="J841" s="2">
        <f>IF(H841="Paid",MAX(0,G841-F841),MAX(0,DATE(2026,12,31)-F841))</f>
        <v/>
      </c>
      <c r="K841" s="8">
        <f>IF(H841="Paid",0,E841)</f>
        <v/>
      </c>
      <c r="L841" s="2">
        <f>IF(J841=0,"Current",IF(J841&lt;=30,"1-30 Days",IF(J841&lt;=60,"31-60 Days",IF(J841&lt;=90,"61-90 Days","90+ Days"))))</f>
        <v/>
      </c>
      <c r="M841" s="8">
        <f>IF(Raw_Data!K841="Yes",Raw_Data!F841*Raw_Data!L841,0)</f>
        <v/>
      </c>
      <c r="N841" s="2">
        <f>IF(H841&lt;&gt;"Paid","Outstanding",IF(J841=0,"On Time","Late"))</f>
        <v/>
      </c>
    </row>
    <row r="842">
      <c r="A842" s="2">
        <f>Raw_Data!A842</f>
        <v/>
      </c>
      <c r="B842" s="7">
        <f>Raw_Data!B842</f>
        <v/>
      </c>
      <c r="C842" s="2">
        <f>Raw_Data!C842</f>
        <v/>
      </c>
      <c r="D842" s="2">
        <f>Raw_Data!D842</f>
        <v/>
      </c>
      <c r="E842" s="8">
        <f>Raw_Data!F842</f>
        <v/>
      </c>
      <c r="F842" s="7">
        <f>Raw_Data!H842</f>
        <v/>
      </c>
      <c r="G842" s="7">
        <f>Raw_Data!I842</f>
        <v/>
      </c>
      <c r="H842" s="2">
        <f>Raw_Data!J842</f>
        <v/>
      </c>
      <c r="I842" s="2">
        <f>IF(G842="",0,G842-B842)</f>
        <v/>
      </c>
      <c r="J842" s="2">
        <f>IF(H842="Paid",MAX(0,G842-F842),MAX(0,DATE(2026,12,31)-F842))</f>
        <v/>
      </c>
      <c r="K842" s="8">
        <f>IF(H842="Paid",0,E842)</f>
        <v/>
      </c>
      <c r="L842" s="2">
        <f>IF(J842=0,"Current",IF(J842&lt;=30,"1-30 Days",IF(J842&lt;=60,"31-60 Days",IF(J842&lt;=90,"61-90 Days","90+ Days"))))</f>
        <v/>
      </c>
      <c r="M842" s="8">
        <f>IF(Raw_Data!K842="Yes",Raw_Data!F842*Raw_Data!L842,0)</f>
        <v/>
      </c>
      <c r="N842" s="2">
        <f>IF(H842&lt;&gt;"Paid","Outstanding",IF(J842=0,"On Time","Late"))</f>
        <v/>
      </c>
    </row>
    <row r="843">
      <c r="A843" s="2">
        <f>Raw_Data!A843</f>
        <v/>
      </c>
      <c r="B843" s="7">
        <f>Raw_Data!B843</f>
        <v/>
      </c>
      <c r="C843" s="2">
        <f>Raw_Data!C843</f>
        <v/>
      </c>
      <c r="D843" s="2">
        <f>Raw_Data!D843</f>
        <v/>
      </c>
      <c r="E843" s="8">
        <f>Raw_Data!F843</f>
        <v/>
      </c>
      <c r="F843" s="7">
        <f>Raw_Data!H843</f>
        <v/>
      </c>
      <c r="G843" s="7">
        <f>Raw_Data!I843</f>
        <v/>
      </c>
      <c r="H843" s="2">
        <f>Raw_Data!J843</f>
        <v/>
      </c>
      <c r="I843" s="2">
        <f>IF(G843="",0,G843-B843)</f>
        <v/>
      </c>
      <c r="J843" s="2">
        <f>IF(H843="Paid",MAX(0,G843-F843),MAX(0,DATE(2026,12,31)-F843))</f>
        <v/>
      </c>
      <c r="K843" s="8">
        <f>IF(H843="Paid",0,E843)</f>
        <v/>
      </c>
      <c r="L843" s="2">
        <f>IF(J843=0,"Current",IF(J843&lt;=30,"1-30 Days",IF(J843&lt;=60,"31-60 Days",IF(J843&lt;=90,"61-90 Days","90+ Days"))))</f>
        <v/>
      </c>
      <c r="M843" s="8">
        <f>IF(Raw_Data!K843="Yes",Raw_Data!F843*Raw_Data!L843,0)</f>
        <v/>
      </c>
      <c r="N843" s="2">
        <f>IF(H843&lt;&gt;"Paid","Outstanding",IF(J843=0,"On Time","Late"))</f>
        <v/>
      </c>
    </row>
    <row r="844">
      <c r="A844" s="2">
        <f>Raw_Data!A844</f>
        <v/>
      </c>
      <c r="B844" s="7">
        <f>Raw_Data!B844</f>
        <v/>
      </c>
      <c r="C844" s="2">
        <f>Raw_Data!C844</f>
        <v/>
      </c>
      <c r="D844" s="2">
        <f>Raw_Data!D844</f>
        <v/>
      </c>
      <c r="E844" s="8">
        <f>Raw_Data!F844</f>
        <v/>
      </c>
      <c r="F844" s="7">
        <f>Raw_Data!H844</f>
        <v/>
      </c>
      <c r="G844" s="7">
        <f>Raw_Data!I844</f>
        <v/>
      </c>
      <c r="H844" s="2">
        <f>Raw_Data!J844</f>
        <v/>
      </c>
      <c r="I844" s="2">
        <f>IF(G844="",0,G844-B844)</f>
        <v/>
      </c>
      <c r="J844" s="2">
        <f>IF(H844="Paid",MAX(0,G844-F844),MAX(0,DATE(2026,12,31)-F844))</f>
        <v/>
      </c>
      <c r="K844" s="8">
        <f>IF(H844="Paid",0,E844)</f>
        <v/>
      </c>
      <c r="L844" s="2">
        <f>IF(J844=0,"Current",IF(J844&lt;=30,"1-30 Days",IF(J844&lt;=60,"31-60 Days",IF(J844&lt;=90,"61-90 Days","90+ Days"))))</f>
        <v/>
      </c>
      <c r="M844" s="8">
        <f>IF(Raw_Data!K844="Yes",Raw_Data!F844*Raw_Data!L844,0)</f>
        <v/>
      </c>
      <c r="N844" s="2">
        <f>IF(H844&lt;&gt;"Paid","Outstanding",IF(J844=0,"On Time","Late"))</f>
        <v/>
      </c>
    </row>
    <row r="845">
      <c r="A845" s="2">
        <f>Raw_Data!A845</f>
        <v/>
      </c>
      <c r="B845" s="7">
        <f>Raw_Data!B845</f>
        <v/>
      </c>
      <c r="C845" s="2">
        <f>Raw_Data!C845</f>
        <v/>
      </c>
      <c r="D845" s="2">
        <f>Raw_Data!D845</f>
        <v/>
      </c>
      <c r="E845" s="8">
        <f>Raw_Data!F845</f>
        <v/>
      </c>
      <c r="F845" s="7">
        <f>Raw_Data!H845</f>
        <v/>
      </c>
      <c r="G845" s="7">
        <f>Raw_Data!I845</f>
        <v/>
      </c>
      <c r="H845" s="2">
        <f>Raw_Data!J845</f>
        <v/>
      </c>
      <c r="I845" s="2">
        <f>IF(G845="",0,G845-B845)</f>
        <v/>
      </c>
      <c r="J845" s="2">
        <f>IF(H845="Paid",MAX(0,G845-F845),MAX(0,DATE(2026,12,31)-F845))</f>
        <v/>
      </c>
      <c r="K845" s="8">
        <f>IF(H845="Paid",0,E845)</f>
        <v/>
      </c>
      <c r="L845" s="2">
        <f>IF(J845=0,"Current",IF(J845&lt;=30,"1-30 Days",IF(J845&lt;=60,"31-60 Days",IF(J845&lt;=90,"61-90 Days","90+ Days"))))</f>
        <v/>
      </c>
      <c r="M845" s="8">
        <f>IF(Raw_Data!K845="Yes",Raw_Data!F845*Raw_Data!L845,0)</f>
        <v/>
      </c>
      <c r="N845" s="2">
        <f>IF(H845&lt;&gt;"Paid","Outstanding",IF(J845=0,"On Time","Late"))</f>
        <v/>
      </c>
    </row>
    <row r="846">
      <c r="A846" s="2">
        <f>Raw_Data!A846</f>
        <v/>
      </c>
      <c r="B846" s="7">
        <f>Raw_Data!B846</f>
        <v/>
      </c>
      <c r="C846" s="2">
        <f>Raw_Data!C846</f>
        <v/>
      </c>
      <c r="D846" s="2">
        <f>Raw_Data!D846</f>
        <v/>
      </c>
      <c r="E846" s="8">
        <f>Raw_Data!F846</f>
        <v/>
      </c>
      <c r="F846" s="7">
        <f>Raw_Data!H846</f>
        <v/>
      </c>
      <c r="G846" s="7">
        <f>Raw_Data!I846</f>
        <v/>
      </c>
      <c r="H846" s="2">
        <f>Raw_Data!J846</f>
        <v/>
      </c>
      <c r="I846" s="2">
        <f>IF(G846="",0,G846-B846)</f>
        <v/>
      </c>
      <c r="J846" s="2">
        <f>IF(H846="Paid",MAX(0,G846-F846),MAX(0,DATE(2026,12,31)-F846))</f>
        <v/>
      </c>
      <c r="K846" s="8">
        <f>IF(H846="Paid",0,E846)</f>
        <v/>
      </c>
      <c r="L846" s="2">
        <f>IF(J846=0,"Current",IF(J846&lt;=30,"1-30 Days",IF(J846&lt;=60,"31-60 Days",IF(J846&lt;=90,"61-90 Days","90+ Days"))))</f>
        <v/>
      </c>
      <c r="M846" s="8">
        <f>IF(Raw_Data!K846="Yes",Raw_Data!F846*Raw_Data!L846,0)</f>
        <v/>
      </c>
      <c r="N846" s="2">
        <f>IF(H846&lt;&gt;"Paid","Outstanding",IF(J846=0,"On Time","Late"))</f>
        <v/>
      </c>
    </row>
    <row r="847">
      <c r="A847" s="2">
        <f>Raw_Data!A847</f>
        <v/>
      </c>
      <c r="B847" s="7">
        <f>Raw_Data!B847</f>
        <v/>
      </c>
      <c r="C847" s="2">
        <f>Raw_Data!C847</f>
        <v/>
      </c>
      <c r="D847" s="2">
        <f>Raw_Data!D847</f>
        <v/>
      </c>
      <c r="E847" s="8">
        <f>Raw_Data!F847</f>
        <v/>
      </c>
      <c r="F847" s="7">
        <f>Raw_Data!H847</f>
        <v/>
      </c>
      <c r="G847" s="7">
        <f>Raw_Data!I847</f>
        <v/>
      </c>
      <c r="H847" s="2">
        <f>Raw_Data!J847</f>
        <v/>
      </c>
      <c r="I847" s="2">
        <f>IF(G847="",0,G847-B847)</f>
        <v/>
      </c>
      <c r="J847" s="2">
        <f>IF(H847="Paid",MAX(0,G847-F847),MAX(0,DATE(2026,12,31)-F847))</f>
        <v/>
      </c>
      <c r="K847" s="8">
        <f>IF(H847="Paid",0,E847)</f>
        <v/>
      </c>
      <c r="L847" s="2">
        <f>IF(J847=0,"Current",IF(J847&lt;=30,"1-30 Days",IF(J847&lt;=60,"31-60 Days",IF(J847&lt;=90,"61-90 Days","90+ Days"))))</f>
        <v/>
      </c>
      <c r="M847" s="8">
        <f>IF(Raw_Data!K847="Yes",Raw_Data!F847*Raw_Data!L847,0)</f>
        <v/>
      </c>
      <c r="N847" s="2">
        <f>IF(H847&lt;&gt;"Paid","Outstanding",IF(J847=0,"On Time","Late"))</f>
        <v/>
      </c>
    </row>
    <row r="848">
      <c r="A848" s="2">
        <f>Raw_Data!A848</f>
        <v/>
      </c>
      <c r="B848" s="7">
        <f>Raw_Data!B848</f>
        <v/>
      </c>
      <c r="C848" s="2">
        <f>Raw_Data!C848</f>
        <v/>
      </c>
      <c r="D848" s="2">
        <f>Raw_Data!D848</f>
        <v/>
      </c>
      <c r="E848" s="8">
        <f>Raw_Data!F848</f>
        <v/>
      </c>
      <c r="F848" s="7">
        <f>Raw_Data!H848</f>
        <v/>
      </c>
      <c r="G848" s="7">
        <f>Raw_Data!I848</f>
        <v/>
      </c>
      <c r="H848" s="2">
        <f>Raw_Data!J848</f>
        <v/>
      </c>
      <c r="I848" s="2">
        <f>IF(G848="",0,G848-B848)</f>
        <v/>
      </c>
      <c r="J848" s="2">
        <f>IF(H848="Paid",MAX(0,G848-F848),MAX(0,DATE(2026,12,31)-F848))</f>
        <v/>
      </c>
      <c r="K848" s="8">
        <f>IF(H848="Paid",0,E848)</f>
        <v/>
      </c>
      <c r="L848" s="2">
        <f>IF(J848=0,"Current",IF(J848&lt;=30,"1-30 Days",IF(J848&lt;=60,"31-60 Days",IF(J848&lt;=90,"61-90 Days","90+ Days"))))</f>
        <v/>
      </c>
      <c r="M848" s="8">
        <f>IF(Raw_Data!K848="Yes",Raw_Data!F848*Raw_Data!L848,0)</f>
        <v/>
      </c>
      <c r="N848" s="2">
        <f>IF(H848&lt;&gt;"Paid","Outstanding",IF(J848=0,"On Time","Late"))</f>
        <v/>
      </c>
    </row>
    <row r="849">
      <c r="A849" s="2">
        <f>Raw_Data!A849</f>
        <v/>
      </c>
      <c r="B849" s="7">
        <f>Raw_Data!B849</f>
        <v/>
      </c>
      <c r="C849" s="2">
        <f>Raw_Data!C849</f>
        <v/>
      </c>
      <c r="D849" s="2">
        <f>Raw_Data!D849</f>
        <v/>
      </c>
      <c r="E849" s="8">
        <f>Raw_Data!F849</f>
        <v/>
      </c>
      <c r="F849" s="7">
        <f>Raw_Data!H849</f>
        <v/>
      </c>
      <c r="G849" s="7">
        <f>Raw_Data!I849</f>
        <v/>
      </c>
      <c r="H849" s="2">
        <f>Raw_Data!J849</f>
        <v/>
      </c>
      <c r="I849" s="2">
        <f>IF(G849="",0,G849-B849)</f>
        <v/>
      </c>
      <c r="J849" s="2">
        <f>IF(H849="Paid",MAX(0,G849-F849),MAX(0,DATE(2026,12,31)-F849))</f>
        <v/>
      </c>
      <c r="K849" s="8">
        <f>IF(H849="Paid",0,E849)</f>
        <v/>
      </c>
      <c r="L849" s="2">
        <f>IF(J849=0,"Current",IF(J849&lt;=30,"1-30 Days",IF(J849&lt;=60,"31-60 Days",IF(J849&lt;=90,"61-90 Days","90+ Days"))))</f>
        <v/>
      </c>
      <c r="M849" s="8">
        <f>IF(Raw_Data!K849="Yes",Raw_Data!F849*Raw_Data!L849,0)</f>
        <v/>
      </c>
      <c r="N849" s="2">
        <f>IF(H849&lt;&gt;"Paid","Outstanding",IF(J849=0,"On Time","Late"))</f>
        <v/>
      </c>
    </row>
    <row r="850">
      <c r="A850" s="2">
        <f>Raw_Data!A850</f>
        <v/>
      </c>
      <c r="B850" s="7">
        <f>Raw_Data!B850</f>
        <v/>
      </c>
      <c r="C850" s="2">
        <f>Raw_Data!C850</f>
        <v/>
      </c>
      <c r="D850" s="2">
        <f>Raw_Data!D850</f>
        <v/>
      </c>
      <c r="E850" s="8">
        <f>Raw_Data!F850</f>
        <v/>
      </c>
      <c r="F850" s="7">
        <f>Raw_Data!H850</f>
        <v/>
      </c>
      <c r="G850" s="7">
        <f>Raw_Data!I850</f>
        <v/>
      </c>
      <c r="H850" s="2">
        <f>Raw_Data!J850</f>
        <v/>
      </c>
      <c r="I850" s="2">
        <f>IF(G850="",0,G850-B850)</f>
        <v/>
      </c>
      <c r="J850" s="2">
        <f>IF(H850="Paid",MAX(0,G850-F850),MAX(0,DATE(2026,12,31)-F850))</f>
        <v/>
      </c>
      <c r="K850" s="8">
        <f>IF(H850="Paid",0,E850)</f>
        <v/>
      </c>
      <c r="L850" s="2">
        <f>IF(J850=0,"Current",IF(J850&lt;=30,"1-30 Days",IF(J850&lt;=60,"31-60 Days",IF(J850&lt;=90,"61-90 Days","90+ Days"))))</f>
        <v/>
      </c>
      <c r="M850" s="8">
        <f>IF(Raw_Data!K850="Yes",Raw_Data!F850*Raw_Data!L850,0)</f>
        <v/>
      </c>
      <c r="N850" s="2">
        <f>IF(H850&lt;&gt;"Paid","Outstanding",IF(J850=0,"On Time","Late"))</f>
        <v/>
      </c>
    </row>
    <row r="851">
      <c r="A851" s="2">
        <f>Raw_Data!A851</f>
        <v/>
      </c>
      <c r="B851" s="7">
        <f>Raw_Data!B851</f>
        <v/>
      </c>
      <c r="C851" s="2">
        <f>Raw_Data!C851</f>
        <v/>
      </c>
      <c r="D851" s="2">
        <f>Raw_Data!D851</f>
        <v/>
      </c>
      <c r="E851" s="8">
        <f>Raw_Data!F851</f>
        <v/>
      </c>
      <c r="F851" s="7">
        <f>Raw_Data!H851</f>
        <v/>
      </c>
      <c r="G851" s="7">
        <f>Raw_Data!I851</f>
        <v/>
      </c>
      <c r="H851" s="2">
        <f>Raw_Data!J851</f>
        <v/>
      </c>
      <c r="I851" s="2">
        <f>IF(G851="",0,G851-B851)</f>
        <v/>
      </c>
      <c r="J851" s="2">
        <f>IF(H851="Paid",MAX(0,G851-F851),MAX(0,DATE(2026,12,31)-F851))</f>
        <v/>
      </c>
      <c r="K851" s="8">
        <f>IF(H851="Paid",0,E851)</f>
        <v/>
      </c>
      <c r="L851" s="2">
        <f>IF(J851=0,"Current",IF(J851&lt;=30,"1-30 Days",IF(J851&lt;=60,"31-60 Days",IF(J851&lt;=90,"61-90 Days","90+ Days"))))</f>
        <v/>
      </c>
      <c r="M851" s="8">
        <f>IF(Raw_Data!K851="Yes",Raw_Data!F851*Raw_Data!L851,0)</f>
        <v/>
      </c>
      <c r="N851" s="2">
        <f>IF(H851&lt;&gt;"Paid","Outstanding",IF(J851=0,"On Time","Late"))</f>
        <v/>
      </c>
    </row>
    <row r="852">
      <c r="A852" s="2">
        <f>Raw_Data!A852</f>
        <v/>
      </c>
      <c r="B852" s="7">
        <f>Raw_Data!B852</f>
        <v/>
      </c>
      <c r="C852" s="2">
        <f>Raw_Data!C852</f>
        <v/>
      </c>
      <c r="D852" s="2">
        <f>Raw_Data!D852</f>
        <v/>
      </c>
      <c r="E852" s="8">
        <f>Raw_Data!F852</f>
        <v/>
      </c>
      <c r="F852" s="7">
        <f>Raw_Data!H852</f>
        <v/>
      </c>
      <c r="G852" s="7">
        <f>Raw_Data!I852</f>
        <v/>
      </c>
      <c r="H852" s="2">
        <f>Raw_Data!J852</f>
        <v/>
      </c>
      <c r="I852" s="2">
        <f>IF(G852="",0,G852-B852)</f>
        <v/>
      </c>
      <c r="J852" s="2">
        <f>IF(H852="Paid",MAX(0,G852-F852),MAX(0,DATE(2026,12,31)-F852))</f>
        <v/>
      </c>
      <c r="K852" s="8">
        <f>IF(H852="Paid",0,E852)</f>
        <v/>
      </c>
      <c r="L852" s="2">
        <f>IF(J852=0,"Current",IF(J852&lt;=30,"1-30 Days",IF(J852&lt;=60,"31-60 Days",IF(J852&lt;=90,"61-90 Days","90+ Days"))))</f>
        <v/>
      </c>
      <c r="M852" s="8">
        <f>IF(Raw_Data!K852="Yes",Raw_Data!F852*Raw_Data!L852,0)</f>
        <v/>
      </c>
      <c r="N852" s="2">
        <f>IF(H852&lt;&gt;"Paid","Outstanding",IF(J852=0,"On Time","Late"))</f>
        <v/>
      </c>
    </row>
    <row r="853">
      <c r="A853" s="2">
        <f>Raw_Data!A853</f>
        <v/>
      </c>
      <c r="B853" s="7">
        <f>Raw_Data!B853</f>
        <v/>
      </c>
      <c r="C853" s="2">
        <f>Raw_Data!C853</f>
        <v/>
      </c>
      <c r="D853" s="2">
        <f>Raw_Data!D853</f>
        <v/>
      </c>
      <c r="E853" s="8">
        <f>Raw_Data!F853</f>
        <v/>
      </c>
      <c r="F853" s="7">
        <f>Raw_Data!H853</f>
        <v/>
      </c>
      <c r="G853" s="7">
        <f>Raw_Data!I853</f>
        <v/>
      </c>
      <c r="H853" s="2">
        <f>Raw_Data!J853</f>
        <v/>
      </c>
      <c r="I853" s="2">
        <f>IF(G853="",0,G853-B853)</f>
        <v/>
      </c>
      <c r="J853" s="2">
        <f>IF(H853="Paid",MAX(0,G853-F853),MAX(0,DATE(2026,12,31)-F853))</f>
        <v/>
      </c>
      <c r="K853" s="8">
        <f>IF(H853="Paid",0,E853)</f>
        <v/>
      </c>
      <c r="L853" s="2">
        <f>IF(J853=0,"Current",IF(J853&lt;=30,"1-30 Days",IF(J853&lt;=60,"31-60 Days",IF(J853&lt;=90,"61-90 Days","90+ Days"))))</f>
        <v/>
      </c>
      <c r="M853" s="8">
        <f>IF(Raw_Data!K853="Yes",Raw_Data!F853*Raw_Data!L853,0)</f>
        <v/>
      </c>
      <c r="N853" s="2">
        <f>IF(H853&lt;&gt;"Paid","Outstanding",IF(J853=0,"On Time","Late"))</f>
        <v/>
      </c>
    </row>
    <row r="854">
      <c r="A854" s="2">
        <f>Raw_Data!A854</f>
        <v/>
      </c>
      <c r="B854" s="7">
        <f>Raw_Data!B854</f>
        <v/>
      </c>
      <c r="C854" s="2">
        <f>Raw_Data!C854</f>
        <v/>
      </c>
      <c r="D854" s="2">
        <f>Raw_Data!D854</f>
        <v/>
      </c>
      <c r="E854" s="8">
        <f>Raw_Data!F854</f>
        <v/>
      </c>
      <c r="F854" s="7">
        <f>Raw_Data!H854</f>
        <v/>
      </c>
      <c r="G854" s="7">
        <f>Raw_Data!I854</f>
        <v/>
      </c>
      <c r="H854" s="2">
        <f>Raw_Data!J854</f>
        <v/>
      </c>
      <c r="I854" s="2">
        <f>IF(G854="",0,G854-B854)</f>
        <v/>
      </c>
      <c r="J854" s="2">
        <f>IF(H854="Paid",MAX(0,G854-F854),MAX(0,DATE(2026,12,31)-F854))</f>
        <v/>
      </c>
      <c r="K854" s="8">
        <f>IF(H854="Paid",0,E854)</f>
        <v/>
      </c>
      <c r="L854" s="2">
        <f>IF(J854=0,"Current",IF(J854&lt;=30,"1-30 Days",IF(J854&lt;=60,"31-60 Days",IF(J854&lt;=90,"61-90 Days","90+ Days"))))</f>
        <v/>
      </c>
      <c r="M854" s="8">
        <f>IF(Raw_Data!K854="Yes",Raw_Data!F854*Raw_Data!L854,0)</f>
        <v/>
      </c>
      <c r="N854" s="2">
        <f>IF(H854&lt;&gt;"Paid","Outstanding",IF(J854=0,"On Time","Late"))</f>
        <v/>
      </c>
    </row>
    <row r="855">
      <c r="A855" s="2">
        <f>Raw_Data!A855</f>
        <v/>
      </c>
      <c r="B855" s="7">
        <f>Raw_Data!B855</f>
        <v/>
      </c>
      <c r="C855" s="2">
        <f>Raw_Data!C855</f>
        <v/>
      </c>
      <c r="D855" s="2">
        <f>Raw_Data!D855</f>
        <v/>
      </c>
      <c r="E855" s="8">
        <f>Raw_Data!F855</f>
        <v/>
      </c>
      <c r="F855" s="7">
        <f>Raw_Data!H855</f>
        <v/>
      </c>
      <c r="G855" s="7">
        <f>Raw_Data!I855</f>
        <v/>
      </c>
      <c r="H855" s="2">
        <f>Raw_Data!J855</f>
        <v/>
      </c>
      <c r="I855" s="2">
        <f>IF(G855="",0,G855-B855)</f>
        <v/>
      </c>
      <c r="J855" s="2">
        <f>IF(H855="Paid",MAX(0,G855-F855),MAX(0,DATE(2026,12,31)-F855))</f>
        <v/>
      </c>
      <c r="K855" s="8">
        <f>IF(H855="Paid",0,E855)</f>
        <v/>
      </c>
      <c r="L855" s="2">
        <f>IF(J855=0,"Current",IF(J855&lt;=30,"1-30 Days",IF(J855&lt;=60,"31-60 Days",IF(J855&lt;=90,"61-90 Days","90+ Days"))))</f>
        <v/>
      </c>
      <c r="M855" s="8">
        <f>IF(Raw_Data!K855="Yes",Raw_Data!F855*Raw_Data!L855,0)</f>
        <v/>
      </c>
      <c r="N855" s="2">
        <f>IF(H855&lt;&gt;"Paid","Outstanding",IF(J855=0,"On Time","Late"))</f>
        <v/>
      </c>
    </row>
    <row r="856">
      <c r="A856" s="2">
        <f>Raw_Data!A856</f>
        <v/>
      </c>
      <c r="B856" s="7">
        <f>Raw_Data!B856</f>
        <v/>
      </c>
      <c r="C856" s="2">
        <f>Raw_Data!C856</f>
        <v/>
      </c>
      <c r="D856" s="2">
        <f>Raw_Data!D856</f>
        <v/>
      </c>
      <c r="E856" s="8">
        <f>Raw_Data!F856</f>
        <v/>
      </c>
      <c r="F856" s="7">
        <f>Raw_Data!H856</f>
        <v/>
      </c>
      <c r="G856" s="7">
        <f>Raw_Data!I856</f>
        <v/>
      </c>
      <c r="H856" s="2">
        <f>Raw_Data!J856</f>
        <v/>
      </c>
      <c r="I856" s="2">
        <f>IF(G856="",0,G856-B856)</f>
        <v/>
      </c>
      <c r="J856" s="2">
        <f>IF(H856="Paid",MAX(0,G856-F856),MAX(0,DATE(2026,12,31)-F856))</f>
        <v/>
      </c>
      <c r="K856" s="8">
        <f>IF(H856="Paid",0,E856)</f>
        <v/>
      </c>
      <c r="L856" s="2">
        <f>IF(J856=0,"Current",IF(J856&lt;=30,"1-30 Days",IF(J856&lt;=60,"31-60 Days",IF(J856&lt;=90,"61-90 Days","90+ Days"))))</f>
        <v/>
      </c>
      <c r="M856" s="8">
        <f>IF(Raw_Data!K856="Yes",Raw_Data!F856*Raw_Data!L856,0)</f>
        <v/>
      </c>
      <c r="N856" s="2">
        <f>IF(H856&lt;&gt;"Paid","Outstanding",IF(J856=0,"On Time","Late"))</f>
        <v/>
      </c>
    </row>
    <row r="857">
      <c r="A857" s="2">
        <f>Raw_Data!A857</f>
        <v/>
      </c>
      <c r="B857" s="7">
        <f>Raw_Data!B857</f>
        <v/>
      </c>
      <c r="C857" s="2">
        <f>Raw_Data!C857</f>
        <v/>
      </c>
      <c r="D857" s="2">
        <f>Raw_Data!D857</f>
        <v/>
      </c>
      <c r="E857" s="8">
        <f>Raw_Data!F857</f>
        <v/>
      </c>
      <c r="F857" s="7">
        <f>Raw_Data!H857</f>
        <v/>
      </c>
      <c r="G857" s="7">
        <f>Raw_Data!I857</f>
        <v/>
      </c>
      <c r="H857" s="2">
        <f>Raw_Data!J857</f>
        <v/>
      </c>
      <c r="I857" s="2">
        <f>IF(G857="",0,G857-B857)</f>
        <v/>
      </c>
      <c r="J857" s="2">
        <f>IF(H857="Paid",MAX(0,G857-F857),MAX(0,DATE(2026,12,31)-F857))</f>
        <v/>
      </c>
      <c r="K857" s="8">
        <f>IF(H857="Paid",0,E857)</f>
        <v/>
      </c>
      <c r="L857" s="2">
        <f>IF(J857=0,"Current",IF(J857&lt;=30,"1-30 Days",IF(J857&lt;=60,"31-60 Days",IF(J857&lt;=90,"61-90 Days","90+ Days"))))</f>
        <v/>
      </c>
      <c r="M857" s="8">
        <f>IF(Raw_Data!K857="Yes",Raw_Data!F857*Raw_Data!L857,0)</f>
        <v/>
      </c>
      <c r="N857" s="2">
        <f>IF(H857&lt;&gt;"Paid","Outstanding",IF(J857=0,"On Time","Late"))</f>
        <v/>
      </c>
    </row>
    <row r="858">
      <c r="A858" s="2">
        <f>Raw_Data!A858</f>
        <v/>
      </c>
      <c r="B858" s="7">
        <f>Raw_Data!B858</f>
        <v/>
      </c>
      <c r="C858" s="2">
        <f>Raw_Data!C858</f>
        <v/>
      </c>
      <c r="D858" s="2">
        <f>Raw_Data!D858</f>
        <v/>
      </c>
      <c r="E858" s="8">
        <f>Raw_Data!F858</f>
        <v/>
      </c>
      <c r="F858" s="7">
        <f>Raw_Data!H858</f>
        <v/>
      </c>
      <c r="G858" s="7">
        <f>Raw_Data!I858</f>
        <v/>
      </c>
      <c r="H858" s="2">
        <f>Raw_Data!J858</f>
        <v/>
      </c>
      <c r="I858" s="2">
        <f>IF(G858="",0,G858-B858)</f>
        <v/>
      </c>
      <c r="J858" s="2">
        <f>IF(H858="Paid",MAX(0,G858-F858),MAX(0,DATE(2026,12,31)-F858))</f>
        <v/>
      </c>
      <c r="K858" s="8">
        <f>IF(H858="Paid",0,E858)</f>
        <v/>
      </c>
      <c r="L858" s="2">
        <f>IF(J858=0,"Current",IF(J858&lt;=30,"1-30 Days",IF(J858&lt;=60,"31-60 Days",IF(J858&lt;=90,"61-90 Days","90+ Days"))))</f>
        <v/>
      </c>
      <c r="M858" s="8">
        <f>IF(Raw_Data!K858="Yes",Raw_Data!F858*Raw_Data!L858,0)</f>
        <v/>
      </c>
      <c r="N858" s="2">
        <f>IF(H858&lt;&gt;"Paid","Outstanding",IF(J858=0,"On Time","Late"))</f>
        <v/>
      </c>
    </row>
    <row r="859">
      <c r="A859" s="2">
        <f>Raw_Data!A859</f>
        <v/>
      </c>
      <c r="B859" s="7">
        <f>Raw_Data!B859</f>
        <v/>
      </c>
      <c r="C859" s="2">
        <f>Raw_Data!C859</f>
        <v/>
      </c>
      <c r="D859" s="2">
        <f>Raw_Data!D859</f>
        <v/>
      </c>
      <c r="E859" s="8">
        <f>Raw_Data!F859</f>
        <v/>
      </c>
      <c r="F859" s="7">
        <f>Raw_Data!H859</f>
        <v/>
      </c>
      <c r="G859" s="7">
        <f>Raw_Data!I859</f>
        <v/>
      </c>
      <c r="H859" s="2">
        <f>Raw_Data!J859</f>
        <v/>
      </c>
      <c r="I859" s="2">
        <f>IF(G859="",0,G859-B859)</f>
        <v/>
      </c>
      <c r="J859" s="2">
        <f>IF(H859="Paid",MAX(0,G859-F859),MAX(0,DATE(2026,12,31)-F859))</f>
        <v/>
      </c>
      <c r="K859" s="8">
        <f>IF(H859="Paid",0,E859)</f>
        <v/>
      </c>
      <c r="L859" s="2">
        <f>IF(J859=0,"Current",IF(J859&lt;=30,"1-30 Days",IF(J859&lt;=60,"31-60 Days",IF(J859&lt;=90,"61-90 Days","90+ Days"))))</f>
        <v/>
      </c>
      <c r="M859" s="8">
        <f>IF(Raw_Data!K859="Yes",Raw_Data!F859*Raw_Data!L859,0)</f>
        <v/>
      </c>
      <c r="N859" s="2">
        <f>IF(H859&lt;&gt;"Paid","Outstanding",IF(J859=0,"On Time","Late"))</f>
        <v/>
      </c>
    </row>
    <row r="860">
      <c r="A860" s="2">
        <f>Raw_Data!A860</f>
        <v/>
      </c>
      <c r="B860" s="7">
        <f>Raw_Data!B860</f>
        <v/>
      </c>
      <c r="C860" s="2">
        <f>Raw_Data!C860</f>
        <v/>
      </c>
      <c r="D860" s="2">
        <f>Raw_Data!D860</f>
        <v/>
      </c>
      <c r="E860" s="8">
        <f>Raw_Data!F860</f>
        <v/>
      </c>
      <c r="F860" s="7">
        <f>Raw_Data!H860</f>
        <v/>
      </c>
      <c r="G860" s="7">
        <f>Raw_Data!I860</f>
        <v/>
      </c>
      <c r="H860" s="2">
        <f>Raw_Data!J860</f>
        <v/>
      </c>
      <c r="I860" s="2">
        <f>IF(G860="",0,G860-B860)</f>
        <v/>
      </c>
      <c r="J860" s="2">
        <f>IF(H860="Paid",MAX(0,G860-F860),MAX(0,DATE(2026,12,31)-F860))</f>
        <v/>
      </c>
      <c r="K860" s="8">
        <f>IF(H860="Paid",0,E860)</f>
        <v/>
      </c>
      <c r="L860" s="2">
        <f>IF(J860=0,"Current",IF(J860&lt;=30,"1-30 Days",IF(J860&lt;=60,"31-60 Days",IF(J860&lt;=90,"61-90 Days","90+ Days"))))</f>
        <v/>
      </c>
      <c r="M860" s="8">
        <f>IF(Raw_Data!K860="Yes",Raw_Data!F860*Raw_Data!L860,0)</f>
        <v/>
      </c>
      <c r="N860" s="2">
        <f>IF(H860&lt;&gt;"Paid","Outstanding",IF(J860=0,"On Time","Late"))</f>
        <v/>
      </c>
    </row>
    <row r="861">
      <c r="A861" s="2">
        <f>Raw_Data!A861</f>
        <v/>
      </c>
      <c r="B861" s="7">
        <f>Raw_Data!B861</f>
        <v/>
      </c>
      <c r="C861" s="2">
        <f>Raw_Data!C861</f>
        <v/>
      </c>
      <c r="D861" s="2">
        <f>Raw_Data!D861</f>
        <v/>
      </c>
      <c r="E861" s="8">
        <f>Raw_Data!F861</f>
        <v/>
      </c>
      <c r="F861" s="7">
        <f>Raw_Data!H861</f>
        <v/>
      </c>
      <c r="G861" s="7">
        <f>Raw_Data!I861</f>
        <v/>
      </c>
      <c r="H861" s="2">
        <f>Raw_Data!J861</f>
        <v/>
      </c>
      <c r="I861" s="2">
        <f>IF(G861="",0,G861-B861)</f>
        <v/>
      </c>
      <c r="J861" s="2">
        <f>IF(H861="Paid",MAX(0,G861-F861),MAX(0,DATE(2026,12,31)-F861))</f>
        <v/>
      </c>
      <c r="K861" s="8">
        <f>IF(H861="Paid",0,E861)</f>
        <v/>
      </c>
      <c r="L861" s="2">
        <f>IF(J861=0,"Current",IF(J861&lt;=30,"1-30 Days",IF(J861&lt;=60,"31-60 Days",IF(J861&lt;=90,"61-90 Days","90+ Days"))))</f>
        <v/>
      </c>
      <c r="M861" s="8">
        <f>IF(Raw_Data!K861="Yes",Raw_Data!F861*Raw_Data!L861,0)</f>
        <v/>
      </c>
      <c r="N861" s="2">
        <f>IF(H861&lt;&gt;"Paid","Outstanding",IF(J861=0,"On Time","Late"))</f>
        <v/>
      </c>
    </row>
    <row r="862">
      <c r="A862" s="2">
        <f>Raw_Data!A862</f>
        <v/>
      </c>
      <c r="B862" s="7">
        <f>Raw_Data!B862</f>
        <v/>
      </c>
      <c r="C862" s="2">
        <f>Raw_Data!C862</f>
        <v/>
      </c>
      <c r="D862" s="2">
        <f>Raw_Data!D862</f>
        <v/>
      </c>
      <c r="E862" s="8">
        <f>Raw_Data!F862</f>
        <v/>
      </c>
      <c r="F862" s="7">
        <f>Raw_Data!H862</f>
        <v/>
      </c>
      <c r="G862" s="7">
        <f>Raw_Data!I862</f>
        <v/>
      </c>
      <c r="H862" s="2">
        <f>Raw_Data!J862</f>
        <v/>
      </c>
      <c r="I862" s="2">
        <f>IF(G862="",0,G862-B862)</f>
        <v/>
      </c>
      <c r="J862" s="2">
        <f>IF(H862="Paid",MAX(0,G862-F862),MAX(0,DATE(2026,12,31)-F862))</f>
        <v/>
      </c>
      <c r="K862" s="8">
        <f>IF(H862="Paid",0,E862)</f>
        <v/>
      </c>
      <c r="L862" s="2">
        <f>IF(J862=0,"Current",IF(J862&lt;=30,"1-30 Days",IF(J862&lt;=60,"31-60 Days",IF(J862&lt;=90,"61-90 Days","90+ Days"))))</f>
        <v/>
      </c>
      <c r="M862" s="8">
        <f>IF(Raw_Data!K862="Yes",Raw_Data!F862*Raw_Data!L862,0)</f>
        <v/>
      </c>
      <c r="N862" s="2">
        <f>IF(H862&lt;&gt;"Paid","Outstanding",IF(J862=0,"On Time","Late"))</f>
        <v/>
      </c>
    </row>
    <row r="863">
      <c r="A863" s="2">
        <f>Raw_Data!A863</f>
        <v/>
      </c>
      <c r="B863" s="7">
        <f>Raw_Data!B863</f>
        <v/>
      </c>
      <c r="C863" s="2">
        <f>Raw_Data!C863</f>
        <v/>
      </c>
      <c r="D863" s="2">
        <f>Raw_Data!D863</f>
        <v/>
      </c>
      <c r="E863" s="8">
        <f>Raw_Data!F863</f>
        <v/>
      </c>
      <c r="F863" s="7">
        <f>Raw_Data!H863</f>
        <v/>
      </c>
      <c r="G863" s="7">
        <f>Raw_Data!I863</f>
        <v/>
      </c>
      <c r="H863" s="2">
        <f>Raw_Data!J863</f>
        <v/>
      </c>
      <c r="I863" s="2">
        <f>IF(G863="",0,G863-B863)</f>
        <v/>
      </c>
      <c r="J863" s="2">
        <f>IF(H863="Paid",MAX(0,G863-F863),MAX(0,DATE(2026,12,31)-F863))</f>
        <v/>
      </c>
      <c r="K863" s="8">
        <f>IF(H863="Paid",0,E863)</f>
        <v/>
      </c>
      <c r="L863" s="2">
        <f>IF(J863=0,"Current",IF(J863&lt;=30,"1-30 Days",IF(J863&lt;=60,"31-60 Days",IF(J863&lt;=90,"61-90 Days","90+ Days"))))</f>
        <v/>
      </c>
      <c r="M863" s="8">
        <f>IF(Raw_Data!K863="Yes",Raw_Data!F863*Raw_Data!L863,0)</f>
        <v/>
      </c>
      <c r="N863" s="2">
        <f>IF(H863&lt;&gt;"Paid","Outstanding",IF(J863=0,"On Time","Late"))</f>
        <v/>
      </c>
    </row>
    <row r="864">
      <c r="A864" s="2">
        <f>Raw_Data!A864</f>
        <v/>
      </c>
      <c r="B864" s="7">
        <f>Raw_Data!B864</f>
        <v/>
      </c>
      <c r="C864" s="2">
        <f>Raw_Data!C864</f>
        <v/>
      </c>
      <c r="D864" s="2">
        <f>Raw_Data!D864</f>
        <v/>
      </c>
      <c r="E864" s="8">
        <f>Raw_Data!F864</f>
        <v/>
      </c>
      <c r="F864" s="7">
        <f>Raw_Data!H864</f>
        <v/>
      </c>
      <c r="G864" s="7">
        <f>Raw_Data!I864</f>
        <v/>
      </c>
      <c r="H864" s="2">
        <f>Raw_Data!J864</f>
        <v/>
      </c>
      <c r="I864" s="2">
        <f>IF(G864="",0,G864-B864)</f>
        <v/>
      </c>
      <c r="J864" s="2">
        <f>IF(H864="Paid",MAX(0,G864-F864),MAX(0,DATE(2026,12,31)-F864))</f>
        <v/>
      </c>
      <c r="K864" s="8">
        <f>IF(H864="Paid",0,E864)</f>
        <v/>
      </c>
      <c r="L864" s="2">
        <f>IF(J864=0,"Current",IF(J864&lt;=30,"1-30 Days",IF(J864&lt;=60,"31-60 Days",IF(J864&lt;=90,"61-90 Days","90+ Days"))))</f>
        <v/>
      </c>
      <c r="M864" s="8">
        <f>IF(Raw_Data!K864="Yes",Raw_Data!F864*Raw_Data!L864,0)</f>
        <v/>
      </c>
      <c r="N864" s="2">
        <f>IF(H864&lt;&gt;"Paid","Outstanding",IF(J864=0,"On Time","Late"))</f>
        <v/>
      </c>
    </row>
    <row r="865">
      <c r="A865" s="2">
        <f>Raw_Data!A865</f>
        <v/>
      </c>
      <c r="B865" s="7">
        <f>Raw_Data!B865</f>
        <v/>
      </c>
      <c r="C865" s="2">
        <f>Raw_Data!C865</f>
        <v/>
      </c>
      <c r="D865" s="2">
        <f>Raw_Data!D865</f>
        <v/>
      </c>
      <c r="E865" s="8">
        <f>Raw_Data!F865</f>
        <v/>
      </c>
      <c r="F865" s="7">
        <f>Raw_Data!H865</f>
        <v/>
      </c>
      <c r="G865" s="7">
        <f>Raw_Data!I865</f>
        <v/>
      </c>
      <c r="H865" s="2">
        <f>Raw_Data!J865</f>
        <v/>
      </c>
      <c r="I865" s="2">
        <f>IF(G865="",0,G865-B865)</f>
        <v/>
      </c>
      <c r="J865" s="2">
        <f>IF(H865="Paid",MAX(0,G865-F865),MAX(0,DATE(2026,12,31)-F865))</f>
        <v/>
      </c>
      <c r="K865" s="8">
        <f>IF(H865="Paid",0,E865)</f>
        <v/>
      </c>
      <c r="L865" s="2">
        <f>IF(J865=0,"Current",IF(J865&lt;=30,"1-30 Days",IF(J865&lt;=60,"31-60 Days",IF(J865&lt;=90,"61-90 Days","90+ Days"))))</f>
        <v/>
      </c>
      <c r="M865" s="8">
        <f>IF(Raw_Data!K865="Yes",Raw_Data!F865*Raw_Data!L865,0)</f>
        <v/>
      </c>
      <c r="N865" s="2">
        <f>IF(H865&lt;&gt;"Paid","Outstanding",IF(J865=0,"On Time","Late"))</f>
        <v/>
      </c>
    </row>
    <row r="866">
      <c r="A866" s="2">
        <f>Raw_Data!A866</f>
        <v/>
      </c>
      <c r="B866" s="7">
        <f>Raw_Data!B866</f>
        <v/>
      </c>
      <c r="C866" s="2">
        <f>Raw_Data!C866</f>
        <v/>
      </c>
      <c r="D866" s="2">
        <f>Raw_Data!D866</f>
        <v/>
      </c>
      <c r="E866" s="8">
        <f>Raw_Data!F866</f>
        <v/>
      </c>
      <c r="F866" s="7">
        <f>Raw_Data!H866</f>
        <v/>
      </c>
      <c r="G866" s="7">
        <f>Raw_Data!I866</f>
        <v/>
      </c>
      <c r="H866" s="2">
        <f>Raw_Data!J866</f>
        <v/>
      </c>
      <c r="I866" s="2">
        <f>IF(G866="",0,G866-B866)</f>
        <v/>
      </c>
      <c r="J866" s="2">
        <f>IF(H866="Paid",MAX(0,G866-F866),MAX(0,DATE(2026,12,31)-F866))</f>
        <v/>
      </c>
      <c r="K866" s="8">
        <f>IF(H866="Paid",0,E866)</f>
        <v/>
      </c>
      <c r="L866" s="2">
        <f>IF(J866=0,"Current",IF(J866&lt;=30,"1-30 Days",IF(J866&lt;=60,"31-60 Days",IF(J866&lt;=90,"61-90 Days","90+ Days"))))</f>
        <v/>
      </c>
      <c r="M866" s="8">
        <f>IF(Raw_Data!K866="Yes",Raw_Data!F866*Raw_Data!L866,0)</f>
        <v/>
      </c>
      <c r="N866" s="2">
        <f>IF(H866&lt;&gt;"Paid","Outstanding",IF(J866=0,"On Time","Late"))</f>
        <v/>
      </c>
    </row>
    <row r="867">
      <c r="A867" s="2">
        <f>Raw_Data!A867</f>
        <v/>
      </c>
      <c r="B867" s="7">
        <f>Raw_Data!B867</f>
        <v/>
      </c>
      <c r="C867" s="2">
        <f>Raw_Data!C867</f>
        <v/>
      </c>
      <c r="D867" s="2">
        <f>Raw_Data!D867</f>
        <v/>
      </c>
      <c r="E867" s="8">
        <f>Raw_Data!F867</f>
        <v/>
      </c>
      <c r="F867" s="7">
        <f>Raw_Data!H867</f>
        <v/>
      </c>
      <c r="G867" s="7">
        <f>Raw_Data!I867</f>
        <v/>
      </c>
      <c r="H867" s="2">
        <f>Raw_Data!J867</f>
        <v/>
      </c>
      <c r="I867" s="2">
        <f>IF(G867="",0,G867-B867)</f>
        <v/>
      </c>
      <c r="J867" s="2">
        <f>IF(H867="Paid",MAX(0,G867-F867),MAX(0,DATE(2026,12,31)-F867))</f>
        <v/>
      </c>
      <c r="K867" s="8">
        <f>IF(H867="Paid",0,E867)</f>
        <v/>
      </c>
      <c r="L867" s="2">
        <f>IF(J867=0,"Current",IF(J867&lt;=30,"1-30 Days",IF(J867&lt;=60,"31-60 Days",IF(J867&lt;=90,"61-90 Days","90+ Days"))))</f>
        <v/>
      </c>
      <c r="M867" s="8">
        <f>IF(Raw_Data!K867="Yes",Raw_Data!F867*Raw_Data!L867,0)</f>
        <v/>
      </c>
      <c r="N867" s="2">
        <f>IF(H867&lt;&gt;"Paid","Outstanding",IF(J867=0,"On Time","Late"))</f>
        <v/>
      </c>
    </row>
    <row r="868">
      <c r="A868" s="2">
        <f>Raw_Data!A868</f>
        <v/>
      </c>
      <c r="B868" s="7">
        <f>Raw_Data!B868</f>
        <v/>
      </c>
      <c r="C868" s="2">
        <f>Raw_Data!C868</f>
        <v/>
      </c>
      <c r="D868" s="2">
        <f>Raw_Data!D868</f>
        <v/>
      </c>
      <c r="E868" s="8">
        <f>Raw_Data!F868</f>
        <v/>
      </c>
      <c r="F868" s="7">
        <f>Raw_Data!H868</f>
        <v/>
      </c>
      <c r="G868" s="7">
        <f>Raw_Data!I868</f>
        <v/>
      </c>
      <c r="H868" s="2">
        <f>Raw_Data!J868</f>
        <v/>
      </c>
      <c r="I868" s="2">
        <f>IF(G868="",0,G868-B868)</f>
        <v/>
      </c>
      <c r="J868" s="2">
        <f>IF(H868="Paid",MAX(0,G868-F868),MAX(0,DATE(2026,12,31)-F868))</f>
        <v/>
      </c>
      <c r="K868" s="8">
        <f>IF(H868="Paid",0,E868)</f>
        <v/>
      </c>
      <c r="L868" s="2">
        <f>IF(J868=0,"Current",IF(J868&lt;=30,"1-30 Days",IF(J868&lt;=60,"31-60 Days",IF(J868&lt;=90,"61-90 Days","90+ Days"))))</f>
        <v/>
      </c>
      <c r="M868" s="8">
        <f>IF(Raw_Data!K868="Yes",Raw_Data!F868*Raw_Data!L868,0)</f>
        <v/>
      </c>
      <c r="N868" s="2">
        <f>IF(H868&lt;&gt;"Paid","Outstanding",IF(J868=0,"On Time","Late"))</f>
        <v/>
      </c>
    </row>
    <row r="869">
      <c r="A869" s="2">
        <f>Raw_Data!A869</f>
        <v/>
      </c>
      <c r="B869" s="7">
        <f>Raw_Data!B869</f>
        <v/>
      </c>
      <c r="C869" s="2">
        <f>Raw_Data!C869</f>
        <v/>
      </c>
      <c r="D869" s="2">
        <f>Raw_Data!D869</f>
        <v/>
      </c>
      <c r="E869" s="8">
        <f>Raw_Data!F869</f>
        <v/>
      </c>
      <c r="F869" s="7">
        <f>Raw_Data!H869</f>
        <v/>
      </c>
      <c r="G869" s="7">
        <f>Raw_Data!I869</f>
        <v/>
      </c>
      <c r="H869" s="2">
        <f>Raw_Data!J869</f>
        <v/>
      </c>
      <c r="I869" s="2">
        <f>IF(G869="",0,G869-B869)</f>
        <v/>
      </c>
      <c r="J869" s="2">
        <f>IF(H869="Paid",MAX(0,G869-F869),MAX(0,DATE(2026,12,31)-F869))</f>
        <v/>
      </c>
      <c r="K869" s="8">
        <f>IF(H869="Paid",0,E869)</f>
        <v/>
      </c>
      <c r="L869" s="2">
        <f>IF(J869=0,"Current",IF(J869&lt;=30,"1-30 Days",IF(J869&lt;=60,"31-60 Days",IF(J869&lt;=90,"61-90 Days","90+ Days"))))</f>
        <v/>
      </c>
      <c r="M869" s="8">
        <f>IF(Raw_Data!K869="Yes",Raw_Data!F869*Raw_Data!L869,0)</f>
        <v/>
      </c>
      <c r="N869" s="2">
        <f>IF(H869&lt;&gt;"Paid","Outstanding",IF(J869=0,"On Time","Late"))</f>
        <v/>
      </c>
    </row>
    <row r="870">
      <c r="A870" s="2">
        <f>Raw_Data!A870</f>
        <v/>
      </c>
      <c r="B870" s="7">
        <f>Raw_Data!B870</f>
        <v/>
      </c>
      <c r="C870" s="2">
        <f>Raw_Data!C870</f>
        <v/>
      </c>
      <c r="D870" s="2">
        <f>Raw_Data!D870</f>
        <v/>
      </c>
      <c r="E870" s="8">
        <f>Raw_Data!F870</f>
        <v/>
      </c>
      <c r="F870" s="7">
        <f>Raw_Data!H870</f>
        <v/>
      </c>
      <c r="G870" s="7">
        <f>Raw_Data!I870</f>
        <v/>
      </c>
      <c r="H870" s="2">
        <f>Raw_Data!J870</f>
        <v/>
      </c>
      <c r="I870" s="2">
        <f>IF(G870="",0,G870-B870)</f>
        <v/>
      </c>
      <c r="J870" s="2">
        <f>IF(H870="Paid",MAX(0,G870-F870),MAX(0,DATE(2026,12,31)-F870))</f>
        <v/>
      </c>
      <c r="K870" s="8">
        <f>IF(H870="Paid",0,E870)</f>
        <v/>
      </c>
      <c r="L870" s="2">
        <f>IF(J870=0,"Current",IF(J870&lt;=30,"1-30 Days",IF(J870&lt;=60,"31-60 Days",IF(J870&lt;=90,"61-90 Days","90+ Days"))))</f>
        <v/>
      </c>
      <c r="M870" s="8">
        <f>IF(Raw_Data!K870="Yes",Raw_Data!F870*Raw_Data!L870,0)</f>
        <v/>
      </c>
      <c r="N870" s="2">
        <f>IF(H870&lt;&gt;"Paid","Outstanding",IF(J870=0,"On Time","Late"))</f>
        <v/>
      </c>
    </row>
    <row r="871">
      <c r="A871" s="2">
        <f>Raw_Data!A871</f>
        <v/>
      </c>
      <c r="B871" s="7">
        <f>Raw_Data!B871</f>
        <v/>
      </c>
      <c r="C871" s="2">
        <f>Raw_Data!C871</f>
        <v/>
      </c>
      <c r="D871" s="2">
        <f>Raw_Data!D871</f>
        <v/>
      </c>
      <c r="E871" s="8">
        <f>Raw_Data!F871</f>
        <v/>
      </c>
      <c r="F871" s="7">
        <f>Raw_Data!H871</f>
        <v/>
      </c>
      <c r="G871" s="7">
        <f>Raw_Data!I871</f>
        <v/>
      </c>
      <c r="H871" s="2">
        <f>Raw_Data!J871</f>
        <v/>
      </c>
      <c r="I871" s="2">
        <f>IF(G871="",0,G871-B871)</f>
        <v/>
      </c>
      <c r="J871" s="2">
        <f>IF(H871="Paid",MAX(0,G871-F871),MAX(0,DATE(2026,12,31)-F871))</f>
        <v/>
      </c>
      <c r="K871" s="8">
        <f>IF(H871="Paid",0,E871)</f>
        <v/>
      </c>
      <c r="L871" s="2">
        <f>IF(J871=0,"Current",IF(J871&lt;=30,"1-30 Days",IF(J871&lt;=60,"31-60 Days",IF(J871&lt;=90,"61-90 Days","90+ Days"))))</f>
        <v/>
      </c>
      <c r="M871" s="8">
        <f>IF(Raw_Data!K871="Yes",Raw_Data!F871*Raw_Data!L871,0)</f>
        <v/>
      </c>
      <c r="N871" s="2">
        <f>IF(H871&lt;&gt;"Paid","Outstanding",IF(J871=0,"On Time","Late"))</f>
        <v/>
      </c>
    </row>
    <row r="872">
      <c r="A872" s="2">
        <f>Raw_Data!A872</f>
        <v/>
      </c>
      <c r="B872" s="7">
        <f>Raw_Data!B872</f>
        <v/>
      </c>
      <c r="C872" s="2">
        <f>Raw_Data!C872</f>
        <v/>
      </c>
      <c r="D872" s="2">
        <f>Raw_Data!D872</f>
        <v/>
      </c>
      <c r="E872" s="8">
        <f>Raw_Data!F872</f>
        <v/>
      </c>
      <c r="F872" s="7">
        <f>Raw_Data!H872</f>
        <v/>
      </c>
      <c r="G872" s="7">
        <f>Raw_Data!I872</f>
        <v/>
      </c>
      <c r="H872" s="2">
        <f>Raw_Data!J872</f>
        <v/>
      </c>
      <c r="I872" s="2">
        <f>IF(G872="",0,G872-B872)</f>
        <v/>
      </c>
      <c r="J872" s="2">
        <f>IF(H872="Paid",MAX(0,G872-F872),MAX(0,DATE(2026,12,31)-F872))</f>
        <v/>
      </c>
      <c r="K872" s="8">
        <f>IF(H872="Paid",0,E872)</f>
        <v/>
      </c>
      <c r="L872" s="2">
        <f>IF(J872=0,"Current",IF(J872&lt;=30,"1-30 Days",IF(J872&lt;=60,"31-60 Days",IF(J872&lt;=90,"61-90 Days","90+ Days"))))</f>
        <v/>
      </c>
      <c r="M872" s="8">
        <f>IF(Raw_Data!K872="Yes",Raw_Data!F872*Raw_Data!L872,0)</f>
        <v/>
      </c>
      <c r="N872" s="2">
        <f>IF(H872&lt;&gt;"Paid","Outstanding",IF(J872=0,"On Time","Late"))</f>
        <v/>
      </c>
    </row>
    <row r="873">
      <c r="A873" s="2">
        <f>Raw_Data!A873</f>
        <v/>
      </c>
      <c r="B873" s="7">
        <f>Raw_Data!B873</f>
        <v/>
      </c>
      <c r="C873" s="2">
        <f>Raw_Data!C873</f>
        <v/>
      </c>
      <c r="D873" s="2">
        <f>Raw_Data!D873</f>
        <v/>
      </c>
      <c r="E873" s="8">
        <f>Raw_Data!F873</f>
        <v/>
      </c>
      <c r="F873" s="7">
        <f>Raw_Data!H873</f>
        <v/>
      </c>
      <c r="G873" s="7">
        <f>Raw_Data!I873</f>
        <v/>
      </c>
      <c r="H873" s="2">
        <f>Raw_Data!J873</f>
        <v/>
      </c>
      <c r="I873" s="2">
        <f>IF(G873="",0,G873-B873)</f>
        <v/>
      </c>
      <c r="J873" s="2">
        <f>IF(H873="Paid",MAX(0,G873-F873),MAX(0,DATE(2026,12,31)-F873))</f>
        <v/>
      </c>
      <c r="K873" s="8">
        <f>IF(H873="Paid",0,E873)</f>
        <v/>
      </c>
      <c r="L873" s="2">
        <f>IF(J873=0,"Current",IF(J873&lt;=30,"1-30 Days",IF(J873&lt;=60,"31-60 Days",IF(J873&lt;=90,"61-90 Days","90+ Days"))))</f>
        <v/>
      </c>
      <c r="M873" s="8">
        <f>IF(Raw_Data!K873="Yes",Raw_Data!F873*Raw_Data!L873,0)</f>
        <v/>
      </c>
      <c r="N873" s="2">
        <f>IF(H873&lt;&gt;"Paid","Outstanding",IF(J873=0,"On Time","Late"))</f>
        <v/>
      </c>
    </row>
    <row r="874">
      <c r="A874" s="2">
        <f>Raw_Data!A874</f>
        <v/>
      </c>
      <c r="B874" s="7">
        <f>Raw_Data!B874</f>
        <v/>
      </c>
      <c r="C874" s="2">
        <f>Raw_Data!C874</f>
        <v/>
      </c>
      <c r="D874" s="2">
        <f>Raw_Data!D874</f>
        <v/>
      </c>
      <c r="E874" s="8">
        <f>Raw_Data!F874</f>
        <v/>
      </c>
      <c r="F874" s="7">
        <f>Raw_Data!H874</f>
        <v/>
      </c>
      <c r="G874" s="7">
        <f>Raw_Data!I874</f>
        <v/>
      </c>
      <c r="H874" s="2">
        <f>Raw_Data!J874</f>
        <v/>
      </c>
      <c r="I874" s="2">
        <f>IF(G874="",0,G874-B874)</f>
        <v/>
      </c>
      <c r="J874" s="2">
        <f>IF(H874="Paid",MAX(0,G874-F874),MAX(0,DATE(2026,12,31)-F874))</f>
        <v/>
      </c>
      <c r="K874" s="8">
        <f>IF(H874="Paid",0,E874)</f>
        <v/>
      </c>
      <c r="L874" s="2">
        <f>IF(J874=0,"Current",IF(J874&lt;=30,"1-30 Days",IF(J874&lt;=60,"31-60 Days",IF(J874&lt;=90,"61-90 Days","90+ Days"))))</f>
        <v/>
      </c>
      <c r="M874" s="8">
        <f>IF(Raw_Data!K874="Yes",Raw_Data!F874*Raw_Data!L874,0)</f>
        <v/>
      </c>
      <c r="N874" s="2">
        <f>IF(H874&lt;&gt;"Paid","Outstanding",IF(J874=0,"On Time","Late"))</f>
        <v/>
      </c>
    </row>
    <row r="875">
      <c r="A875" s="2">
        <f>Raw_Data!A875</f>
        <v/>
      </c>
      <c r="B875" s="7">
        <f>Raw_Data!B875</f>
        <v/>
      </c>
      <c r="C875" s="2">
        <f>Raw_Data!C875</f>
        <v/>
      </c>
      <c r="D875" s="2">
        <f>Raw_Data!D875</f>
        <v/>
      </c>
      <c r="E875" s="8">
        <f>Raw_Data!F875</f>
        <v/>
      </c>
      <c r="F875" s="7">
        <f>Raw_Data!H875</f>
        <v/>
      </c>
      <c r="G875" s="7">
        <f>Raw_Data!I875</f>
        <v/>
      </c>
      <c r="H875" s="2">
        <f>Raw_Data!J875</f>
        <v/>
      </c>
      <c r="I875" s="2">
        <f>IF(G875="",0,G875-B875)</f>
        <v/>
      </c>
      <c r="J875" s="2">
        <f>IF(H875="Paid",MAX(0,G875-F875),MAX(0,DATE(2026,12,31)-F875))</f>
        <v/>
      </c>
      <c r="K875" s="8">
        <f>IF(H875="Paid",0,E875)</f>
        <v/>
      </c>
      <c r="L875" s="2">
        <f>IF(J875=0,"Current",IF(J875&lt;=30,"1-30 Days",IF(J875&lt;=60,"31-60 Days",IF(J875&lt;=90,"61-90 Days","90+ Days"))))</f>
        <v/>
      </c>
      <c r="M875" s="8">
        <f>IF(Raw_Data!K875="Yes",Raw_Data!F875*Raw_Data!L875,0)</f>
        <v/>
      </c>
      <c r="N875" s="2">
        <f>IF(H875&lt;&gt;"Paid","Outstanding",IF(J875=0,"On Time","Late"))</f>
        <v/>
      </c>
    </row>
    <row r="876">
      <c r="A876" s="2">
        <f>Raw_Data!A876</f>
        <v/>
      </c>
      <c r="B876" s="7">
        <f>Raw_Data!B876</f>
        <v/>
      </c>
      <c r="C876" s="2">
        <f>Raw_Data!C876</f>
        <v/>
      </c>
      <c r="D876" s="2">
        <f>Raw_Data!D876</f>
        <v/>
      </c>
      <c r="E876" s="8">
        <f>Raw_Data!F876</f>
        <v/>
      </c>
      <c r="F876" s="7">
        <f>Raw_Data!H876</f>
        <v/>
      </c>
      <c r="G876" s="7">
        <f>Raw_Data!I876</f>
        <v/>
      </c>
      <c r="H876" s="2">
        <f>Raw_Data!J876</f>
        <v/>
      </c>
      <c r="I876" s="2">
        <f>IF(G876="",0,G876-B876)</f>
        <v/>
      </c>
      <c r="J876" s="2">
        <f>IF(H876="Paid",MAX(0,G876-F876),MAX(0,DATE(2026,12,31)-F876))</f>
        <v/>
      </c>
      <c r="K876" s="8">
        <f>IF(H876="Paid",0,E876)</f>
        <v/>
      </c>
      <c r="L876" s="2">
        <f>IF(J876=0,"Current",IF(J876&lt;=30,"1-30 Days",IF(J876&lt;=60,"31-60 Days",IF(J876&lt;=90,"61-90 Days","90+ Days"))))</f>
        <v/>
      </c>
      <c r="M876" s="8">
        <f>IF(Raw_Data!K876="Yes",Raw_Data!F876*Raw_Data!L876,0)</f>
        <v/>
      </c>
      <c r="N876" s="2">
        <f>IF(H876&lt;&gt;"Paid","Outstanding",IF(J876=0,"On Time","Late"))</f>
        <v/>
      </c>
    </row>
    <row r="877">
      <c r="A877" s="2">
        <f>Raw_Data!A877</f>
        <v/>
      </c>
      <c r="B877" s="7">
        <f>Raw_Data!B877</f>
        <v/>
      </c>
      <c r="C877" s="2">
        <f>Raw_Data!C877</f>
        <v/>
      </c>
      <c r="D877" s="2">
        <f>Raw_Data!D877</f>
        <v/>
      </c>
      <c r="E877" s="8">
        <f>Raw_Data!F877</f>
        <v/>
      </c>
      <c r="F877" s="7">
        <f>Raw_Data!H877</f>
        <v/>
      </c>
      <c r="G877" s="7">
        <f>Raw_Data!I877</f>
        <v/>
      </c>
      <c r="H877" s="2">
        <f>Raw_Data!J877</f>
        <v/>
      </c>
      <c r="I877" s="2">
        <f>IF(G877="",0,G877-B877)</f>
        <v/>
      </c>
      <c r="J877" s="2">
        <f>IF(H877="Paid",MAX(0,G877-F877),MAX(0,DATE(2026,12,31)-F877))</f>
        <v/>
      </c>
      <c r="K877" s="8">
        <f>IF(H877="Paid",0,E877)</f>
        <v/>
      </c>
      <c r="L877" s="2">
        <f>IF(J877=0,"Current",IF(J877&lt;=30,"1-30 Days",IF(J877&lt;=60,"31-60 Days",IF(J877&lt;=90,"61-90 Days","90+ Days"))))</f>
        <v/>
      </c>
      <c r="M877" s="8">
        <f>IF(Raw_Data!K877="Yes",Raw_Data!F877*Raw_Data!L877,0)</f>
        <v/>
      </c>
      <c r="N877" s="2">
        <f>IF(H877&lt;&gt;"Paid","Outstanding",IF(J877=0,"On Time","Late"))</f>
        <v/>
      </c>
    </row>
    <row r="878">
      <c r="A878" s="2">
        <f>Raw_Data!A878</f>
        <v/>
      </c>
      <c r="B878" s="7">
        <f>Raw_Data!B878</f>
        <v/>
      </c>
      <c r="C878" s="2">
        <f>Raw_Data!C878</f>
        <v/>
      </c>
      <c r="D878" s="2">
        <f>Raw_Data!D878</f>
        <v/>
      </c>
      <c r="E878" s="8">
        <f>Raw_Data!F878</f>
        <v/>
      </c>
      <c r="F878" s="7">
        <f>Raw_Data!H878</f>
        <v/>
      </c>
      <c r="G878" s="7">
        <f>Raw_Data!I878</f>
        <v/>
      </c>
      <c r="H878" s="2">
        <f>Raw_Data!J878</f>
        <v/>
      </c>
      <c r="I878" s="2">
        <f>IF(G878="",0,G878-B878)</f>
        <v/>
      </c>
      <c r="J878" s="2">
        <f>IF(H878="Paid",MAX(0,G878-F878),MAX(0,DATE(2026,12,31)-F878))</f>
        <v/>
      </c>
      <c r="K878" s="8">
        <f>IF(H878="Paid",0,E878)</f>
        <v/>
      </c>
      <c r="L878" s="2">
        <f>IF(J878=0,"Current",IF(J878&lt;=30,"1-30 Days",IF(J878&lt;=60,"31-60 Days",IF(J878&lt;=90,"61-90 Days","90+ Days"))))</f>
        <v/>
      </c>
      <c r="M878" s="8">
        <f>IF(Raw_Data!K878="Yes",Raw_Data!F878*Raw_Data!L878,0)</f>
        <v/>
      </c>
      <c r="N878" s="2">
        <f>IF(H878&lt;&gt;"Paid","Outstanding",IF(J878=0,"On Time","Late"))</f>
        <v/>
      </c>
    </row>
    <row r="879">
      <c r="A879" s="2">
        <f>Raw_Data!A879</f>
        <v/>
      </c>
      <c r="B879" s="7">
        <f>Raw_Data!B879</f>
        <v/>
      </c>
      <c r="C879" s="2">
        <f>Raw_Data!C879</f>
        <v/>
      </c>
      <c r="D879" s="2">
        <f>Raw_Data!D879</f>
        <v/>
      </c>
      <c r="E879" s="8">
        <f>Raw_Data!F879</f>
        <v/>
      </c>
      <c r="F879" s="7">
        <f>Raw_Data!H879</f>
        <v/>
      </c>
      <c r="G879" s="7">
        <f>Raw_Data!I879</f>
        <v/>
      </c>
      <c r="H879" s="2">
        <f>Raw_Data!J879</f>
        <v/>
      </c>
      <c r="I879" s="2">
        <f>IF(G879="",0,G879-B879)</f>
        <v/>
      </c>
      <c r="J879" s="2">
        <f>IF(H879="Paid",MAX(0,G879-F879),MAX(0,DATE(2026,12,31)-F879))</f>
        <v/>
      </c>
      <c r="K879" s="8">
        <f>IF(H879="Paid",0,E879)</f>
        <v/>
      </c>
      <c r="L879" s="2">
        <f>IF(J879=0,"Current",IF(J879&lt;=30,"1-30 Days",IF(J879&lt;=60,"31-60 Days",IF(J879&lt;=90,"61-90 Days","90+ Days"))))</f>
        <v/>
      </c>
      <c r="M879" s="8">
        <f>IF(Raw_Data!K879="Yes",Raw_Data!F879*Raw_Data!L879,0)</f>
        <v/>
      </c>
      <c r="N879" s="2">
        <f>IF(H879&lt;&gt;"Paid","Outstanding",IF(J879=0,"On Time","Late"))</f>
        <v/>
      </c>
    </row>
    <row r="880">
      <c r="A880" s="2">
        <f>Raw_Data!A880</f>
        <v/>
      </c>
      <c r="B880" s="7">
        <f>Raw_Data!B880</f>
        <v/>
      </c>
      <c r="C880" s="2">
        <f>Raw_Data!C880</f>
        <v/>
      </c>
      <c r="D880" s="2">
        <f>Raw_Data!D880</f>
        <v/>
      </c>
      <c r="E880" s="8">
        <f>Raw_Data!F880</f>
        <v/>
      </c>
      <c r="F880" s="7">
        <f>Raw_Data!H880</f>
        <v/>
      </c>
      <c r="G880" s="7">
        <f>Raw_Data!I880</f>
        <v/>
      </c>
      <c r="H880" s="2">
        <f>Raw_Data!J880</f>
        <v/>
      </c>
      <c r="I880" s="2">
        <f>IF(G880="",0,G880-B880)</f>
        <v/>
      </c>
      <c r="J880" s="2">
        <f>IF(H880="Paid",MAX(0,G880-F880),MAX(0,DATE(2026,12,31)-F880))</f>
        <v/>
      </c>
      <c r="K880" s="8">
        <f>IF(H880="Paid",0,E880)</f>
        <v/>
      </c>
      <c r="L880" s="2">
        <f>IF(J880=0,"Current",IF(J880&lt;=30,"1-30 Days",IF(J880&lt;=60,"31-60 Days",IF(J880&lt;=90,"61-90 Days","90+ Days"))))</f>
        <v/>
      </c>
      <c r="M880" s="8">
        <f>IF(Raw_Data!K880="Yes",Raw_Data!F880*Raw_Data!L880,0)</f>
        <v/>
      </c>
      <c r="N880" s="2">
        <f>IF(H880&lt;&gt;"Paid","Outstanding",IF(J880=0,"On Time","Late"))</f>
        <v/>
      </c>
    </row>
    <row r="881">
      <c r="A881" s="2">
        <f>Raw_Data!A881</f>
        <v/>
      </c>
      <c r="B881" s="7">
        <f>Raw_Data!B881</f>
        <v/>
      </c>
      <c r="C881" s="2">
        <f>Raw_Data!C881</f>
        <v/>
      </c>
      <c r="D881" s="2">
        <f>Raw_Data!D881</f>
        <v/>
      </c>
      <c r="E881" s="8">
        <f>Raw_Data!F881</f>
        <v/>
      </c>
      <c r="F881" s="7">
        <f>Raw_Data!H881</f>
        <v/>
      </c>
      <c r="G881" s="7">
        <f>Raw_Data!I881</f>
        <v/>
      </c>
      <c r="H881" s="2">
        <f>Raw_Data!J881</f>
        <v/>
      </c>
      <c r="I881" s="2">
        <f>IF(G881="",0,G881-B881)</f>
        <v/>
      </c>
      <c r="J881" s="2">
        <f>IF(H881="Paid",MAX(0,G881-F881),MAX(0,DATE(2026,12,31)-F881))</f>
        <v/>
      </c>
      <c r="K881" s="8">
        <f>IF(H881="Paid",0,E881)</f>
        <v/>
      </c>
      <c r="L881" s="2">
        <f>IF(J881=0,"Current",IF(J881&lt;=30,"1-30 Days",IF(J881&lt;=60,"31-60 Days",IF(J881&lt;=90,"61-90 Days","90+ Days"))))</f>
        <v/>
      </c>
      <c r="M881" s="8">
        <f>IF(Raw_Data!K881="Yes",Raw_Data!F881*Raw_Data!L881,0)</f>
        <v/>
      </c>
      <c r="N881" s="2">
        <f>IF(H881&lt;&gt;"Paid","Outstanding",IF(J881=0,"On Time","Late"))</f>
        <v/>
      </c>
    </row>
    <row r="882">
      <c r="A882" s="2">
        <f>Raw_Data!A882</f>
        <v/>
      </c>
      <c r="B882" s="7">
        <f>Raw_Data!B882</f>
        <v/>
      </c>
      <c r="C882" s="2">
        <f>Raw_Data!C882</f>
        <v/>
      </c>
      <c r="D882" s="2">
        <f>Raw_Data!D882</f>
        <v/>
      </c>
      <c r="E882" s="8">
        <f>Raw_Data!F882</f>
        <v/>
      </c>
      <c r="F882" s="7">
        <f>Raw_Data!H882</f>
        <v/>
      </c>
      <c r="G882" s="7">
        <f>Raw_Data!I882</f>
        <v/>
      </c>
      <c r="H882" s="2">
        <f>Raw_Data!J882</f>
        <v/>
      </c>
      <c r="I882" s="2">
        <f>IF(G882="",0,G882-B882)</f>
        <v/>
      </c>
      <c r="J882" s="2">
        <f>IF(H882="Paid",MAX(0,G882-F882),MAX(0,DATE(2026,12,31)-F882))</f>
        <v/>
      </c>
      <c r="K882" s="8">
        <f>IF(H882="Paid",0,E882)</f>
        <v/>
      </c>
      <c r="L882" s="2">
        <f>IF(J882=0,"Current",IF(J882&lt;=30,"1-30 Days",IF(J882&lt;=60,"31-60 Days",IF(J882&lt;=90,"61-90 Days","90+ Days"))))</f>
        <v/>
      </c>
      <c r="M882" s="8">
        <f>IF(Raw_Data!K882="Yes",Raw_Data!F882*Raw_Data!L882,0)</f>
        <v/>
      </c>
      <c r="N882" s="2">
        <f>IF(H882&lt;&gt;"Paid","Outstanding",IF(J882=0,"On Time","Late"))</f>
        <v/>
      </c>
    </row>
    <row r="883">
      <c r="A883" s="2">
        <f>Raw_Data!A883</f>
        <v/>
      </c>
      <c r="B883" s="7">
        <f>Raw_Data!B883</f>
        <v/>
      </c>
      <c r="C883" s="2">
        <f>Raw_Data!C883</f>
        <v/>
      </c>
      <c r="D883" s="2">
        <f>Raw_Data!D883</f>
        <v/>
      </c>
      <c r="E883" s="8">
        <f>Raw_Data!F883</f>
        <v/>
      </c>
      <c r="F883" s="7">
        <f>Raw_Data!H883</f>
        <v/>
      </c>
      <c r="G883" s="7">
        <f>Raw_Data!I883</f>
        <v/>
      </c>
      <c r="H883" s="2">
        <f>Raw_Data!J883</f>
        <v/>
      </c>
      <c r="I883" s="2">
        <f>IF(G883="",0,G883-B883)</f>
        <v/>
      </c>
      <c r="J883" s="2">
        <f>IF(H883="Paid",MAX(0,G883-F883),MAX(0,DATE(2026,12,31)-F883))</f>
        <v/>
      </c>
      <c r="K883" s="8">
        <f>IF(H883="Paid",0,E883)</f>
        <v/>
      </c>
      <c r="L883" s="2">
        <f>IF(J883=0,"Current",IF(J883&lt;=30,"1-30 Days",IF(J883&lt;=60,"31-60 Days",IF(J883&lt;=90,"61-90 Days","90+ Days"))))</f>
        <v/>
      </c>
      <c r="M883" s="8">
        <f>IF(Raw_Data!K883="Yes",Raw_Data!F883*Raw_Data!L883,0)</f>
        <v/>
      </c>
      <c r="N883" s="2">
        <f>IF(H883&lt;&gt;"Paid","Outstanding",IF(J883=0,"On Time","Late"))</f>
        <v/>
      </c>
    </row>
    <row r="884">
      <c r="A884" s="2">
        <f>Raw_Data!A884</f>
        <v/>
      </c>
      <c r="B884" s="7">
        <f>Raw_Data!B884</f>
        <v/>
      </c>
      <c r="C884" s="2">
        <f>Raw_Data!C884</f>
        <v/>
      </c>
      <c r="D884" s="2">
        <f>Raw_Data!D884</f>
        <v/>
      </c>
      <c r="E884" s="8">
        <f>Raw_Data!F884</f>
        <v/>
      </c>
      <c r="F884" s="7">
        <f>Raw_Data!H884</f>
        <v/>
      </c>
      <c r="G884" s="7">
        <f>Raw_Data!I884</f>
        <v/>
      </c>
      <c r="H884" s="2">
        <f>Raw_Data!J884</f>
        <v/>
      </c>
      <c r="I884" s="2">
        <f>IF(G884="",0,G884-B884)</f>
        <v/>
      </c>
      <c r="J884" s="2">
        <f>IF(H884="Paid",MAX(0,G884-F884),MAX(0,DATE(2026,12,31)-F884))</f>
        <v/>
      </c>
      <c r="K884" s="8">
        <f>IF(H884="Paid",0,E884)</f>
        <v/>
      </c>
      <c r="L884" s="2">
        <f>IF(J884=0,"Current",IF(J884&lt;=30,"1-30 Days",IF(J884&lt;=60,"31-60 Days",IF(J884&lt;=90,"61-90 Days","90+ Days"))))</f>
        <v/>
      </c>
      <c r="M884" s="8">
        <f>IF(Raw_Data!K884="Yes",Raw_Data!F884*Raw_Data!L884,0)</f>
        <v/>
      </c>
      <c r="N884" s="2">
        <f>IF(H884&lt;&gt;"Paid","Outstanding",IF(J884=0,"On Time","Late"))</f>
        <v/>
      </c>
    </row>
    <row r="885">
      <c r="A885" s="2">
        <f>Raw_Data!A885</f>
        <v/>
      </c>
      <c r="B885" s="7">
        <f>Raw_Data!B885</f>
        <v/>
      </c>
      <c r="C885" s="2">
        <f>Raw_Data!C885</f>
        <v/>
      </c>
      <c r="D885" s="2">
        <f>Raw_Data!D885</f>
        <v/>
      </c>
      <c r="E885" s="8">
        <f>Raw_Data!F885</f>
        <v/>
      </c>
      <c r="F885" s="7">
        <f>Raw_Data!H885</f>
        <v/>
      </c>
      <c r="G885" s="7">
        <f>Raw_Data!I885</f>
        <v/>
      </c>
      <c r="H885" s="2">
        <f>Raw_Data!J885</f>
        <v/>
      </c>
      <c r="I885" s="2">
        <f>IF(G885="",0,G885-B885)</f>
        <v/>
      </c>
      <c r="J885" s="2">
        <f>IF(H885="Paid",MAX(0,G885-F885),MAX(0,DATE(2026,12,31)-F885))</f>
        <v/>
      </c>
      <c r="K885" s="8">
        <f>IF(H885="Paid",0,E885)</f>
        <v/>
      </c>
      <c r="L885" s="2">
        <f>IF(J885=0,"Current",IF(J885&lt;=30,"1-30 Days",IF(J885&lt;=60,"31-60 Days",IF(J885&lt;=90,"61-90 Days","90+ Days"))))</f>
        <v/>
      </c>
      <c r="M885" s="8">
        <f>IF(Raw_Data!K885="Yes",Raw_Data!F885*Raw_Data!L885,0)</f>
        <v/>
      </c>
      <c r="N885" s="2">
        <f>IF(H885&lt;&gt;"Paid","Outstanding",IF(J885=0,"On Time","Late"))</f>
        <v/>
      </c>
    </row>
    <row r="886">
      <c r="A886" s="2">
        <f>Raw_Data!A886</f>
        <v/>
      </c>
      <c r="B886" s="7">
        <f>Raw_Data!B886</f>
        <v/>
      </c>
      <c r="C886" s="2">
        <f>Raw_Data!C886</f>
        <v/>
      </c>
      <c r="D886" s="2">
        <f>Raw_Data!D886</f>
        <v/>
      </c>
      <c r="E886" s="8">
        <f>Raw_Data!F886</f>
        <v/>
      </c>
      <c r="F886" s="7">
        <f>Raw_Data!H886</f>
        <v/>
      </c>
      <c r="G886" s="7">
        <f>Raw_Data!I886</f>
        <v/>
      </c>
      <c r="H886" s="2">
        <f>Raw_Data!J886</f>
        <v/>
      </c>
      <c r="I886" s="2">
        <f>IF(G886="",0,G886-B886)</f>
        <v/>
      </c>
      <c r="J886" s="2">
        <f>IF(H886="Paid",MAX(0,G886-F886),MAX(0,DATE(2026,12,31)-F886))</f>
        <v/>
      </c>
      <c r="K886" s="8">
        <f>IF(H886="Paid",0,E886)</f>
        <v/>
      </c>
      <c r="L886" s="2">
        <f>IF(J886=0,"Current",IF(J886&lt;=30,"1-30 Days",IF(J886&lt;=60,"31-60 Days",IF(J886&lt;=90,"61-90 Days","90+ Days"))))</f>
        <v/>
      </c>
      <c r="M886" s="8">
        <f>IF(Raw_Data!K886="Yes",Raw_Data!F886*Raw_Data!L886,0)</f>
        <v/>
      </c>
      <c r="N886" s="2">
        <f>IF(H886&lt;&gt;"Paid","Outstanding",IF(J886=0,"On Time","Late"))</f>
        <v/>
      </c>
    </row>
    <row r="887">
      <c r="A887" s="2">
        <f>Raw_Data!A887</f>
        <v/>
      </c>
      <c r="B887" s="7">
        <f>Raw_Data!B887</f>
        <v/>
      </c>
      <c r="C887" s="2">
        <f>Raw_Data!C887</f>
        <v/>
      </c>
      <c r="D887" s="2">
        <f>Raw_Data!D887</f>
        <v/>
      </c>
      <c r="E887" s="8">
        <f>Raw_Data!F887</f>
        <v/>
      </c>
      <c r="F887" s="7">
        <f>Raw_Data!H887</f>
        <v/>
      </c>
      <c r="G887" s="7">
        <f>Raw_Data!I887</f>
        <v/>
      </c>
      <c r="H887" s="2">
        <f>Raw_Data!J887</f>
        <v/>
      </c>
      <c r="I887" s="2">
        <f>IF(G887="",0,G887-B887)</f>
        <v/>
      </c>
      <c r="J887" s="2">
        <f>IF(H887="Paid",MAX(0,G887-F887),MAX(0,DATE(2026,12,31)-F887))</f>
        <v/>
      </c>
      <c r="K887" s="8">
        <f>IF(H887="Paid",0,E887)</f>
        <v/>
      </c>
      <c r="L887" s="2">
        <f>IF(J887=0,"Current",IF(J887&lt;=30,"1-30 Days",IF(J887&lt;=60,"31-60 Days",IF(J887&lt;=90,"61-90 Days","90+ Days"))))</f>
        <v/>
      </c>
      <c r="M887" s="8">
        <f>IF(Raw_Data!K887="Yes",Raw_Data!F887*Raw_Data!L887,0)</f>
        <v/>
      </c>
      <c r="N887" s="2">
        <f>IF(H887&lt;&gt;"Paid","Outstanding",IF(J887=0,"On Time","Late"))</f>
        <v/>
      </c>
    </row>
    <row r="888">
      <c r="A888" s="2">
        <f>Raw_Data!A888</f>
        <v/>
      </c>
      <c r="B888" s="7">
        <f>Raw_Data!B888</f>
        <v/>
      </c>
      <c r="C888" s="2">
        <f>Raw_Data!C888</f>
        <v/>
      </c>
      <c r="D888" s="2">
        <f>Raw_Data!D888</f>
        <v/>
      </c>
      <c r="E888" s="8">
        <f>Raw_Data!F888</f>
        <v/>
      </c>
      <c r="F888" s="7">
        <f>Raw_Data!H888</f>
        <v/>
      </c>
      <c r="G888" s="7">
        <f>Raw_Data!I888</f>
        <v/>
      </c>
      <c r="H888" s="2">
        <f>Raw_Data!J888</f>
        <v/>
      </c>
      <c r="I888" s="2">
        <f>IF(G888="",0,G888-B888)</f>
        <v/>
      </c>
      <c r="J888" s="2">
        <f>IF(H888="Paid",MAX(0,G888-F888),MAX(0,DATE(2026,12,31)-F888))</f>
        <v/>
      </c>
      <c r="K888" s="8">
        <f>IF(H888="Paid",0,E888)</f>
        <v/>
      </c>
      <c r="L888" s="2">
        <f>IF(J888=0,"Current",IF(J888&lt;=30,"1-30 Days",IF(J888&lt;=60,"31-60 Days",IF(J888&lt;=90,"61-90 Days","90+ Days"))))</f>
        <v/>
      </c>
      <c r="M888" s="8">
        <f>IF(Raw_Data!K888="Yes",Raw_Data!F888*Raw_Data!L888,0)</f>
        <v/>
      </c>
      <c r="N888" s="2">
        <f>IF(H888&lt;&gt;"Paid","Outstanding",IF(J888=0,"On Time","Late"))</f>
        <v/>
      </c>
    </row>
    <row r="889">
      <c r="A889" s="2">
        <f>Raw_Data!A889</f>
        <v/>
      </c>
      <c r="B889" s="7">
        <f>Raw_Data!B889</f>
        <v/>
      </c>
      <c r="C889" s="2">
        <f>Raw_Data!C889</f>
        <v/>
      </c>
      <c r="D889" s="2">
        <f>Raw_Data!D889</f>
        <v/>
      </c>
      <c r="E889" s="8">
        <f>Raw_Data!F889</f>
        <v/>
      </c>
      <c r="F889" s="7">
        <f>Raw_Data!H889</f>
        <v/>
      </c>
      <c r="G889" s="7">
        <f>Raw_Data!I889</f>
        <v/>
      </c>
      <c r="H889" s="2">
        <f>Raw_Data!J889</f>
        <v/>
      </c>
      <c r="I889" s="2">
        <f>IF(G889="",0,G889-B889)</f>
        <v/>
      </c>
      <c r="J889" s="2">
        <f>IF(H889="Paid",MAX(0,G889-F889),MAX(0,DATE(2026,12,31)-F889))</f>
        <v/>
      </c>
      <c r="K889" s="8">
        <f>IF(H889="Paid",0,E889)</f>
        <v/>
      </c>
      <c r="L889" s="2">
        <f>IF(J889=0,"Current",IF(J889&lt;=30,"1-30 Days",IF(J889&lt;=60,"31-60 Days",IF(J889&lt;=90,"61-90 Days","90+ Days"))))</f>
        <v/>
      </c>
      <c r="M889" s="8">
        <f>IF(Raw_Data!K889="Yes",Raw_Data!F889*Raw_Data!L889,0)</f>
        <v/>
      </c>
      <c r="N889" s="2">
        <f>IF(H889&lt;&gt;"Paid","Outstanding",IF(J889=0,"On Time","Late"))</f>
        <v/>
      </c>
    </row>
    <row r="890">
      <c r="A890" s="2">
        <f>Raw_Data!A890</f>
        <v/>
      </c>
      <c r="B890" s="7">
        <f>Raw_Data!B890</f>
        <v/>
      </c>
      <c r="C890" s="2">
        <f>Raw_Data!C890</f>
        <v/>
      </c>
      <c r="D890" s="2">
        <f>Raw_Data!D890</f>
        <v/>
      </c>
      <c r="E890" s="8">
        <f>Raw_Data!F890</f>
        <v/>
      </c>
      <c r="F890" s="7">
        <f>Raw_Data!H890</f>
        <v/>
      </c>
      <c r="G890" s="7">
        <f>Raw_Data!I890</f>
        <v/>
      </c>
      <c r="H890" s="2">
        <f>Raw_Data!J890</f>
        <v/>
      </c>
      <c r="I890" s="2">
        <f>IF(G890="",0,G890-B890)</f>
        <v/>
      </c>
      <c r="J890" s="2">
        <f>IF(H890="Paid",MAX(0,G890-F890),MAX(0,DATE(2026,12,31)-F890))</f>
        <v/>
      </c>
      <c r="K890" s="8">
        <f>IF(H890="Paid",0,E890)</f>
        <v/>
      </c>
      <c r="L890" s="2">
        <f>IF(J890=0,"Current",IF(J890&lt;=30,"1-30 Days",IF(J890&lt;=60,"31-60 Days",IF(J890&lt;=90,"61-90 Days","90+ Days"))))</f>
        <v/>
      </c>
      <c r="M890" s="8">
        <f>IF(Raw_Data!K890="Yes",Raw_Data!F890*Raw_Data!L890,0)</f>
        <v/>
      </c>
      <c r="N890" s="2">
        <f>IF(H890&lt;&gt;"Paid","Outstanding",IF(J890=0,"On Time","Late"))</f>
        <v/>
      </c>
    </row>
    <row r="891">
      <c r="A891" s="2">
        <f>Raw_Data!A891</f>
        <v/>
      </c>
      <c r="B891" s="7">
        <f>Raw_Data!B891</f>
        <v/>
      </c>
      <c r="C891" s="2">
        <f>Raw_Data!C891</f>
        <v/>
      </c>
      <c r="D891" s="2">
        <f>Raw_Data!D891</f>
        <v/>
      </c>
      <c r="E891" s="8">
        <f>Raw_Data!F891</f>
        <v/>
      </c>
      <c r="F891" s="7">
        <f>Raw_Data!H891</f>
        <v/>
      </c>
      <c r="G891" s="7">
        <f>Raw_Data!I891</f>
        <v/>
      </c>
      <c r="H891" s="2">
        <f>Raw_Data!J891</f>
        <v/>
      </c>
      <c r="I891" s="2">
        <f>IF(G891="",0,G891-B891)</f>
        <v/>
      </c>
      <c r="J891" s="2">
        <f>IF(H891="Paid",MAX(0,G891-F891),MAX(0,DATE(2026,12,31)-F891))</f>
        <v/>
      </c>
      <c r="K891" s="8">
        <f>IF(H891="Paid",0,E891)</f>
        <v/>
      </c>
      <c r="L891" s="2">
        <f>IF(J891=0,"Current",IF(J891&lt;=30,"1-30 Days",IF(J891&lt;=60,"31-60 Days",IF(J891&lt;=90,"61-90 Days","90+ Days"))))</f>
        <v/>
      </c>
      <c r="M891" s="8">
        <f>IF(Raw_Data!K891="Yes",Raw_Data!F891*Raw_Data!L891,0)</f>
        <v/>
      </c>
      <c r="N891" s="2">
        <f>IF(H891&lt;&gt;"Paid","Outstanding",IF(J891=0,"On Time","Late"))</f>
        <v/>
      </c>
    </row>
    <row r="892">
      <c r="A892" s="2">
        <f>Raw_Data!A892</f>
        <v/>
      </c>
      <c r="B892" s="7">
        <f>Raw_Data!B892</f>
        <v/>
      </c>
      <c r="C892" s="2">
        <f>Raw_Data!C892</f>
        <v/>
      </c>
      <c r="D892" s="2">
        <f>Raw_Data!D892</f>
        <v/>
      </c>
      <c r="E892" s="8">
        <f>Raw_Data!F892</f>
        <v/>
      </c>
      <c r="F892" s="7">
        <f>Raw_Data!H892</f>
        <v/>
      </c>
      <c r="G892" s="7">
        <f>Raw_Data!I892</f>
        <v/>
      </c>
      <c r="H892" s="2">
        <f>Raw_Data!J892</f>
        <v/>
      </c>
      <c r="I892" s="2">
        <f>IF(G892="",0,G892-B892)</f>
        <v/>
      </c>
      <c r="J892" s="2">
        <f>IF(H892="Paid",MAX(0,G892-F892),MAX(0,DATE(2026,12,31)-F892))</f>
        <v/>
      </c>
      <c r="K892" s="8">
        <f>IF(H892="Paid",0,E892)</f>
        <v/>
      </c>
      <c r="L892" s="2">
        <f>IF(J892=0,"Current",IF(J892&lt;=30,"1-30 Days",IF(J892&lt;=60,"31-60 Days",IF(J892&lt;=90,"61-90 Days","90+ Days"))))</f>
        <v/>
      </c>
      <c r="M892" s="8">
        <f>IF(Raw_Data!K892="Yes",Raw_Data!F892*Raw_Data!L892,0)</f>
        <v/>
      </c>
      <c r="N892" s="2">
        <f>IF(H892&lt;&gt;"Paid","Outstanding",IF(J892=0,"On Time","Late"))</f>
        <v/>
      </c>
    </row>
    <row r="893">
      <c r="A893" s="2">
        <f>Raw_Data!A893</f>
        <v/>
      </c>
      <c r="B893" s="7">
        <f>Raw_Data!B893</f>
        <v/>
      </c>
      <c r="C893" s="2">
        <f>Raw_Data!C893</f>
        <v/>
      </c>
      <c r="D893" s="2">
        <f>Raw_Data!D893</f>
        <v/>
      </c>
      <c r="E893" s="8">
        <f>Raw_Data!F893</f>
        <v/>
      </c>
      <c r="F893" s="7">
        <f>Raw_Data!H893</f>
        <v/>
      </c>
      <c r="G893" s="7">
        <f>Raw_Data!I893</f>
        <v/>
      </c>
      <c r="H893" s="2">
        <f>Raw_Data!J893</f>
        <v/>
      </c>
      <c r="I893" s="2">
        <f>IF(G893="",0,G893-B893)</f>
        <v/>
      </c>
      <c r="J893" s="2">
        <f>IF(H893="Paid",MAX(0,G893-F893),MAX(0,DATE(2026,12,31)-F893))</f>
        <v/>
      </c>
      <c r="K893" s="8">
        <f>IF(H893="Paid",0,E893)</f>
        <v/>
      </c>
      <c r="L893" s="2">
        <f>IF(J893=0,"Current",IF(J893&lt;=30,"1-30 Days",IF(J893&lt;=60,"31-60 Days",IF(J893&lt;=90,"61-90 Days","90+ Days"))))</f>
        <v/>
      </c>
      <c r="M893" s="8">
        <f>IF(Raw_Data!K893="Yes",Raw_Data!F893*Raw_Data!L893,0)</f>
        <v/>
      </c>
      <c r="N893" s="2">
        <f>IF(H893&lt;&gt;"Paid","Outstanding",IF(J893=0,"On Time","Late"))</f>
        <v/>
      </c>
    </row>
    <row r="894">
      <c r="A894" s="2">
        <f>Raw_Data!A894</f>
        <v/>
      </c>
      <c r="B894" s="7">
        <f>Raw_Data!B894</f>
        <v/>
      </c>
      <c r="C894" s="2">
        <f>Raw_Data!C894</f>
        <v/>
      </c>
      <c r="D894" s="2">
        <f>Raw_Data!D894</f>
        <v/>
      </c>
      <c r="E894" s="8">
        <f>Raw_Data!F894</f>
        <v/>
      </c>
      <c r="F894" s="7">
        <f>Raw_Data!H894</f>
        <v/>
      </c>
      <c r="G894" s="7">
        <f>Raw_Data!I894</f>
        <v/>
      </c>
      <c r="H894" s="2">
        <f>Raw_Data!J894</f>
        <v/>
      </c>
      <c r="I894" s="2">
        <f>IF(G894="",0,G894-B894)</f>
        <v/>
      </c>
      <c r="J894" s="2">
        <f>IF(H894="Paid",MAX(0,G894-F894),MAX(0,DATE(2026,12,31)-F894))</f>
        <v/>
      </c>
      <c r="K894" s="8">
        <f>IF(H894="Paid",0,E894)</f>
        <v/>
      </c>
      <c r="L894" s="2">
        <f>IF(J894=0,"Current",IF(J894&lt;=30,"1-30 Days",IF(J894&lt;=60,"31-60 Days",IF(J894&lt;=90,"61-90 Days","90+ Days"))))</f>
        <v/>
      </c>
      <c r="M894" s="8">
        <f>IF(Raw_Data!K894="Yes",Raw_Data!F894*Raw_Data!L894,0)</f>
        <v/>
      </c>
      <c r="N894" s="2">
        <f>IF(H894&lt;&gt;"Paid","Outstanding",IF(J894=0,"On Time","Late"))</f>
        <v/>
      </c>
    </row>
    <row r="895">
      <c r="A895" s="2">
        <f>Raw_Data!A895</f>
        <v/>
      </c>
      <c r="B895" s="7">
        <f>Raw_Data!B895</f>
        <v/>
      </c>
      <c r="C895" s="2">
        <f>Raw_Data!C895</f>
        <v/>
      </c>
      <c r="D895" s="2">
        <f>Raw_Data!D895</f>
        <v/>
      </c>
      <c r="E895" s="8">
        <f>Raw_Data!F895</f>
        <v/>
      </c>
      <c r="F895" s="7">
        <f>Raw_Data!H895</f>
        <v/>
      </c>
      <c r="G895" s="7">
        <f>Raw_Data!I895</f>
        <v/>
      </c>
      <c r="H895" s="2">
        <f>Raw_Data!J895</f>
        <v/>
      </c>
      <c r="I895" s="2">
        <f>IF(G895="",0,G895-B895)</f>
        <v/>
      </c>
      <c r="J895" s="2">
        <f>IF(H895="Paid",MAX(0,G895-F895),MAX(0,DATE(2026,12,31)-F895))</f>
        <v/>
      </c>
      <c r="K895" s="8">
        <f>IF(H895="Paid",0,E895)</f>
        <v/>
      </c>
      <c r="L895" s="2">
        <f>IF(J895=0,"Current",IF(J895&lt;=30,"1-30 Days",IF(J895&lt;=60,"31-60 Days",IF(J895&lt;=90,"61-90 Days","90+ Days"))))</f>
        <v/>
      </c>
      <c r="M895" s="8">
        <f>IF(Raw_Data!K895="Yes",Raw_Data!F895*Raw_Data!L895,0)</f>
        <v/>
      </c>
      <c r="N895" s="2">
        <f>IF(H895&lt;&gt;"Paid","Outstanding",IF(J895=0,"On Time","Late"))</f>
        <v/>
      </c>
    </row>
    <row r="896">
      <c r="A896" s="2">
        <f>Raw_Data!A896</f>
        <v/>
      </c>
      <c r="B896" s="7">
        <f>Raw_Data!B896</f>
        <v/>
      </c>
      <c r="C896" s="2">
        <f>Raw_Data!C896</f>
        <v/>
      </c>
      <c r="D896" s="2">
        <f>Raw_Data!D896</f>
        <v/>
      </c>
      <c r="E896" s="8">
        <f>Raw_Data!F896</f>
        <v/>
      </c>
      <c r="F896" s="7">
        <f>Raw_Data!H896</f>
        <v/>
      </c>
      <c r="G896" s="7">
        <f>Raw_Data!I896</f>
        <v/>
      </c>
      <c r="H896" s="2">
        <f>Raw_Data!J896</f>
        <v/>
      </c>
      <c r="I896" s="2">
        <f>IF(G896="",0,G896-B896)</f>
        <v/>
      </c>
      <c r="J896" s="2">
        <f>IF(H896="Paid",MAX(0,G896-F896),MAX(0,DATE(2026,12,31)-F896))</f>
        <v/>
      </c>
      <c r="K896" s="8">
        <f>IF(H896="Paid",0,E896)</f>
        <v/>
      </c>
      <c r="L896" s="2">
        <f>IF(J896=0,"Current",IF(J896&lt;=30,"1-30 Days",IF(J896&lt;=60,"31-60 Days",IF(J896&lt;=90,"61-90 Days","90+ Days"))))</f>
        <v/>
      </c>
      <c r="M896" s="8">
        <f>IF(Raw_Data!K896="Yes",Raw_Data!F896*Raw_Data!L896,0)</f>
        <v/>
      </c>
      <c r="N896" s="2">
        <f>IF(H896&lt;&gt;"Paid","Outstanding",IF(J896=0,"On Time","Late"))</f>
        <v/>
      </c>
    </row>
    <row r="897">
      <c r="A897" s="2">
        <f>Raw_Data!A897</f>
        <v/>
      </c>
      <c r="B897" s="7">
        <f>Raw_Data!B897</f>
        <v/>
      </c>
      <c r="C897" s="2">
        <f>Raw_Data!C897</f>
        <v/>
      </c>
      <c r="D897" s="2">
        <f>Raw_Data!D897</f>
        <v/>
      </c>
      <c r="E897" s="8">
        <f>Raw_Data!F897</f>
        <v/>
      </c>
      <c r="F897" s="7">
        <f>Raw_Data!H897</f>
        <v/>
      </c>
      <c r="G897" s="7">
        <f>Raw_Data!I897</f>
        <v/>
      </c>
      <c r="H897" s="2">
        <f>Raw_Data!J897</f>
        <v/>
      </c>
      <c r="I897" s="2">
        <f>IF(G897="",0,G897-B897)</f>
        <v/>
      </c>
      <c r="J897" s="2">
        <f>IF(H897="Paid",MAX(0,G897-F897),MAX(0,DATE(2026,12,31)-F897))</f>
        <v/>
      </c>
      <c r="K897" s="8">
        <f>IF(H897="Paid",0,E897)</f>
        <v/>
      </c>
      <c r="L897" s="2">
        <f>IF(J897=0,"Current",IF(J897&lt;=30,"1-30 Days",IF(J897&lt;=60,"31-60 Days",IF(J897&lt;=90,"61-90 Days","90+ Days"))))</f>
        <v/>
      </c>
      <c r="M897" s="8">
        <f>IF(Raw_Data!K897="Yes",Raw_Data!F897*Raw_Data!L897,0)</f>
        <v/>
      </c>
      <c r="N897" s="2">
        <f>IF(H897&lt;&gt;"Paid","Outstanding",IF(J897=0,"On Time","Late"))</f>
        <v/>
      </c>
    </row>
    <row r="898">
      <c r="A898" s="2">
        <f>Raw_Data!A898</f>
        <v/>
      </c>
      <c r="B898" s="7">
        <f>Raw_Data!B898</f>
        <v/>
      </c>
      <c r="C898" s="2">
        <f>Raw_Data!C898</f>
        <v/>
      </c>
      <c r="D898" s="2">
        <f>Raw_Data!D898</f>
        <v/>
      </c>
      <c r="E898" s="8">
        <f>Raw_Data!F898</f>
        <v/>
      </c>
      <c r="F898" s="7">
        <f>Raw_Data!H898</f>
        <v/>
      </c>
      <c r="G898" s="7">
        <f>Raw_Data!I898</f>
        <v/>
      </c>
      <c r="H898" s="2">
        <f>Raw_Data!J898</f>
        <v/>
      </c>
      <c r="I898" s="2">
        <f>IF(G898="",0,G898-B898)</f>
        <v/>
      </c>
      <c r="J898" s="2">
        <f>IF(H898="Paid",MAX(0,G898-F898),MAX(0,DATE(2026,12,31)-F898))</f>
        <v/>
      </c>
      <c r="K898" s="8">
        <f>IF(H898="Paid",0,E898)</f>
        <v/>
      </c>
      <c r="L898" s="2">
        <f>IF(J898=0,"Current",IF(J898&lt;=30,"1-30 Days",IF(J898&lt;=60,"31-60 Days",IF(J898&lt;=90,"61-90 Days","90+ Days"))))</f>
        <v/>
      </c>
      <c r="M898" s="8">
        <f>IF(Raw_Data!K898="Yes",Raw_Data!F898*Raw_Data!L898,0)</f>
        <v/>
      </c>
      <c r="N898" s="2">
        <f>IF(H898&lt;&gt;"Paid","Outstanding",IF(J898=0,"On Time","Late"))</f>
        <v/>
      </c>
    </row>
    <row r="899">
      <c r="A899" s="2">
        <f>Raw_Data!A899</f>
        <v/>
      </c>
      <c r="B899" s="7">
        <f>Raw_Data!B899</f>
        <v/>
      </c>
      <c r="C899" s="2">
        <f>Raw_Data!C899</f>
        <v/>
      </c>
      <c r="D899" s="2">
        <f>Raw_Data!D899</f>
        <v/>
      </c>
      <c r="E899" s="8">
        <f>Raw_Data!F899</f>
        <v/>
      </c>
      <c r="F899" s="7">
        <f>Raw_Data!H899</f>
        <v/>
      </c>
      <c r="G899" s="7">
        <f>Raw_Data!I899</f>
        <v/>
      </c>
      <c r="H899" s="2">
        <f>Raw_Data!J899</f>
        <v/>
      </c>
      <c r="I899" s="2">
        <f>IF(G899="",0,G899-B899)</f>
        <v/>
      </c>
      <c r="J899" s="2">
        <f>IF(H899="Paid",MAX(0,G899-F899),MAX(0,DATE(2026,12,31)-F899))</f>
        <v/>
      </c>
      <c r="K899" s="8">
        <f>IF(H899="Paid",0,E899)</f>
        <v/>
      </c>
      <c r="L899" s="2">
        <f>IF(J899=0,"Current",IF(J899&lt;=30,"1-30 Days",IF(J899&lt;=60,"31-60 Days",IF(J899&lt;=90,"61-90 Days","90+ Days"))))</f>
        <v/>
      </c>
      <c r="M899" s="8">
        <f>IF(Raw_Data!K899="Yes",Raw_Data!F899*Raw_Data!L899,0)</f>
        <v/>
      </c>
      <c r="N899" s="2">
        <f>IF(H899&lt;&gt;"Paid","Outstanding",IF(J899=0,"On Time","Late"))</f>
        <v/>
      </c>
    </row>
    <row r="900">
      <c r="A900" s="2">
        <f>Raw_Data!A900</f>
        <v/>
      </c>
      <c r="B900" s="7">
        <f>Raw_Data!B900</f>
        <v/>
      </c>
      <c r="C900" s="2">
        <f>Raw_Data!C900</f>
        <v/>
      </c>
      <c r="D900" s="2">
        <f>Raw_Data!D900</f>
        <v/>
      </c>
      <c r="E900" s="8">
        <f>Raw_Data!F900</f>
        <v/>
      </c>
      <c r="F900" s="7">
        <f>Raw_Data!H900</f>
        <v/>
      </c>
      <c r="G900" s="7">
        <f>Raw_Data!I900</f>
        <v/>
      </c>
      <c r="H900" s="2">
        <f>Raw_Data!J900</f>
        <v/>
      </c>
      <c r="I900" s="2">
        <f>IF(G900="",0,G900-B900)</f>
        <v/>
      </c>
      <c r="J900" s="2">
        <f>IF(H900="Paid",MAX(0,G900-F900),MAX(0,DATE(2026,12,31)-F900))</f>
        <v/>
      </c>
      <c r="K900" s="8">
        <f>IF(H900="Paid",0,E900)</f>
        <v/>
      </c>
      <c r="L900" s="2">
        <f>IF(J900=0,"Current",IF(J900&lt;=30,"1-30 Days",IF(J900&lt;=60,"31-60 Days",IF(J900&lt;=90,"61-90 Days","90+ Days"))))</f>
        <v/>
      </c>
      <c r="M900" s="8">
        <f>IF(Raw_Data!K900="Yes",Raw_Data!F900*Raw_Data!L900,0)</f>
        <v/>
      </c>
      <c r="N900" s="2">
        <f>IF(H900&lt;&gt;"Paid","Outstanding",IF(J900=0,"On Time","Late"))</f>
        <v/>
      </c>
    </row>
    <row r="901">
      <c r="A901" s="2">
        <f>Raw_Data!A901</f>
        <v/>
      </c>
      <c r="B901" s="7">
        <f>Raw_Data!B901</f>
        <v/>
      </c>
      <c r="C901" s="2">
        <f>Raw_Data!C901</f>
        <v/>
      </c>
      <c r="D901" s="2">
        <f>Raw_Data!D901</f>
        <v/>
      </c>
      <c r="E901" s="8">
        <f>Raw_Data!F901</f>
        <v/>
      </c>
      <c r="F901" s="7">
        <f>Raw_Data!H901</f>
        <v/>
      </c>
      <c r="G901" s="7">
        <f>Raw_Data!I901</f>
        <v/>
      </c>
      <c r="H901" s="2">
        <f>Raw_Data!J901</f>
        <v/>
      </c>
      <c r="I901" s="2">
        <f>IF(G901="",0,G901-B901)</f>
        <v/>
      </c>
      <c r="J901" s="2">
        <f>IF(H901="Paid",MAX(0,G901-F901),MAX(0,DATE(2026,12,31)-F901))</f>
        <v/>
      </c>
      <c r="K901" s="8">
        <f>IF(H901="Paid",0,E901)</f>
        <v/>
      </c>
      <c r="L901" s="2">
        <f>IF(J901=0,"Current",IF(J901&lt;=30,"1-30 Days",IF(J901&lt;=60,"31-60 Days",IF(J901&lt;=90,"61-90 Days","90+ Days"))))</f>
        <v/>
      </c>
      <c r="M901" s="8">
        <f>IF(Raw_Data!K901="Yes",Raw_Data!F901*Raw_Data!L901,0)</f>
        <v/>
      </c>
      <c r="N901" s="2">
        <f>IF(H901&lt;&gt;"Paid","Outstanding",IF(J901=0,"On Time","Late"))</f>
        <v/>
      </c>
    </row>
    <row r="902">
      <c r="A902" s="2">
        <f>Raw_Data!A902</f>
        <v/>
      </c>
      <c r="B902" s="7">
        <f>Raw_Data!B902</f>
        <v/>
      </c>
      <c r="C902" s="2">
        <f>Raw_Data!C902</f>
        <v/>
      </c>
      <c r="D902" s="2">
        <f>Raw_Data!D902</f>
        <v/>
      </c>
      <c r="E902" s="8">
        <f>Raw_Data!F902</f>
        <v/>
      </c>
      <c r="F902" s="7">
        <f>Raw_Data!H902</f>
        <v/>
      </c>
      <c r="G902" s="7">
        <f>Raw_Data!I902</f>
        <v/>
      </c>
      <c r="H902" s="2">
        <f>Raw_Data!J902</f>
        <v/>
      </c>
      <c r="I902" s="2">
        <f>IF(G902="",0,G902-B902)</f>
        <v/>
      </c>
      <c r="J902" s="2">
        <f>IF(H902="Paid",MAX(0,G902-F902),MAX(0,DATE(2026,12,31)-F902))</f>
        <v/>
      </c>
      <c r="K902" s="8">
        <f>IF(H902="Paid",0,E902)</f>
        <v/>
      </c>
      <c r="L902" s="2">
        <f>IF(J902=0,"Current",IF(J902&lt;=30,"1-30 Days",IF(J902&lt;=60,"31-60 Days",IF(J902&lt;=90,"61-90 Days","90+ Days"))))</f>
        <v/>
      </c>
      <c r="M902" s="8">
        <f>IF(Raw_Data!K902="Yes",Raw_Data!F902*Raw_Data!L902,0)</f>
        <v/>
      </c>
      <c r="N902" s="2">
        <f>IF(H902&lt;&gt;"Paid","Outstanding",IF(J902=0,"On Time","Late"))</f>
        <v/>
      </c>
    </row>
    <row r="903">
      <c r="A903" s="2">
        <f>Raw_Data!A903</f>
        <v/>
      </c>
      <c r="B903" s="7">
        <f>Raw_Data!B903</f>
        <v/>
      </c>
      <c r="C903" s="2">
        <f>Raw_Data!C903</f>
        <v/>
      </c>
      <c r="D903" s="2">
        <f>Raw_Data!D903</f>
        <v/>
      </c>
      <c r="E903" s="8">
        <f>Raw_Data!F903</f>
        <v/>
      </c>
      <c r="F903" s="7">
        <f>Raw_Data!H903</f>
        <v/>
      </c>
      <c r="G903" s="7">
        <f>Raw_Data!I903</f>
        <v/>
      </c>
      <c r="H903" s="2">
        <f>Raw_Data!J903</f>
        <v/>
      </c>
      <c r="I903" s="2">
        <f>IF(G903="",0,G903-B903)</f>
        <v/>
      </c>
      <c r="J903" s="2">
        <f>IF(H903="Paid",MAX(0,G903-F903),MAX(0,DATE(2026,12,31)-F903))</f>
        <v/>
      </c>
      <c r="K903" s="8">
        <f>IF(H903="Paid",0,E903)</f>
        <v/>
      </c>
      <c r="L903" s="2">
        <f>IF(J903=0,"Current",IF(J903&lt;=30,"1-30 Days",IF(J903&lt;=60,"31-60 Days",IF(J903&lt;=90,"61-90 Days","90+ Days"))))</f>
        <v/>
      </c>
      <c r="M903" s="8">
        <f>IF(Raw_Data!K903="Yes",Raw_Data!F903*Raw_Data!L903,0)</f>
        <v/>
      </c>
      <c r="N903" s="2">
        <f>IF(H903&lt;&gt;"Paid","Outstanding",IF(J903=0,"On Time","Late"))</f>
        <v/>
      </c>
    </row>
    <row r="904">
      <c r="A904" s="2">
        <f>Raw_Data!A904</f>
        <v/>
      </c>
      <c r="B904" s="7">
        <f>Raw_Data!B904</f>
        <v/>
      </c>
      <c r="C904" s="2">
        <f>Raw_Data!C904</f>
        <v/>
      </c>
      <c r="D904" s="2">
        <f>Raw_Data!D904</f>
        <v/>
      </c>
      <c r="E904" s="8">
        <f>Raw_Data!F904</f>
        <v/>
      </c>
      <c r="F904" s="7">
        <f>Raw_Data!H904</f>
        <v/>
      </c>
      <c r="G904" s="7">
        <f>Raw_Data!I904</f>
        <v/>
      </c>
      <c r="H904" s="2">
        <f>Raw_Data!J904</f>
        <v/>
      </c>
      <c r="I904" s="2">
        <f>IF(G904="",0,G904-B904)</f>
        <v/>
      </c>
      <c r="J904" s="2">
        <f>IF(H904="Paid",MAX(0,G904-F904),MAX(0,DATE(2026,12,31)-F904))</f>
        <v/>
      </c>
      <c r="K904" s="8">
        <f>IF(H904="Paid",0,E904)</f>
        <v/>
      </c>
      <c r="L904" s="2">
        <f>IF(J904=0,"Current",IF(J904&lt;=30,"1-30 Days",IF(J904&lt;=60,"31-60 Days",IF(J904&lt;=90,"61-90 Days","90+ Days"))))</f>
        <v/>
      </c>
      <c r="M904" s="8">
        <f>IF(Raw_Data!K904="Yes",Raw_Data!F904*Raw_Data!L904,0)</f>
        <v/>
      </c>
      <c r="N904" s="2">
        <f>IF(H904&lt;&gt;"Paid","Outstanding",IF(J904=0,"On Time","Late"))</f>
        <v/>
      </c>
    </row>
    <row r="905">
      <c r="A905" s="2">
        <f>Raw_Data!A905</f>
        <v/>
      </c>
      <c r="B905" s="7">
        <f>Raw_Data!B905</f>
        <v/>
      </c>
      <c r="C905" s="2">
        <f>Raw_Data!C905</f>
        <v/>
      </c>
      <c r="D905" s="2">
        <f>Raw_Data!D905</f>
        <v/>
      </c>
      <c r="E905" s="8">
        <f>Raw_Data!F905</f>
        <v/>
      </c>
      <c r="F905" s="7">
        <f>Raw_Data!H905</f>
        <v/>
      </c>
      <c r="G905" s="7">
        <f>Raw_Data!I905</f>
        <v/>
      </c>
      <c r="H905" s="2">
        <f>Raw_Data!J905</f>
        <v/>
      </c>
      <c r="I905" s="2">
        <f>IF(G905="",0,G905-B905)</f>
        <v/>
      </c>
      <c r="J905" s="2">
        <f>IF(H905="Paid",MAX(0,G905-F905),MAX(0,DATE(2026,12,31)-F905))</f>
        <v/>
      </c>
      <c r="K905" s="8">
        <f>IF(H905="Paid",0,E905)</f>
        <v/>
      </c>
      <c r="L905" s="2">
        <f>IF(J905=0,"Current",IF(J905&lt;=30,"1-30 Days",IF(J905&lt;=60,"31-60 Days",IF(J905&lt;=90,"61-90 Days","90+ Days"))))</f>
        <v/>
      </c>
      <c r="M905" s="8">
        <f>IF(Raw_Data!K905="Yes",Raw_Data!F905*Raw_Data!L905,0)</f>
        <v/>
      </c>
      <c r="N905" s="2">
        <f>IF(H905&lt;&gt;"Paid","Outstanding",IF(J905=0,"On Time","Late"))</f>
        <v/>
      </c>
    </row>
    <row r="906">
      <c r="A906" s="2">
        <f>Raw_Data!A906</f>
        <v/>
      </c>
      <c r="B906" s="7">
        <f>Raw_Data!B906</f>
        <v/>
      </c>
      <c r="C906" s="2">
        <f>Raw_Data!C906</f>
        <v/>
      </c>
      <c r="D906" s="2">
        <f>Raw_Data!D906</f>
        <v/>
      </c>
      <c r="E906" s="8">
        <f>Raw_Data!F906</f>
        <v/>
      </c>
      <c r="F906" s="7">
        <f>Raw_Data!H906</f>
        <v/>
      </c>
      <c r="G906" s="7">
        <f>Raw_Data!I906</f>
        <v/>
      </c>
      <c r="H906" s="2">
        <f>Raw_Data!J906</f>
        <v/>
      </c>
      <c r="I906" s="2">
        <f>IF(G906="",0,G906-B906)</f>
        <v/>
      </c>
      <c r="J906" s="2">
        <f>IF(H906="Paid",MAX(0,G906-F906),MAX(0,DATE(2026,12,31)-F906))</f>
        <v/>
      </c>
      <c r="K906" s="8">
        <f>IF(H906="Paid",0,E906)</f>
        <v/>
      </c>
      <c r="L906" s="2">
        <f>IF(J906=0,"Current",IF(J906&lt;=30,"1-30 Days",IF(J906&lt;=60,"31-60 Days",IF(J906&lt;=90,"61-90 Days","90+ Days"))))</f>
        <v/>
      </c>
      <c r="M906" s="8">
        <f>IF(Raw_Data!K906="Yes",Raw_Data!F906*Raw_Data!L906,0)</f>
        <v/>
      </c>
      <c r="N906" s="2">
        <f>IF(H906&lt;&gt;"Paid","Outstanding",IF(J906=0,"On Time","Late"))</f>
        <v/>
      </c>
    </row>
    <row r="907">
      <c r="A907" s="2">
        <f>Raw_Data!A907</f>
        <v/>
      </c>
      <c r="B907" s="7">
        <f>Raw_Data!B907</f>
        <v/>
      </c>
      <c r="C907" s="2">
        <f>Raw_Data!C907</f>
        <v/>
      </c>
      <c r="D907" s="2">
        <f>Raw_Data!D907</f>
        <v/>
      </c>
      <c r="E907" s="8">
        <f>Raw_Data!F907</f>
        <v/>
      </c>
      <c r="F907" s="7">
        <f>Raw_Data!H907</f>
        <v/>
      </c>
      <c r="G907" s="7">
        <f>Raw_Data!I907</f>
        <v/>
      </c>
      <c r="H907" s="2">
        <f>Raw_Data!J907</f>
        <v/>
      </c>
      <c r="I907" s="2">
        <f>IF(G907="",0,G907-B907)</f>
        <v/>
      </c>
      <c r="J907" s="2">
        <f>IF(H907="Paid",MAX(0,G907-F907),MAX(0,DATE(2026,12,31)-F907))</f>
        <v/>
      </c>
      <c r="K907" s="8">
        <f>IF(H907="Paid",0,E907)</f>
        <v/>
      </c>
      <c r="L907" s="2">
        <f>IF(J907=0,"Current",IF(J907&lt;=30,"1-30 Days",IF(J907&lt;=60,"31-60 Days",IF(J907&lt;=90,"61-90 Days","90+ Days"))))</f>
        <v/>
      </c>
      <c r="M907" s="8">
        <f>IF(Raw_Data!K907="Yes",Raw_Data!F907*Raw_Data!L907,0)</f>
        <v/>
      </c>
      <c r="N907" s="2">
        <f>IF(H907&lt;&gt;"Paid","Outstanding",IF(J907=0,"On Time","Late"))</f>
        <v/>
      </c>
    </row>
    <row r="908">
      <c r="A908" s="2">
        <f>Raw_Data!A908</f>
        <v/>
      </c>
      <c r="B908" s="7">
        <f>Raw_Data!B908</f>
        <v/>
      </c>
      <c r="C908" s="2">
        <f>Raw_Data!C908</f>
        <v/>
      </c>
      <c r="D908" s="2">
        <f>Raw_Data!D908</f>
        <v/>
      </c>
      <c r="E908" s="8">
        <f>Raw_Data!F908</f>
        <v/>
      </c>
      <c r="F908" s="7">
        <f>Raw_Data!H908</f>
        <v/>
      </c>
      <c r="G908" s="7">
        <f>Raw_Data!I908</f>
        <v/>
      </c>
      <c r="H908" s="2">
        <f>Raw_Data!J908</f>
        <v/>
      </c>
      <c r="I908" s="2">
        <f>IF(G908="",0,G908-B908)</f>
        <v/>
      </c>
      <c r="J908" s="2">
        <f>IF(H908="Paid",MAX(0,G908-F908),MAX(0,DATE(2026,12,31)-F908))</f>
        <v/>
      </c>
      <c r="K908" s="8">
        <f>IF(H908="Paid",0,E908)</f>
        <v/>
      </c>
      <c r="L908" s="2">
        <f>IF(J908=0,"Current",IF(J908&lt;=30,"1-30 Days",IF(J908&lt;=60,"31-60 Days",IF(J908&lt;=90,"61-90 Days","90+ Days"))))</f>
        <v/>
      </c>
      <c r="M908" s="8">
        <f>IF(Raw_Data!K908="Yes",Raw_Data!F908*Raw_Data!L908,0)</f>
        <v/>
      </c>
      <c r="N908" s="2">
        <f>IF(H908&lt;&gt;"Paid","Outstanding",IF(J908=0,"On Time","Late"))</f>
        <v/>
      </c>
    </row>
    <row r="909">
      <c r="A909" s="2">
        <f>Raw_Data!A909</f>
        <v/>
      </c>
      <c r="B909" s="7">
        <f>Raw_Data!B909</f>
        <v/>
      </c>
      <c r="C909" s="2">
        <f>Raw_Data!C909</f>
        <v/>
      </c>
      <c r="D909" s="2">
        <f>Raw_Data!D909</f>
        <v/>
      </c>
      <c r="E909" s="8">
        <f>Raw_Data!F909</f>
        <v/>
      </c>
      <c r="F909" s="7">
        <f>Raw_Data!H909</f>
        <v/>
      </c>
      <c r="G909" s="7">
        <f>Raw_Data!I909</f>
        <v/>
      </c>
      <c r="H909" s="2">
        <f>Raw_Data!J909</f>
        <v/>
      </c>
      <c r="I909" s="2">
        <f>IF(G909="",0,G909-B909)</f>
        <v/>
      </c>
      <c r="J909" s="2">
        <f>IF(H909="Paid",MAX(0,G909-F909),MAX(0,DATE(2026,12,31)-F909))</f>
        <v/>
      </c>
      <c r="K909" s="8">
        <f>IF(H909="Paid",0,E909)</f>
        <v/>
      </c>
      <c r="L909" s="2">
        <f>IF(J909=0,"Current",IF(J909&lt;=30,"1-30 Days",IF(J909&lt;=60,"31-60 Days",IF(J909&lt;=90,"61-90 Days","90+ Days"))))</f>
        <v/>
      </c>
      <c r="M909" s="8">
        <f>IF(Raw_Data!K909="Yes",Raw_Data!F909*Raw_Data!L909,0)</f>
        <v/>
      </c>
      <c r="N909" s="2">
        <f>IF(H909&lt;&gt;"Paid","Outstanding",IF(J909=0,"On Time","Late"))</f>
        <v/>
      </c>
    </row>
    <row r="910">
      <c r="A910" s="2">
        <f>Raw_Data!A910</f>
        <v/>
      </c>
      <c r="B910" s="7">
        <f>Raw_Data!B910</f>
        <v/>
      </c>
      <c r="C910" s="2">
        <f>Raw_Data!C910</f>
        <v/>
      </c>
      <c r="D910" s="2">
        <f>Raw_Data!D910</f>
        <v/>
      </c>
      <c r="E910" s="8">
        <f>Raw_Data!F910</f>
        <v/>
      </c>
      <c r="F910" s="7">
        <f>Raw_Data!H910</f>
        <v/>
      </c>
      <c r="G910" s="7">
        <f>Raw_Data!I910</f>
        <v/>
      </c>
      <c r="H910" s="2">
        <f>Raw_Data!J910</f>
        <v/>
      </c>
      <c r="I910" s="2">
        <f>IF(G910="",0,G910-B910)</f>
        <v/>
      </c>
      <c r="J910" s="2">
        <f>IF(H910="Paid",MAX(0,G910-F910),MAX(0,DATE(2026,12,31)-F910))</f>
        <v/>
      </c>
      <c r="K910" s="8">
        <f>IF(H910="Paid",0,E910)</f>
        <v/>
      </c>
      <c r="L910" s="2">
        <f>IF(J910=0,"Current",IF(J910&lt;=30,"1-30 Days",IF(J910&lt;=60,"31-60 Days",IF(J910&lt;=90,"61-90 Days","90+ Days"))))</f>
        <v/>
      </c>
      <c r="M910" s="8">
        <f>IF(Raw_Data!K910="Yes",Raw_Data!F910*Raw_Data!L910,0)</f>
        <v/>
      </c>
      <c r="N910" s="2">
        <f>IF(H910&lt;&gt;"Paid","Outstanding",IF(J910=0,"On Time","Late"))</f>
        <v/>
      </c>
    </row>
    <row r="911">
      <c r="A911" s="2">
        <f>Raw_Data!A911</f>
        <v/>
      </c>
      <c r="B911" s="7">
        <f>Raw_Data!B911</f>
        <v/>
      </c>
      <c r="C911" s="2">
        <f>Raw_Data!C911</f>
        <v/>
      </c>
      <c r="D911" s="2">
        <f>Raw_Data!D911</f>
        <v/>
      </c>
      <c r="E911" s="8">
        <f>Raw_Data!F911</f>
        <v/>
      </c>
      <c r="F911" s="7">
        <f>Raw_Data!H911</f>
        <v/>
      </c>
      <c r="G911" s="7">
        <f>Raw_Data!I911</f>
        <v/>
      </c>
      <c r="H911" s="2">
        <f>Raw_Data!J911</f>
        <v/>
      </c>
      <c r="I911" s="2">
        <f>IF(G911="",0,G911-B911)</f>
        <v/>
      </c>
      <c r="J911" s="2">
        <f>IF(H911="Paid",MAX(0,G911-F911),MAX(0,DATE(2026,12,31)-F911))</f>
        <v/>
      </c>
      <c r="K911" s="8">
        <f>IF(H911="Paid",0,E911)</f>
        <v/>
      </c>
      <c r="L911" s="2">
        <f>IF(J911=0,"Current",IF(J911&lt;=30,"1-30 Days",IF(J911&lt;=60,"31-60 Days",IF(J911&lt;=90,"61-90 Days","90+ Days"))))</f>
        <v/>
      </c>
      <c r="M911" s="8">
        <f>IF(Raw_Data!K911="Yes",Raw_Data!F911*Raw_Data!L911,0)</f>
        <v/>
      </c>
      <c r="N911" s="2">
        <f>IF(H911&lt;&gt;"Paid","Outstanding",IF(J911=0,"On Time","Late"))</f>
        <v/>
      </c>
    </row>
    <row r="912">
      <c r="A912" s="2">
        <f>Raw_Data!A912</f>
        <v/>
      </c>
      <c r="B912" s="7">
        <f>Raw_Data!B912</f>
        <v/>
      </c>
      <c r="C912" s="2">
        <f>Raw_Data!C912</f>
        <v/>
      </c>
      <c r="D912" s="2">
        <f>Raw_Data!D912</f>
        <v/>
      </c>
      <c r="E912" s="8">
        <f>Raw_Data!F912</f>
        <v/>
      </c>
      <c r="F912" s="7">
        <f>Raw_Data!H912</f>
        <v/>
      </c>
      <c r="G912" s="7">
        <f>Raw_Data!I912</f>
        <v/>
      </c>
      <c r="H912" s="2">
        <f>Raw_Data!J912</f>
        <v/>
      </c>
      <c r="I912" s="2">
        <f>IF(G912="",0,G912-B912)</f>
        <v/>
      </c>
      <c r="J912" s="2">
        <f>IF(H912="Paid",MAX(0,G912-F912),MAX(0,DATE(2026,12,31)-F912))</f>
        <v/>
      </c>
      <c r="K912" s="8">
        <f>IF(H912="Paid",0,E912)</f>
        <v/>
      </c>
      <c r="L912" s="2">
        <f>IF(J912=0,"Current",IF(J912&lt;=30,"1-30 Days",IF(J912&lt;=60,"31-60 Days",IF(J912&lt;=90,"61-90 Days","90+ Days"))))</f>
        <v/>
      </c>
      <c r="M912" s="8">
        <f>IF(Raw_Data!K912="Yes",Raw_Data!F912*Raw_Data!L912,0)</f>
        <v/>
      </c>
      <c r="N912" s="2">
        <f>IF(H912&lt;&gt;"Paid","Outstanding",IF(J912=0,"On Time","Late"))</f>
        <v/>
      </c>
    </row>
    <row r="913">
      <c r="A913" s="2">
        <f>Raw_Data!A913</f>
        <v/>
      </c>
      <c r="B913" s="7">
        <f>Raw_Data!B913</f>
        <v/>
      </c>
      <c r="C913" s="2">
        <f>Raw_Data!C913</f>
        <v/>
      </c>
      <c r="D913" s="2">
        <f>Raw_Data!D913</f>
        <v/>
      </c>
      <c r="E913" s="8">
        <f>Raw_Data!F913</f>
        <v/>
      </c>
      <c r="F913" s="7">
        <f>Raw_Data!H913</f>
        <v/>
      </c>
      <c r="G913" s="7">
        <f>Raw_Data!I913</f>
        <v/>
      </c>
      <c r="H913" s="2">
        <f>Raw_Data!J913</f>
        <v/>
      </c>
      <c r="I913" s="2">
        <f>IF(G913="",0,G913-B913)</f>
        <v/>
      </c>
      <c r="J913" s="2">
        <f>IF(H913="Paid",MAX(0,G913-F913),MAX(0,DATE(2026,12,31)-F913))</f>
        <v/>
      </c>
      <c r="K913" s="8">
        <f>IF(H913="Paid",0,E913)</f>
        <v/>
      </c>
      <c r="L913" s="2">
        <f>IF(J913=0,"Current",IF(J913&lt;=30,"1-30 Days",IF(J913&lt;=60,"31-60 Days",IF(J913&lt;=90,"61-90 Days","90+ Days"))))</f>
        <v/>
      </c>
      <c r="M913" s="8">
        <f>IF(Raw_Data!K913="Yes",Raw_Data!F913*Raw_Data!L913,0)</f>
        <v/>
      </c>
      <c r="N913" s="2">
        <f>IF(H913&lt;&gt;"Paid","Outstanding",IF(J913=0,"On Time","Late"))</f>
        <v/>
      </c>
    </row>
    <row r="914">
      <c r="A914" s="2">
        <f>Raw_Data!A914</f>
        <v/>
      </c>
      <c r="B914" s="7">
        <f>Raw_Data!B914</f>
        <v/>
      </c>
      <c r="C914" s="2">
        <f>Raw_Data!C914</f>
        <v/>
      </c>
      <c r="D914" s="2">
        <f>Raw_Data!D914</f>
        <v/>
      </c>
      <c r="E914" s="8">
        <f>Raw_Data!F914</f>
        <v/>
      </c>
      <c r="F914" s="7">
        <f>Raw_Data!H914</f>
        <v/>
      </c>
      <c r="G914" s="7">
        <f>Raw_Data!I914</f>
        <v/>
      </c>
      <c r="H914" s="2">
        <f>Raw_Data!J914</f>
        <v/>
      </c>
      <c r="I914" s="2">
        <f>IF(G914="",0,G914-B914)</f>
        <v/>
      </c>
      <c r="J914" s="2">
        <f>IF(H914="Paid",MAX(0,G914-F914),MAX(0,DATE(2026,12,31)-F914))</f>
        <v/>
      </c>
      <c r="K914" s="8">
        <f>IF(H914="Paid",0,E914)</f>
        <v/>
      </c>
      <c r="L914" s="2">
        <f>IF(J914=0,"Current",IF(J914&lt;=30,"1-30 Days",IF(J914&lt;=60,"31-60 Days",IF(J914&lt;=90,"61-90 Days","90+ Days"))))</f>
        <v/>
      </c>
      <c r="M914" s="8">
        <f>IF(Raw_Data!K914="Yes",Raw_Data!F914*Raw_Data!L914,0)</f>
        <v/>
      </c>
      <c r="N914" s="2">
        <f>IF(H914&lt;&gt;"Paid","Outstanding",IF(J914=0,"On Time","Late"))</f>
        <v/>
      </c>
    </row>
    <row r="915">
      <c r="A915" s="2">
        <f>Raw_Data!A915</f>
        <v/>
      </c>
      <c r="B915" s="7">
        <f>Raw_Data!B915</f>
        <v/>
      </c>
      <c r="C915" s="2">
        <f>Raw_Data!C915</f>
        <v/>
      </c>
      <c r="D915" s="2">
        <f>Raw_Data!D915</f>
        <v/>
      </c>
      <c r="E915" s="8">
        <f>Raw_Data!F915</f>
        <v/>
      </c>
      <c r="F915" s="7">
        <f>Raw_Data!H915</f>
        <v/>
      </c>
      <c r="G915" s="7">
        <f>Raw_Data!I915</f>
        <v/>
      </c>
      <c r="H915" s="2">
        <f>Raw_Data!J915</f>
        <v/>
      </c>
      <c r="I915" s="2">
        <f>IF(G915="",0,G915-B915)</f>
        <v/>
      </c>
      <c r="J915" s="2">
        <f>IF(H915="Paid",MAX(0,G915-F915),MAX(0,DATE(2026,12,31)-F915))</f>
        <v/>
      </c>
      <c r="K915" s="8">
        <f>IF(H915="Paid",0,E915)</f>
        <v/>
      </c>
      <c r="L915" s="2">
        <f>IF(J915=0,"Current",IF(J915&lt;=30,"1-30 Days",IF(J915&lt;=60,"31-60 Days",IF(J915&lt;=90,"61-90 Days","90+ Days"))))</f>
        <v/>
      </c>
      <c r="M915" s="8">
        <f>IF(Raw_Data!K915="Yes",Raw_Data!F915*Raw_Data!L915,0)</f>
        <v/>
      </c>
      <c r="N915" s="2">
        <f>IF(H915&lt;&gt;"Paid","Outstanding",IF(J915=0,"On Time","Late"))</f>
        <v/>
      </c>
    </row>
    <row r="916">
      <c r="A916" s="2">
        <f>Raw_Data!A916</f>
        <v/>
      </c>
      <c r="B916" s="7">
        <f>Raw_Data!B916</f>
        <v/>
      </c>
      <c r="C916" s="2">
        <f>Raw_Data!C916</f>
        <v/>
      </c>
      <c r="D916" s="2">
        <f>Raw_Data!D916</f>
        <v/>
      </c>
      <c r="E916" s="8">
        <f>Raw_Data!F916</f>
        <v/>
      </c>
      <c r="F916" s="7">
        <f>Raw_Data!H916</f>
        <v/>
      </c>
      <c r="G916" s="7">
        <f>Raw_Data!I916</f>
        <v/>
      </c>
      <c r="H916" s="2">
        <f>Raw_Data!J916</f>
        <v/>
      </c>
      <c r="I916" s="2">
        <f>IF(G916="",0,G916-B916)</f>
        <v/>
      </c>
      <c r="J916" s="2">
        <f>IF(H916="Paid",MAX(0,G916-F916),MAX(0,DATE(2026,12,31)-F916))</f>
        <v/>
      </c>
      <c r="K916" s="8">
        <f>IF(H916="Paid",0,E916)</f>
        <v/>
      </c>
      <c r="L916" s="2">
        <f>IF(J916=0,"Current",IF(J916&lt;=30,"1-30 Days",IF(J916&lt;=60,"31-60 Days",IF(J916&lt;=90,"61-90 Days","90+ Days"))))</f>
        <v/>
      </c>
      <c r="M916" s="8">
        <f>IF(Raw_Data!K916="Yes",Raw_Data!F916*Raw_Data!L916,0)</f>
        <v/>
      </c>
      <c r="N916" s="2">
        <f>IF(H916&lt;&gt;"Paid","Outstanding",IF(J916=0,"On Time","Late"))</f>
        <v/>
      </c>
    </row>
    <row r="917">
      <c r="A917" s="2">
        <f>Raw_Data!A917</f>
        <v/>
      </c>
      <c r="B917" s="7">
        <f>Raw_Data!B917</f>
        <v/>
      </c>
      <c r="C917" s="2">
        <f>Raw_Data!C917</f>
        <v/>
      </c>
      <c r="D917" s="2">
        <f>Raw_Data!D917</f>
        <v/>
      </c>
      <c r="E917" s="8">
        <f>Raw_Data!F917</f>
        <v/>
      </c>
      <c r="F917" s="7">
        <f>Raw_Data!H917</f>
        <v/>
      </c>
      <c r="G917" s="7">
        <f>Raw_Data!I917</f>
        <v/>
      </c>
      <c r="H917" s="2">
        <f>Raw_Data!J917</f>
        <v/>
      </c>
      <c r="I917" s="2">
        <f>IF(G917="",0,G917-B917)</f>
        <v/>
      </c>
      <c r="J917" s="2">
        <f>IF(H917="Paid",MAX(0,G917-F917),MAX(0,DATE(2026,12,31)-F917))</f>
        <v/>
      </c>
      <c r="K917" s="8">
        <f>IF(H917="Paid",0,E917)</f>
        <v/>
      </c>
      <c r="L917" s="2">
        <f>IF(J917=0,"Current",IF(J917&lt;=30,"1-30 Days",IF(J917&lt;=60,"31-60 Days",IF(J917&lt;=90,"61-90 Days","90+ Days"))))</f>
        <v/>
      </c>
      <c r="M917" s="8">
        <f>IF(Raw_Data!K917="Yes",Raw_Data!F917*Raw_Data!L917,0)</f>
        <v/>
      </c>
      <c r="N917" s="2">
        <f>IF(H917&lt;&gt;"Paid","Outstanding",IF(J917=0,"On Time","Late"))</f>
        <v/>
      </c>
    </row>
    <row r="918">
      <c r="A918" s="2">
        <f>Raw_Data!A918</f>
        <v/>
      </c>
      <c r="B918" s="7">
        <f>Raw_Data!B918</f>
        <v/>
      </c>
      <c r="C918" s="2">
        <f>Raw_Data!C918</f>
        <v/>
      </c>
      <c r="D918" s="2">
        <f>Raw_Data!D918</f>
        <v/>
      </c>
      <c r="E918" s="8">
        <f>Raw_Data!F918</f>
        <v/>
      </c>
      <c r="F918" s="7">
        <f>Raw_Data!H918</f>
        <v/>
      </c>
      <c r="G918" s="7">
        <f>Raw_Data!I918</f>
        <v/>
      </c>
      <c r="H918" s="2">
        <f>Raw_Data!J918</f>
        <v/>
      </c>
      <c r="I918" s="2">
        <f>IF(G918="",0,G918-B918)</f>
        <v/>
      </c>
      <c r="J918" s="2">
        <f>IF(H918="Paid",MAX(0,G918-F918),MAX(0,DATE(2026,12,31)-F918))</f>
        <v/>
      </c>
      <c r="K918" s="8">
        <f>IF(H918="Paid",0,E918)</f>
        <v/>
      </c>
      <c r="L918" s="2">
        <f>IF(J918=0,"Current",IF(J918&lt;=30,"1-30 Days",IF(J918&lt;=60,"31-60 Days",IF(J918&lt;=90,"61-90 Days","90+ Days"))))</f>
        <v/>
      </c>
      <c r="M918" s="8">
        <f>IF(Raw_Data!K918="Yes",Raw_Data!F918*Raw_Data!L918,0)</f>
        <v/>
      </c>
      <c r="N918" s="2">
        <f>IF(H918&lt;&gt;"Paid","Outstanding",IF(J918=0,"On Time","Late"))</f>
        <v/>
      </c>
    </row>
    <row r="919">
      <c r="A919" s="2">
        <f>Raw_Data!A919</f>
        <v/>
      </c>
      <c r="B919" s="7">
        <f>Raw_Data!B919</f>
        <v/>
      </c>
      <c r="C919" s="2">
        <f>Raw_Data!C919</f>
        <v/>
      </c>
      <c r="D919" s="2">
        <f>Raw_Data!D919</f>
        <v/>
      </c>
      <c r="E919" s="8">
        <f>Raw_Data!F919</f>
        <v/>
      </c>
      <c r="F919" s="7">
        <f>Raw_Data!H919</f>
        <v/>
      </c>
      <c r="G919" s="7">
        <f>Raw_Data!I919</f>
        <v/>
      </c>
      <c r="H919" s="2">
        <f>Raw_Data!J919</f>
        <v/>
      </c>
      <c r="I919" s="2">
        <f>IF(G919="",0,G919-B919)</f>
        <v/>
      </c>
      <c r="J919" s="2">
        <f>IF(H919="Paid",MAX(0,G919-F919),MAX(0,DATE(2026,12,31)-F919))</f>
        <v/>
      </c>
      <c r="K919" s="8">
        <f>IF(H919="Paid",0,E919)</f>
        <v/>
      </c>
      <c r="L919" s="2">
        <f>IF(J919=0,"Current",IF(J919&lt;=30,"1-30 Days",IF(J919&lt;=60,"31-60 Days",IF(J919&lt;=90,"61-90 Days","90+ Days"))))</f>
        <v/>
      </c>
      <c r="M919" s="8">
        <f>IF(Raw_Data!K919="Yes",Raw_Data!F919*Raw_Data!L919,0)</f>
        <v/>
      </c>
      <c r="N919" s="2">
        <f>IF(H919&lt;&gt;"Paid","Outstanding",IF(J919=0,"On Time","Late"))</f>
        <v/>
      </c>
    </row>
    <row r="920">
      <c r="A920" s="2">
        <f>Raw_Data!A920</f>
        <v/>
      </c>
      <c r="B920" s="7">
        <f>Raw_Data!B920</f>
        <v/>
      </c>
      <c r="C920" s="2">
        <f>Raw_Data!C920</f>
        <v/>
      </c>
      <c r="D920" s="2">
        <f>Raw_Data!D920</f>
        <v/>
      </c>
      <c r="E920" s="8">
        <f>Raw_Data!F920</f>
        <v/>
      </c>
      <c r="F920" s="7">
        <f>Raw_Data!H920</f>
        <v/>
      </c>
      <c r="G920" s="7">
        <f>Raw_Data!I920</f>
        <v/>
      </c>
      <c r="H920" s="2">
        <f>Raw_Data!J920</f>
        <v/>
      </c>
      <c r="I920" s="2">
        <f>IF(G920="",0,G920-B920)</f>
        <v/>
      </c>
      <c r="J920" s="2">
        <f>IF(H920="Paid",MAX(0,G920-F920),MAX(0,DATE(2026,12,31)-F920))</f>
        <v/>
      </c>
      <c r="K920" s="8">
        <f>IF(H920="Paid",0,E920)</f>
        <v/>
      </c>
      <c r="L920" s="2">
        <f>IF(J920=0,"Current",IF(J920&lt;=30,"1-30 Days",IF(J920&lt;=60,"31-60 Days",IF(J920&lt;=90,"61-90 Days","90+ Days"))))</f>
        <v/>
      </c>
      <c r="M920" s="8">
        <f>IF(Raw_Data!K920="Yes",Raw_Data!F920*Raw_Data!L920,0)</f>
        <v/>
      </c>
      <c r="N920" s="2">
        <f>IF(H920&lt;&gt;"Paid","Outstanding",IF(J920=0,"On Time","Late"))</f>
        <v/>
      </c>
    </row>
    <row r="921">
      <c r="A921" s="2">
        <f>Raw_Data!A921</f>
        <v/>
      </c>
      <c r="B921" s="7">
        <f>Raw_Data!B921</f>
        <v/>
      </c>
      <c r="C921" s="2">
        <f>Raw_Data!C921</f>
        <v/>
      </c>
      <c r="D921" s="2">
        <f>Raw_Data!D921</f>
        <v/>
      </c>
      <c r="E921" s="8">
        <f>Raw_Data!F921</f>
        <v/>
      </c>
      <c r="F921" s="7">
        <f>Raw_Data!H921</f>
        <v/>
      </c>
      <c r="G921" s="7">
        <f>Raw_Data!I921</f>
        <v/>
      </c>
      <c r="H921" s="2">
        <f>Raw_Data!J921</f>
        <v/>
      </c>
      <c r="I921" s="2">
        <f>IF(G921="",0,G921-B921)</f>
        <v/>
      </c>
      <c r="J921" s="2">
        <f>IF(H921="Paid",MAX(0,G921-F921),MAX(0,DATE(2026,12,31)-F921))</f>
        <v/>
      </c>
      <c r="K921" s="8">
        <f>IF(H921="Paid",0,E921)</f>
        <v/>
      </c>
      <c r="L921" s="2">
        <f>IF(J921=0,"Current",IF(J921&lt;=30,"1-30 Days",IF(J921&lt;=60,"31-60 Days",IF(J921&lt;=90,"61-90 Days","90+ Days"))))</f>
        <v/>
      </c>
      <c r="M921" s="8">
        <f>IF(Raw_Data!K921="Yes",Raw_Data!F921*Raw_Data!L921,0)</f>
        <v/>
      </c>
      <c r="N921" s="2">
        <f>IF(H921&lt;&gt;"Paid","Outstanding",IF(J921=0,"On Time","Late"))</f>
        <v/>
      </c>
    </row>
    <row r="922">
      <c r="A922" s="2">
        <f>Raw_Data!A922</f>
        <v/>
      </c>
      <c r="B922" s="7">
        <f>Raw_Data!B922</f>
        <v/>
      </c>
      <c r="C922" s="2">
        <f>Raw_Data!C922</f>
        <v/>
      </c>
      <c r="D922" s="2">
        <f>Raw_Data!D922</f>
        <v/>
      </c>
      <c r="E922" s="8">
        <f>Raw_Data!F922</f>
        <v/>
      </c>
      <c r="F922" s="7">
        <f>Raw_Data!H922</f>
        <v/>
      </c>
      <c r="G922" s="7">
        <f>Raw_Data!I922</f>
        <v/>
      </c>
      <c r="H922" s="2">
        <f>Raw_Data!J922</f>
        <v/>
      </c>
      <c r="I922" s="2">
        <f>IF(G922="",0,G922-B922)</f>
        <v/>
      </c>
      <c r="J922" s="2">
        <f>IF(H922="Paid",MAX(0,G922-F922),MAX(0,DATE(2026,12,31)-F922))</f>
        <v/>
      </c>
      <c r="K922" s="8">
        <f>IF(H922="Paid",0,E922)</f>
        <v/>
      </c>
      <c r="L922" s="2">
        <f>IF(J922=0,"Current",IF(J922&lt;=30,"1-30 Days",IF(J922&lt;=60,"31-60 Days",IF(J922&lt;=90,"61-90 Days","90+ Days"))))</f>
        <v/>
      </c>
      <c r="M922" s="8">
        <f>IF(Raw_Data!K922="Yes",Raw_Data!F922*Raw_Data!L922,0)</f>
        <v/>
      </c>
      <c r="N922" s="2">
        <f>IF(H922&lt;&gt;"Paid","Outstanding",IF(J922=0,"On Time","Late"))</f>
        <v/>
      </c>
    </row>
    <row r="923">
      <c r="A923" s="2">
        <f>Raw_Data!A923</f>
        <v/>
      </c>
      <c r="B923" s="7">
        <f>Raw_Data!B923</f>
        <v/>
      </c>
      <c r="C923" s="2">
        <f>Raw_Data!C923</f>
        <v/>
      </c>
      <c r="D923" s="2">
        <f>Raw_Data!D923</f>
        <v/>
      </c>
      <c r="E923" s="8">
        <f>Raw_Data!F923</f>
        <v/>
      </c>
      <c r="F923" s="7">
        <f>Raw_Data!H923</f>
        <v/>
      </c>
      <c r="G923" s="7">
        <f>Raw_Data!I923</f>
        <v/>
      </c>
      <c r="H923" s="2">
        <f>Raw_Data!J923</f>
        <v/>
      </c>
      <c r="I923" s="2">
        <f>IF(G923="",0,G923-B923)</f>
        <v/>
      </c>
      <c r="J923" s="2">
        <f>IF(H923="Paid",MAX(0,G923-F923),MAX(0,DATE(2026,12,31)-F923))</f>
        <v/>
      </c>
      <c r="K923" s="8">
        <f>IF(H923="Paid",0,E923)</f>
        <v/>
      </c>
      <c r="L923" s="2">
        <f>IF(J923=0,"Current",IF(J923&lt;=30,"1-30 Days",IF(J923&lt;=60,"31-60 Days",IF(J923&lt;=90,"61-90 Days","90+ Days"))))</f>
        <v/>
      </c>
      <c r="M923" s="8">
        <f>IF(Raw_Data!K923="Yes",Raw_Data!F923*Raw_Data!L923,0)</f>
        <v/>
      </c>
      <c r="N923" s="2">
        <f>IF(H923&lt;&gt;"Paid","Outstanding",IF(J923=0,"On Time","Late"))</f>
        <v/>
      </c>
    </row>
    <row r="924">
      <c r="A924" s="2">
        <f>Raw_Data!A924</f>
        <v/>
      </c>
      <c r="B924" s="7">
        <f>Raw_Data!B924</f>
        <v/>
      </c>
      <c r="C924" s="2">
        <f>Raw_Data!C924</f>
        <v/>
      </c>
      <c r="D924" s="2">
        <f>Raw_Data!D924</f>
        <v/>
      </c>
      <c r="E924" s="8">
        <f>Raw_Data!F924</f>
        <v/>
      </c>
      <c r="F924" s="7">
        <f>Raw_Data!H924</f>
        <v/>
      </c>
      <c r="G924" s="7">
        <f>Raw_Data!I924</f>
        <v/>
      </c>
      <c r="H924" s="2">
        <f>Raw_Data!J924</f>
        <v/>
      </c>
      <c r="I924" s="2">
        <f>IF(G924="",0,G924-B924)</f>
        <v/>
      </c>
      <c r="J924" s="2">
        <f>IF(H924="Paid",MAX(0,G924-F924),MAX(0,DATE(2026,12,31)-F924))</f>
        <v/>
      </c>
      <c r="K924" s="8">
        <f>IF(H924="Paid",0,E924)</f>
        <v/>
      </c>
      <c r="L924" s="2">
        <f>IF(J924=0,"Current",IF(J924&lt;=30,"1-30 Days",IF(J924&lt;=60,"31-60 Days",IF(J924&lt;=90,"61-90 Days","90+ Days"))))</f>
        <v/>
      </c>
      <c r="M924" s="8">
        <f>IF(Raw_Data!K924="Yes",Raw_Data!F924*Raw_Data!L924,0)</f>
        <v/>
      </c>
      <c r="N924" s="2">
        <f>IF(H924&lt;&gt;"Paid","Outstanding",IF(J924=0,"On Time","Late"))</f>
        <v/>
      </c>
    </row>
    <row r="925">
      <c r="A925" s="2">
        <f>Raw_Data!A925</f>
        <v/>
      </c>
      <c r="B925" s="7">
        <f>Raw_Data!B925</f>
        <v/>
      </c>
      <c r="C925" s="2">
        <f>Raw_Data!C925</f>
        <v/>
      </c>
      <c r="D925" s="2">
        <f>Raw_Data!D925</f>
        <v/>
      </c>
      <c r="E925" s="8">
        <f>Raw_Data!F925</f>
        <v/>
      </c>
      <c r="F925" s="7">
        <f>Raw_Data!H925</f>
        <v/>
      </c>
      <c r="G925" s="7">
        <f>Raw_Data!I925</f>
        <v/>
      </c>
      <c r="H925" s="2">
        <f>Raw_Data!J925</f>
        <v/>
      </c>
      <c r="I925" s="2">
        <f>IF(G925="",0,G925-B925)</f>
        <v/>
      </c>
      <c r="J925" s="2">
        <f>IF(H925="Paid",MAX(0,G925-F925),MAX(0,DATE(2026,12,31)-F925))</f>
        <v/>
      </c>
      <c r="K925" s="8">
        <f>IF(H925="Paid",0,E925)</f>
        <v/>
      </c>
      <c r="L925" s="2">
        <f>IF(J925=0,"Current",IF(J925&lt;=30,"1-30 Days",IF(J925&lt;=60,"31-60 Days",IF(J925&lt;=90,"61-90 Days","90+ Days"))))</f>
        <v/>
      </c>
      <c r="M925" s="8">
        <f>IF(Raw_Data!K925="Yes",Raw_Data!F925*Raw_Data!L925,0)</f>
        <v/>
      </c>
      <c r="N925" s="2">
        <f>IF(H925&lt;&gt;"Paid","Outstanding",IF(J925=0,"On Time","Late"))</f>
        <v/>
      </c>
    </row>
    <row r="926">
      <c r="A926" s="2">
        <f>Raw_Data!A926</f>
        <v/>
      </c>
      <c r="B926" s="7">
        <f>Raw_Data!B926</f>
        <v/>
      </c>
      <c r="C926" s="2">
        <f>Raw_Data!C926</f>
        <v/>
      </c>
      <c r="D926" s="2">
        <f>Raw_Data!D926</f>
        <v/>
      </c>
      <c r="E926" s="8">
        <f>Raw_Data!F926</f>
        <v/>
      </c>
      <c r="F926" s="7">
        <f>Raw_Data!H926</f>
        <v/>
      </c>
      <c r="G926" s="7">
        <f>Raw_Data!I926</f>
        <v/>
      </c>
      <c r="H926" s="2">
        <f>Raw_Data!J926</f>
        <v/>
      </c>
      <c r="I926" s="2">
        <f>IF(G926="",0,G926-B926)</f>
        <v/>
      </c>
      <c r="J926" s="2">
        <f>IF(H926="Paid",MAX(0,G926-F926),MAX(0,DATE(2026,12,31)-F926))</f>
        <v/>
      </c>
      <c r="K926" s="8">
        <f>IF(H926="Paid",0,E926)</f>
        <v/>
      </c>
      <c r="L926" s="2">
        <f>IF(J926=0,"Current",IF(J926&lt;=30,"1-30 Days",IF(J926&lt;=60,"31-60 Days",IF(J926&lt;=90,"61-90 Days","90+ Days"))))</f>
        <v/>
      </c>
      <c r="M926" s="8">
        <f>IF(Raw_Data!K926="Yes",Raw_Data!F926*Raw_Data!L926,0)</f>
        <v/>
      </c>
      <c r="N926" s="2">
        <f>IF(H926&lt;&gt;"Paid","Outstanding",IF(J926=0,"On Time","Late"))</f>
        <v/>
      </c>
    </row>
    <row r="927">
      <c r="A927" s="2">
        <f>Raw_Data!A927</f>
        <v/>
      </c>
      <c r="B927" s="7">
        <f>Raw_Data!B927</f>
        <v/>
      </c>
      <c r="C927" s="2">
        <f>Raw_Data!C927</f>
        <v/>
      </c>
      <c r="D927" s="2">
        <f>Raw_Data!D927</f>
        <v/>
      </c>
      <c r="E927" s="8">
        <f>Raw_Data!F927</f>
        <v/>
      </c>
      <c r="F927" s="7">
        <f>Raw_Data!H927</f>
        <v/>
      </c>
      <c r="G927" s="7">
        <f>Raw_Data!I927</f>
        <v/>
      </c>
      <c r="H927" s="2">
        <f>Raw_Data!J927</f>
        <v/>
      </c>
      <c r="I927" s="2">
        <f>IF(G927="",0,G927-B927)</f>
        <v/>
      </c>
      <c r="J927" s="2">
        <f>IF(H927="Paid",MAX(0,G927-F927),MAX(0,DATE(2026,12,31)-F927))</f>
        <v/>
      </c>
      <c r="K927" s="8">
        <f>IF(H927="Paid",0,E927)</f>
        <v/>
      </c>
      <c r="L927" s="2">
        <f>IF(J927=0,"Current",IF(J927&lt;=30,"1-30 Days",IF(J927&lt;=60,"31-60 Days",IF(J927&lt;=90,"61-90 Days","90+ Days"))))</f>
        <v/>
      </c>
      <c r="M927" s="8">
        <f>IF(Raw_Data!K927="Yes",Raw_Data!F927*Raw_Data!L927,0)</f>
        <v/>
      </c>
      <c r="N927" s="2">
        <f>IF(H927&lt;&gt;"Paid","Outstanding",IF(J927=0,"On Time","Late"))</f>
        <v/>
      </c>
    </row>
    <row r="928">
      <c r="A928" s="2">
        <f>Raw_Data!A928</f>
        <v/>
      </c>
      <c r="B928" s="7">
        <f>Raw_Data!B928</f>
        <v/>
      </c>
      <c r="C928" s="2">
        <f>Raw_Data!C928</f>
        <v/>
      </c>
      <c r="D928" s="2">
        <f>Raw_Data!D928</f>
        <v/>
      </c>
      <c r="E928" s="8">
        <f>Raw_Data!F928</f>
        <v/>
      </c>
      <c r="F928" s="7">
        <f>Raw_Data!H928</f>
        <v/>
      </c>
      <c r="G928" s="7">
        <f>Raw_Data!I928</f>
        <v/>
      </c>
      <c r="H928" s="2">
        <f>Raw_Data!J928</f>
        <v/>
      </c>
      <c r="I928" s="2">
        <f>IF(G928="",0,G928-B928)</f>
        <v/>
      </c>
      <c r="J928" s="2">
        <f>IF(H928="Paid",MAX(0,G928-F928),MAX(0,DATE(2026,12,31)-F928))</f>
        <v/>
      </c>
      <c r="K928" s="8">
        <f>IF(H928="Paid",0,E928)</f>
        <v/>
      </c>
      <c r="L928" s="2">
        <f>IF(J928=0,"Current",IF(J928&lt;=30,"1-30 Days",IF(J928&lt;=60,"31-60 Days",IF(J928&lt;=90,"61-90 Days","90+ Days"))))</f>
        <v/>
      </c>
      <c r="M928" s="8">
        <f>IF(Raw_Data!K928="Yes",Raw_Data!F928*Raw_Data!L928,0)</f>
        <v/>
      </c>
      <c r="N928" s="2">
        <f>IF(H928&lt;&gt;"Paid","Outstanding",IF(J928=0,"On Time","Late"))</f>
        <v/>
      </c>
    </row>
    <row r="929">
      <c r="A929" s="2">
        <f>Raw_Data!A929</f>
        <v/>
      </c>
      <c r="B929" s="7">
        <f>Raw_Data!B929</f>
        <v/>
      </c>
      <c r="C929" s="2">
        <f>Raw_Data!C929</f>
        <v/>
      </c>
      <c r="D929" s="2">
        <f>Raw_Data!D929</f>
        <v/>
      </c>
      <c r="E929" s="8">
        <f>Raw_Data!F929</f>
        <v/>
      </c>
      <c r="F929" s="7">
        <f>Raw_Data!H929</f>
        <v/>
      </c>
      <c r="G929" s="7">
        <f>Raw_Data!I929</f>
        <v/>
      </c>
      <c r="H929" s="2">
        <f>Raw_Data!J929</f>
        <v/>
      </c>
      <c r="I929" s="2">
        <f>IF(G929="",0,G929-B929)</f>
        <v/>
      </c>
      <c r="J929" s="2">
        <f>IF(H929="Paid",MAX(0,G929-F929),MAX(0,DATE(2026,12,31)-F929))</f>
        <v/>
      </c>
      <c r="K929" s="8">
        <f>IF(H929="Paid",0,E929)</f>
        <v/>
      </c>
      <c r="L929" s="2">
        <f>IF(J929=0,"Current",IF(J929&lt;=30,"1-30 Days",IF(J929&lt;=60,"31-60 Days",IF(J929&lt;=90,"61-90 Days","90+ Days"))))</f>
        <v/>
      </c>
      <c r="M929" s="8">
        <f>IF(Raw_Data!K929="Yes",Raw_Data!F929*Raw_Data!L929,0)</f>
        <v/>
      </c>
      <c r="N929" s="2">
        <f>IF(H929&lt;&gt;"Paid","Outstanding",IF(J929=0,"On Time","Late"))</f>
        <v/>
      </c>
    </row>
    <row r="930">
      <c r="A930" s="2">
        <f>Raw_Data!A930</f>
        <v/>
      </c>
      <c r="B930" s="7">
        <f>Raw_Data!B930</f>
        <v/>
      </c>
      <c r="C930" s="2">
        <f>Raw_Data!C930</f>
        <v/>
      </c>
      <c r="D930" s="2">
        <f>Raw_Data!D930</f>
        <v/>
      </c>
      <c r="E930" s="8">
        <f>Raw_Data!F930</f>
        <v/>
      </c>
      <c r="F930" s="7">
        <f>Raw_Data!H930</f>
        <v/>
      </c>
      <c r="G930" s="7">
        <f>Raw_Data!I930</f>
        <v/>
      </c>
      <c r="H930" s="2">
        <f>Raw_Data!J930</f>
        <v/>
      </c>
      <c r="I930" s="2">
        <f>IF(G930="",0,G930-B930)</f>
        <v/>
      </c>
      <c r="J930" s="2">
        <f>IF(H930="Paid",MAX(0,G930-F930),MAX(0,DATE(2026,12,31)-F930))</f>
        <v/>
      </c>
      <c r="K930" s="8">
        <f>IF(H930="Paid",0,E930)</f>
        <v/>
      </c>
      <c r="L930" s="2">
        <f>IF(J930=0,"Current",IF(J930&lt;=30,"1-30 Days",IF(J930&lt;=60,"31-60 Days",IF(J930&lt;=90,"61-90 Days","90+ Days"))))</f>
        <v/>
      </c>
      <c r="M930" s="8">
        <f>IF(Raw_Data!K930="Yes",Raw_Data!F930*Raw_Data!L930,0)</f>
        <v/>
      </c>
      <c r="N930" s="2">
        <f>IF(H930&lt;&gt;"Paid","Outstanding",IF(J930=0,"On Time","Late"))</f>
        <v/>
      </c>
    </row>
    <row r="931">
      <c r="A931" s="2">
        <f>Raw_Data!A931</f>
        <v/>
      </c>
      <c r="B931" s="7">
        <f>Raw_Data!B931</f>
        <v/>
      </c>
      <c r="C931" s="2">
        <f>Raw_Data!C931</f>
        <v/>
      </c>
      <c r="D931" s="2">
        <f>Raw_Data!D931</f>
        <v/>
      </c>
      <c r="E931" s="8">
        <f>Raw_Data!F931</f>
        <v/>
      </c>
      <c r="F931" s="7">
        <f>Raw_Data!H931</f>
        <v/>
      </c>
      <c r="G931" s="7">
        <f>Raw_Data!I931</f>
        <v/>
      </c>
      <c r="H931" s="2">
        <f>Raw_Data!J931</f>
        <v/>
      </c>
      <c r="I931" s="2">
        <f>IF(G931="",0,G931-B931)</f>
        <v/>
      </c>
      <c r="J931" s="2">
        <f>IF(H931="Paid",MAX(0,G931-F931),MAX(0,DATE(2026,12,31)-F931))</f>
        <v/>
      </c>
      <c r="K931" s="8">
        <f>IF(H931="Paid",0,E931)</f>
        <v/>
      </c>
      <c r="L931" s="2">
        <f>IF(J931=0,"Current",IF(J931&lt;=30,"1-30 Days",IF(J931&lt;=60,"31-60 Days",IF(J931&lt;=90,"61-90 Days","90+ Days"))))</f>
        <v/>
      </c>
      <c r="M931" s="8">
        <f>IF(Raw_Data!K931="Yes",Raw_Data!F931*Raw_Data!L931,0)</f>
        <v/>
      </c>
      <c r="N931" s="2">
        <f>IF(H931&lt;&gt;"Paid","Outstanding",IF(J931=0,"On Time","Late"))</f>
        <v/>
      </c>
    </row>
    <row r="932">
      <c r="A932" s="2">
        <f>Raw_Data!A932</f>
        <v/>
      </c>
      <c r="B932" s="7">
        <f>Raw_Data!B932</f>
        <v/>
      </c>
      <c r="C932" s="2">
        <f>Raw_Data!C932</f>
        <v/>
      </c>
      <c r="D932" s="2">
        <f>Raw_Data!D932</f>
        <v/>
      </c>
      <c r="E932" s="8">
        <f>Raw_Data!F932</f>
        <v/>
      </c>
      <c r="F932" s="7">
        <f>Raw_Data!H932</f>
        <v/>
      </c>
      <c r="G932" s="7">
        <f>Raw_Data!I932</f>
        <v/>
      </c>
      <c r="H932" s="2">
        <f>Raw_Data!J932</f>
        <v/>
      </c>
      <c r="I932" s="2">
        <f>IF(G932="",0,G932-B932)</f>
        <v/>
      </c>
      <c r="J932" s="2">
        <f>IF(H932="Paid",MAX(0,G932-F932),MAX(0,DATE(2026,12,31)-F932))</f>
        <v/>
      </c>
      <c r="K932" s="8">
        <f>IF(H932="Paid",0,E932)</f>
        <v/>
      </c>
      <c r="L932" s="2">
        <f>IF(J932=0,"Current",IF(J932&lt;=30,"1-30 Days",IF(J932&lt;=60,"31-60 Days",IF(J932&lt;=90,"61-90 Days","90+ Days"))))</f>
        <v/>
      </c>
      <c r="M932" s="8">
        <f>IF(Raw_Data!K932="Yes",Raw_Data!F932*Raw_Data!L932,0)</f>
        <v/>
      </c>
      <c r="N932" s="2">
        <f>IF(H932&lt;&gt;"Paid","Outstanding",IF(J932=0,"On Time","Late"))</f>
        <v/>
      </c>
    </row>
    <row r="933">
      <c r="A933" s="2">
        <f>Raw_Data!A933</f>
        <v/>
      </c>
      <c r="B933" s="7">
        <f>Raw_Data!B933</f>
        <v/>
      </c>
      <c r="C933" s="2">
        <f>Raw_Data!C933</f>
        <v/>
      </c>
      <c r="D933" s="2">
        <f>Raw_Data!D933</f>
        <v/>
      </c>
      <c r="E933" s="8">
        <f>Raw_Data!F933</f>
        <v/>
      </c>
      <c r="F933" s="7">
        <f>Raw_Data!H933</f>
        <v/>
      </c>
      <c r="G933" s="7">
        <f>Raw_Data!I933</f>
        <v/>
      </c>
      <c r="H933" s="2">
        <f>Raw_Data!J933</f>
        <v/>
      </c>
      <c r="I933" s="2">
        <f>IF(G933="",0,G933-B933)</f>
        <v/>
      </c>
      <c r="J933" s="2">
        <f>IF(H933="Paid",MAX(0,G933-F933),MAX(0,DATE(2026,12,31)-F933))</f>
        <v/>
      </c>
      <c r="K933" s="8">
        <f>IF(H933="Paid",0,E933)</f>
        <v/>
      </c>
      <c r="L933" s="2">
        <f>IF(J933=0,"Current",IF(J933&lt;=30,"1-30 Days",IF(J933&lt;=60,"31-60 Days",IF(J933&lt;=90,"61-90 Days","90+ Days"))))</f>
        <v/>
      </c>
      <c r="M933" s="8">
        <f>IF(Raw_Data!K933="Yes",Raw_Data!F933*Raw_Data!L933,0)</f>
        <v/>
      </c>
      <c r="N933" s="2">
        <f>IF(H933&lt;&gt;"Paid","Outstanding",IF(J933=0,"On Time","Late"))</f>
        <v/>
      </c>
    </row>
    <row r="934">
      <c r="A934" s="2">
        <f>Raw_Data!A934</f>
        <v/>
      </c>
      <c r="B934" s="7">
        <f>Raw_Data!B934</f>
        <v/>
      </c>
      <c r="C934" s="2">
        <f>Raw_Data!C934</f>
        <v/>
      </c>
      <c r="D934" s="2">
        <f>Raw_Data!D934</f>
        <v/>
      </c>
      <c r="E934" s="8">
        <f>Raw_Data!F934</f>
        <v/>
      </c>
      <c r="F934" s="7">
        <f>Raw_Data!H934</f>
        <v/>
      </c>
      <c r="G934" s="7">
        <f>Raw_Data!I934</f>
        <v/>
      </c>
      <c r="H934" s="2">
        <f>Raw_Data!J934</f>
        <v/>
      </c>
      <c r="I934" s="2">
        <f>IF(G934="",0,G934-B934)</f>
        <v/>
      </c>
      <c r="J934" s="2">
        <f>IF(H934="Paid",MAX(0,G934-F934),MAX(0,DATE(2026,12,31)-F934))</f>
        <v/>
      </c>
      <c r="K934" s="8">
        <f>IF(H934="Paid",0,E934)</f>
        <v/>
      </c>
      <c r="L934" s="2">
        <f>IF(J934=0,"Current",IF(J934&lt;=30,"1-30 Days",IF(J934&lt;=60,"31-60 Days",IF(J934&lt;=90,"61-90 Days","90+ Days"))))</f>
        <v/>
      </c>
      <c r="M934" s="8">
        <f>IF(Raw_Data!K934="Yes",Raw_Data!F934*Raw_Data!L934,0)</f>
        <v/>
      </c>
      <c r="N934" s="2">
        <f>IF(H934&lt;&gt;"Paid","Outstanding",IF(J934=0,"On Time","Late"))</f>
        <v/>
      </c>
    </row>
    <row r="935">
      <c r="A935" s="2">
        <f>Raw_Data!A935</f>
        <v/>
      </c>
      <c r="B935" s="7">
        <f>Raw_Data!B935</f>
        <v/>
      </c>
      <c r="C935" s="2">
        <f>Raw_Data!C935</f>
        <v/>
      </c>
      <c r="D935" s="2">
        <f>Raw_Data!D935</f>
        <v/>
      </c>
      <c r="E935" s="8">
        <f>Raw_Data!F935</f>
        <v/>
      </c>
      <c r="F935" s="7">
        <f>Raw_Data!H935</f>
        <v/>
      </c>
      <c r="G935" s="7">
        <f>Raw_Data!I935</f>
        <v/>
      </c>
      <c r="H935" s="2">
        <f>Raw_Data!J935</f>
        <v/>
      </c>
      <c r="I935" s="2">
        <f>IF(G935="",0,G935-B935)</f>
        <v/>
      </c>
      <c r="J935" s="2">
        <f>IF(H935="Paid",MAX(0,G935-F935),MAX(0,DATE(2026,12,31)-F935))</f>
        <v/>
      </c>
      <c r="K935" s="8">
        <f>IF(H935="Paid",0,E935)</f>
        <v/>
      </c>
      <c r="L935" s="2">
        <f>IF(J935=0,"Current",IF(J935&lt;=30,"1-30 Days",IF(J935&lt;=60,"31-60 Days",IF(J935&lt;=90,"61-90 Days","90+ Days"))))</f>
        <v/>
      </c>
      <c r="M935" s="8">
        <f>IF(Raw_Data!K935="Yes",Raw_Data!F935*Raw_Data!L935,0)</f>
        <v/>
      </c>
      <c r="N935" s="2">
        <f>IF(H935&lt;&gt;"Paid","Outstanding",IF(J935=0,"On Time","Late"))</f>
        <v/>
      </c>
    </row>
    <row r="936">
      <c r="A936" s="2">
        <f>Raw_Data!A936</f>
        <v/>
      </c>
      <c r="B936" s="7">
        <f>Raw_Data!B936</f>
        <v/>
      </c>
      <c r="C936" s="2">
        <f>Raw_Data!C936</f>
        <v/>
      </c>
      <c r="D936" s="2">
        <f>Raw_Data!D936</f>
        <v/>
      </c>
      <c r="E936" s="8">
        <f>Raw_Data!F936</f>
        <v/>
      </c>
      <c r="F936" s="7">
        <f>Raw_Data!H936</f>
        <v/>
      </c>
      <c r="G936" s="7">
        <f>Raw_Data!I936</f>
        <v/>
      </c>
      <c r="H936" s="2">
        <f>Raw_Data!J936</f>
        <v/>
      </c>
      <c r="I936" s="2">
        <f>IF(G936="",0,G936-B936)</f>
        <v/>
      </c>
      <c r="J936" s="2">
        <f>IF(H936="Paid",MAX(0,G936-F936),MAX(0,DATE(2026,12,31)-F936))</f>
        <v/>
      </c>
      <c r="K936" s="8">
        <f>IF(H936="Paid",0,E936)</f>
        <v/>
      </c>
      <c r="L936" s="2">
        <f>IF(J936=0,"Current",IF(J936&lt;=30,"1-30 Days",IF(J936&lt;=60,"31-60 Days",IF(J936&lt;=90,"61-90 Days","90+ Days"))))</f>
        <v/>
      </c>
      <c r="M936" s="8">
        <f>IF(Raw_Data!K936="Yes",Raw_Data!F936*Raw_Data!L936,0)</f>
        <v/>
      </c>
      <c r="N936" s="2">
        <f>IF(H936&lt;&gt;"Paid","Outstanding",IF(J936=0,"On Time","Late"))</f>
        <v/>
      </c>
    </row>
    <row r="937">
      <c r="A937" s="2">
        <f>Raw_Data!A937</f>
        <v/>
      </c>
      <c r="B937" s="7">
        <f>Raw_Data!B937</f>
        <v/>
      </c>
      <c r="C937" s="2">
        <f>Raw_Data!C937</f>
        <v/>
      </c>
      <c r="D937" s="2">
        <f>Raw_Data!D937</f>
        <v/>
      </c>
      <c r="E937" s="8">
        <f>Raw_Data!F937</f>
        <v/>
      </c>
      <c r="F937" s="7">
        <f>Raw_Data!H937</f>
        <v/>
      </c>
      <c r="G937" s="7">
        <f>Raw_Data!I937</f>
        <v/>
      </c>
      <c r="H937" s="2">
        <f>Raw_Data!J937</f>
        <v/>
      </c>
      <c r="I937" s="2">
        <f>IF(G937="",0,G937-B937)</f>
        <v/>
      </c>
      <c r="J937" s="2">
        <f>IF(H937="Paid",MAX(0,G937-F937),MAX(0,DATE(2026,12,31)-F937))</f>
        <v/>
      </c>
      <c r="K937" s="8">
        <f>IF(H937="Paid",0,E937)</f>
        <v/>
      </c>
      <c r="L937" s="2">
        <f>IF(J937=0,"Current",IF(J937&lt;=30,"1-30 Days",IF(J937&lt;=60,"31-60 Days",IF(J937&lt;=90,"61-90 Days","90+ Days"))))</f>
        <v/>
      </c>
      <c r="M937" s="8">
        <f>IF(Raw_Data!K937="Yes",Raw_Data!F937*Raw_Data!L937,0)</f>
        <v/>
      </c>
      <c r="N937" s="2">
        <f>IF(H937&lt;&gt;"Paid","Outstanding",IF(J937=0,"On Time","Late"))</f>
        <v/>
      </c>
    </row>
    <row r="938">
      <c r="A938" s="2">
        <f>Raw_Data!A938</f>
        <v/>
      </c>
      <c r="B938" s="7">
        <f>Raw_Data!B938</f>
        <v/>
      </c>
      <c r="C938" s="2">
        <f>Raw_Data!C938</f>
        <v/>
      </c>
      <c r="D938" s="2">
        <f>Raw_Data!D938</f>
        <v/>
      </c>
      <c r="E938" s="8">
        <f>Raw_Data!F938</f>
        <v/>
      </c>
      <c r="F938" s="7">
        <f>Raw_Data!H938</f>
        <v/>
      </c>
      <c r="G938" s="7">
        <f>Raw_Data!I938</f>
        <v/>
      </c>
      <c r="H938" s="2">
        <f>Raw_Data!J938</f>
        <v/>
      </c>
      <c r="I938" s="2">
        <f>IF(G938="",0,G938-B938)</f>
        <v/>
      </c>
      <c r="J938" s="2">
        <f>IF(H938="Paid",MAX(0,G938-F938),MAX(0,DATE(2026,12,31)-F938))</f>
        <v/>
      </c>
      <c r="K938" s="8">
        <f>IF(H938="Paid",0,E938)</f>
        <v/>
      </c>
      <c r="L938" s="2">
        <f>IF(J938=0,"Current",IF(J938&lt;=30,"1-30 Days",IF(J938&lt;=60,"31-60 Days",IF(J938&lt;=90,"61-90 Days","90+ Days"))))</f>
        <v/>
      </c>
      <c r="M938" s="8">
        <f>IF(Raw_Data!K938="Yes",Raw_Data!F938*Raw_Data!L938,0)</f>
        <v/>
      </c>
      <c r="N938" s="2">
        <f>IF(H938&lt;&gt;"Paid","Outstanding",IF(J938=0,"On Time","Late"))</f>
        <v/>
      </c>
    </row>
    <row r="939">
      <c r="A939" s="2">
        <f>Raw_Data!A939</f>
        <v/>
      </c>
      <c r="B939" s="7">
        <f>Raw_Data!B939</f>
        <v/>
      </c>
      <c r="C939" s="2">
        <f>Raw_Data!C939</f>
        <v/>
      </c>
      <c r="D939" s="2">
        <f>Raw_Data!D939</f>
        <v/>
      </c>
      <c r="E939" s="8">
        <f>Raw_Data!F939</f>
        <v/>
      </c>
      <c r="F939" s="7">
        <f>Raw_Data!H939</f>
        <v/>
      </c>
      <c r="G939" s="7">
        <f>Raw_Data!I939</f>
        <v/>
      </c>
      <c r="H939" s="2">
        <f>Raw_Data!J939</f>
        <v/>
      </c>
      <c r="I939" s="2">
        <f>IF(G939="",0,G939-B939)</f>
        <v/>
      </c>
      <c r="J939" s="2">
        <f>IF(H939="Paid",MAX(0,G939-F939),MAX(0,DATE(2026,12,31)-F939))</f>
        <v/>
      </c>
      <c r="K939" s="8">
        <f>IF(H939="Paid",0,E939)</f>
        <v/>
      </c>
      <c r="L939" s="2">
        <f>IF(J939=0,"Current",IF(J939&lt;=30,"1-30 Days",IF(J939&lt;=60,"31-60 Days",IF(J939&lt;=90,"61-90 Days","90+ Days"))))</f>
        <v/>
      </c>
      <c r="M939" s="8">
        <f>IF(Raw_Data!K939="Yes",Raw_Data!F939*Raw_Data!L939,0)</f>
        <v/>
      </c>
      <c r="N939" s="2">
        <f>IF(H939&lt;&gt;"Paid","Outstanding",IF(J939=0,"On Time","Late"))</f>
        <v/>
      </c>
    </row>
    <row r="940">
      <c r="A940" s="2">
        <f>Raw_Data!A940</f>
        <v/>
      </c>
      <c r="B940" s="7">
        <f>Raw_Data!B940</f>
        <v/>
      </c>
      <c r="C940" s="2">
        <f>Raw_Data!C940</f>
        <v/>
      </c>
      <c r="D940" s="2">
        <f>Raw_Data!D940</f>
        <v/>
      </c>
      <c r="E940" s="8">
        <f>Raw_Data!F940</f>
        <v/>
      </c>
      <c r="F940" s="7">
        <f>Raw_Data!H940</f>
        <v/>
      </c>
      <c r="G940" s="7">
        <f>Raw_Data!I940</f>
        <v/>
      </c>
      <c r="H940" s="2">
        <f>Raw_Data!J940</f>
        <v/>
      </c>
      <c r="I940" s="2">
        <f>IF(G940="",0,G940-B940)</f>
        <v/>
      </c>
      <c r="J940" s="2">
        <f>IF(H940="Paid",MAX(0,G940-F940),MAX(0,DATE(2026,12,31)-F940))</f>
        <v/>
      </c>
      <c r="K940" s="8">
        <f>IF(H940="Paid",0,E940)</f>
        <v/>
      </c>
      <c r="L940" s="2">
        <f>IF(J940=0,"Current",IF(J940&lt;=30,"1-30 Days",IF(J940&lt;=60,"31-60 Days",IF(J940&lt;=90,"61-90 Days","90+ Days"))))</f>
        <v/>
      </c>
      <c r="M940" s="8">
        <f>IF(Raw_Data!K940="Yes",Raw_Data!F940*Raw_Data!L940,0)</f>
        <v/>
      </c>
      <c r="N940" s="2">
        <f>IF(H940&lt;&gt;"Paid","Outstanding",IF(J940=0,"On Time","Late"))</f>
        <v/>
      </c>
    </row>
    <row r="941">
      <c r="A941" s="2">
        <f>Raw_Data!A941</f>
        <v/>
      </c>
      <c r="B941" s="7">
        <f>Raw_Data!B941</f>
        <v/>
      </c>
      <c r="C941" s="2">
        <f>Raw_Data!C941</f>
        <v/>
      </c>
      <c r="D941" s="2">
        <f>Raw_Data!D941</f>
        <v/>
      </c>
      <c r="E941" s="8">
        <f>Raw_Data!F941</f>
        <v/>
      </c>
      <c r="F941" s="7">
        <f>Raw_Data!H941</f>
        <v/>
      </c>
      <c r="G941" s="7">
        <f>Raw_Data!I941</f>
        <v/>
      </c>
      <c r="H941" s="2">
        <f>Raw_Data!J941</f>
        <v/>
      </c>
      <c r="I941" s="2">
        <f>IF(G941="",0,G941-B941)</f>
        <v/>
      </c>
      <c r="J941" s="2">
        <f>IF(H941="Paid",MAX(0,G941-F941),MAX(0,DATE(2026,12,31)-F941))</f>
        <v/>
      </c>
      <c r="K941" s="8">
        <f>IF(H941="Paid",0,E941)</f>
        <v/>
      </c>
      <c r="L941" s="2">
        <f>IF(J941=0,"Current",IF(J941&lt;=30,"1-30 Days",IF(J941&lt;=60,"31-60 Days",IF(J941&lt;=90,"61-90 Days","90+ Days"))))</f>
        <v/>
      </c>
      <c r="M941" s="8">
        <f>IF(Raw_Data!K941="Yes",Raw_Data!F941*Raw_Data!L941,0)</f>
        <v/>
      </c>
      <c r="N941" s="2">
        <f>IF(H941&lt;&gt;"Paid","Outstanding",IF(J941=0,"On Time","Late"))</f>
        <v/>
      </c>
    </row>
    <row r="942">
      <c r="A942" s="2">
        <f>Raw_Data!A942</f>
        <v/>
      </c>
      <c r="B942" s="7">
        <f>Raw_Data!B942</f>
        <v/>
      </c>
      <c r="C942" s="2">
        <f>Raw_Data!C942</f>
        <v/>
      </c>
      <c r="D942" s="2">
        <f>Raw_Data!D942</f>
        <v/>
      </c>
      <c r="E942" s="8">
        <f>Raw_Data!F942</f>
        <v/>
      </c>
      <c r="F942" s="7">
        <f>Raw_Data!H942</f>
        <v/>
      </c>
      <c r="G942" s="7">
        <f>Raw_Data!I942</f>
        <v/>
      </c>
      <c r="H942" s="2">
        <f>Raw_Data!J942</f>
        <v/>
      </c>
      <c r="I942" s="2">
        <f>IF(G942="",0,G942-B942)</f>
        <v/>
      </c>
      <c r="J942" s="2">
        <f>IF(H942="Paid",MAX(0,G942-F942),MAX(0,DATE(2026,12,31)-F942))</f>
        <v/>
      </c>
      <c r="K942" s="8">
        <f>IF(H942="Paid",0,E942)</f>
        <v/>
      </c>
      <c r="L942" s="2">
        <f>IF(J942=0,"Current",IF(J942&lt;=30,"1-30 Days",IF(J942&lt;=60,"31-60 Days",IF(J942&lt;=90,"61-90 Days","90+ Days"))))</f>
        <v/>
      </c>
      <c r="M942" s="8">
        <f>IF(Raw_Data!K942="Yes",Raw_Data!F942*Raw_Data!L942,0)</f>
        <v/>
      </c>
      <c r="N942" s="2">
        <f>IF(H942&lt;&gt;"Paid","Outstanding",IF(J942=0,"On Time","Late"))</f>
        <v/>
      </c>
    </row>
    <row r="943">
      <c r="A943" s="2">
        <f>Raw_Data!A943</f>
        <v/>
      </c>
      <c r="B943" s="7">
        <f>Raw_Data!B943</f>
        <v/>
      </c>
      <c r="C943" s="2">
        <f>Raw_Data!C943</f>
        <v/>
      </c>
      <c r="D943" s="2">
        <f>Raw_Data!D943</f>
        <v/>
      </c>
      <c r="E943" s="8">
        <f>Raw_Data!F943</f>
        <v/>
      </c>
      <c r="F943" s="7">
        <f>Raw_Data!H943</f>
        <v/>
      </c>
      <c r="G943" s="7">
        <f>Raw_Data!I943</f>
        <v/>
      </c>
      <c r="H943" s="2">
        <f>Raw_Data!J943</f>
        <v/>
      </c>
      <c r="I943" s="2">
        <f>IF(G943="",0,G943-B943)</f>
        <v/>
      </c>
      <c r="J943" s="2">
        <f>IF(H943="Paid",MAX(0,G943-F943),MAX(0,DATE(2026,12,31)-F943))</f>
        <v/>
      </c>
      <c r="K943" s="8">
        <f>IF(H943="Paid",0,E943)</f>
        <v/>
      </c>
      <c r="L943" s="2">
        <f>IF(J943=0,"Current",IF(J943&lt;=30,"1-30 Days",IF(J943&lt;=60,"31-60 Days",IF(J943&lt;=90,"61-90 Days","90+ Days"))))</f>
        <v/>
      </c>
      <c r="M943" s="8">
        <f>IF(Raw_Data!K943="Yes",Raw_Data!F943*Raw_Data!L943,0)</f>
        <v/>
      </c>
      <c r="N943" s="2">
        <f>IF(H943&lt;&gt;"Paid","Outstanding",IF(J943=0,"On Time","Late"))</f>
        <v/>
      </c>
    </row>
    <row r="944">
      <c r="A944" s="2">
        <f>Raw_Data!A944</f>
        <v/>
      </c>
      <c r="B944" s="7">
        <f>Raw_Data!B944</f>
        <v/>
      </c>
      <c r="C944" s="2">
        <f>Raw_Data!C944</f>
        <v/>
      </c>
      <c r="D944" s="2">
        <f>Raw_Data!D944</f>
        <v/>
      </c>
      <c r="E944" s="8">
        <f>Raw_Data!F944</f>
        <v/>
      </c>
      <c r="F944" s="7">
        <f>Raw_Data!H944</f>
        <v/>
      </c>
      <c r="G944" s="7">
        <f>Raw_Data!I944</f>
        <v/>
      </c>
      <c r="H944" s="2">
        <f>Raw_Data!J944</f>
        <v/>
      </c>
      <c r="I944" s="2">
        <f>IF(G944="",0,G944-B944)</f>
        <v/>
      </c>
      <c r="J944" s="2">
        <f>IF(H944="Paid",MAX(0,G944-F944),MAX(0,DATE(2026,12,31)-F944))</f>
        <v/>
      </c>
      <c r="K944" s="8">
        <f>IF(H944="Paid",0,E944)</f>
        <v/>
      </c>
      <c r="L944" s="2">
        <f>IF(J944=0,"Current",IF(J944&lt;=30,"1-30 Days",IF(J944&lt;=60,"31-60 Days",IF(J944&lt;=90,"61-90 Days","90+ Days"))))</f>
        <v/>
      </c>
      <c r="M944" s="8">
        <f>IF(Raw_Data!K944="Yes",Raw_Data!F944*Raw_Data!L944,0)</f>
        <v/>
      </c>
      <c r="N944" s="2">
        <f>IF(H944&lt;&gt;"Paid","Outstanding",IF(J944=0,"On Time","Late"))</f>
        <v/>
      </c>
    </row>
    <row r="945">
      <c r="A945" s="2">
        <f>Raw_Data!A945</f>
        <v/>
      </c>
      <c r="B945" s="7">
        <f>Raw_Data!B945</f>
        <v/>
      </c>
      <c r="C945" s="2">
        <f>Raw_Data!C945</f>
        <v/>
      </c>
      <c r="D945" s="2">
        <f>Raw_Data!D945</f>
        <v/>
      </c>
      <c r="E945" s="8">
        <f>Raw_Data!F945</f>
        <v/>
      </c>
      <c r="F945" s="7">
        <f>Raw_Data!H945</f>
        <v/>
      </c>
      <c r="G945" s="7">
        <f>Raw_Data!I945</f>
        <v/>
      </c>
      <c r="H945" s="2">
        <f>Raw_Data!J945</f>
        <v/>
      </c>
      <c r="I945" s="2">
        <f>IF(G945="",0,G945-B945)</f>
        <v/>
      </c>
      <c r="J945" s="2">
        <f>IF(H945="Paid",MAX(0,G945-F945),MAX(0,DATE(2026,12,31)-F945))</f>
        <v/>
      </c>
      <c r="K945" s="8">
        <f>IF(H945="Paid",0,E945)</f>
        <v/>
      </c>
      <c r="L945" s="2">
        <f>IF(J945=0,"Current",IF(J945&lt;=30,"1-30 Days",IF(J945&lt;=60,"31-60 Days",IF(J945&lt;=90,"61-90 Days","90+ Days"))))</f>
        <v/>
      </c>
      <c r="M945" s="8">
        <f>IF(Raw_Data!K945="Yes",Raw_Data!F945*Raw_Data!L945,0)</f>
        <v/>
      </c>
      <c r="N945" s="2">
        <f>IF(H945&lt;&gt;"Paid","Outstanding",IF(J945=0,"On Time","Late"))</f>
        <v/>
      </c>
    </row>
    <row r="946">
      <c r="A946" s="2">
        <f>Raw_Data!A946</f>
        <v/>
      </c>
      <c r="B946" s="7">
        <f>Raw_Data!B946</f>
        <v/>
      </c>
      <c r="C946" s="2">
        <f>Raw_Data!C946</f>
        <v/>
      </c>
      <c r="D946" s="2">
        <f>Raw_Data!D946</f>
        <v/>
      </c>
      <c r="E946" s="8">
        <f>Raw_Data!F946</f>
        <v/>
      </c>
      <c r="F946" s="7">
        <f>Raw_Data!H946</f>
        <v/>
      </c>
      <c r="G946" s="7">
        <f>Raw_Data!I946</f>
        <v/>
      </c>
      <c r="H946" s="2">
        <f>Raw_Data!J946</f>
        <v/>
      </c>
      <c r="I946" s="2">
        <f>IF(G946="",0,G946-B946)</f>
        <v/>
      </c>
      <c r="J946" s="2">
        <f>IF(H946="Paid",MAX(0,G946-F946),MAX(0,DATE(2026,12,31)-F946))</f>
        <v/>
      </c>
      <c r="K946" s="8">
        <f>IF(H946="Paid",0,E946)</f>
        <v/>
      </c>
      <c r="L946" s="2">
        <f>IF(J946=0,"Current",IF(J946&lt;=30,"1-30 Days",IF(J946&lt;=60,"31-60 Days",IF(J946&lt;=90,"61-90 Days","90+ Days"))))</f>
        <v/>
      </c>
      <c r="M946" s="8">
        <f>IF(Raw_Data!K946="Yes",Raw_Data!F946*Raw_Data!L946,0)</f>
        <v/>
      </c>
      <c r="N946" s="2">
        <f>IF(H946&lt;&gt;"Paid","Outstanding",IF(J946=0,"On Time","Late"))</f>
        <v/>
      </c>
    </row>
    <row r="947">
      <c r="A947" s="2">
        <f>Raw_Data!A947</f>
        <v/>
      </c>
      <c r="B947" s="7">
        <f>Raw_Data!B947</f>
        <v/>
      </c>
      <c r="C947" s="2">
        <f>Raw_Data!C947</f>
        <v/>
      </c>
      <c r="D947" s="2">
        <f>Raw_Data!D947</f>
        <v/>
      </c>
      <c r="E947" s="8">
        <f>Raw_Data!F947</f>
        <v/>
      </c>
      <c r="F947" s="7">
        <f>Raw_Data!H947</f>
        <v/>
      </c>
      <c r="G947" s="7">
        <f>Raw_Data!I947</f>
        <v/>
      </c>
      <c r="H947" s="2">
        <f>Raw_Data!J947</f>
        <v/>
      </c>
      <c r="I947" s="2">
        <f>IF(G947="",0,G947-B947)</f>
        <v/>
      </c>
      <c r="J947" s="2">
        <f>IF(H947="Paid",MAX(0,G947-F947),MAX(0,DATE(2026,12,31)-F947))</f>
        <v/>
      </c>
      <c r="K947" s="8">
        <f>IF(H947="Paid",0,E947)</f>
        <v/>
      </c>
      <c r="L947" s="2">
        <f>IF(J947=0,"Current",IF(J947&lt;=30,"1-30 Days",IF(J947&lt;=60,"31-60 Days",IF(J947&lt;=90,"61-90 Days","90+ Days"))))</f>
        <v/>
      </c>
      <c r="M947" s="8">
        <f>IF(Raw_Data!K947="Yes",Raw_Data!F947*Raw_Data!L947,0)</f>
        <v/>
      </c>
      <c r="N947" s="2">
        <f>IF(H947&lt;&gt;"Paid","Outstanding",IF(J947=0,"On Time","Late"))</f>
        <v/>
      </c>
    </row>
    <row r="948">
      <c r="A948" s="2">
        <f>Raw_Data!A948</f>
        <v/>
      </c>
      <c r="B948" s="7">
        <f>Raw_Data!B948</f>
        <v/>
      </c>
      <c r="C948" s="2">
        <f>Raw_Data!C948</f>
        <v/>
      </c>
      <c r="D948" s="2">
        <f>Raw_Data!D948</f>
        <v/>
      </c>
      <c r="E948" s="8">
        <f>Raw_Data!F948</f>
        <v/>
      </c>
      <c r="F948" s="7">
        <f>Raw_Data!H948</f>
        <v/>
      </c>
      <c r="G948" s="7">
        <f>Raw_Data!I948</f>
        <v/>
      </c>
      <c r="H948" s="2">
        <f>Raw_Data!J948</f>
        <v/>
      </c>
      <c r="I948" s="2">
        <f>IF(G948="",0,G948-B948)</f>
        <v/>
      </c>
      <c r="J948" s="2">
        <f>IF(H948="Paid",MAX(0,G948-F948),MAX(0,DATE(2026,12,31)-F948))</f>
        <v/>
      </c>
      <c r="K948" s="8">
        <f>IF(H948="Paid",0,E948)</f>
        <v/>
      </c>
      <c r="L948" s="2">
        <f>IF(J948=0,"Current",IF(J948&lt;=30,"1-30 Days",IF(J948&lt;=60,"31-60 Days",IF(J948&lt;=90,"61-90 Days","90+ Days"))))</f>
        <v/>
      </c>
      <c r="M948" s="8">
        <f>IF(Raw_Data!K948="Yes",Raw_Data!F948*Raw_Data!L948,0)</f>
        <v/>
      </c>
      <c r="N948" s="2">
        <f>IF(H948&lt;&gt;"Paid","Outstanding",IF(J948=0,"On Time","Late"))</f>
        <v/>
      </c>
    </row>
    <row r="949">
      <c r="A949" s="2">
        <f>Raw_Data!A949</f>
        <v/>
      </c>
      <c r="B949" s="7">
        <f>Raw_Data!B949</f>
        <v/>
      </c>
      <c r="C949" s="2">
        <f>Raw_Data!C949</f>
        <v/>
      </c>
      <c r="D949" s="2">
        <f>Raw_Data!D949</f>
        <v/>
      </c>
      <c r="E949" s="8">
        <f>Raw_Data!F949</f>
        <v/>
      </c>
      <c r="F949" s="7">
        <f>Raw_Data!H949</f>
        <v/>
      </c>
      <c r="G949" s="7">
        <f>Raw_Data!I949</f>
        <v/>
      </c>
      <c r="H949" s="2">
        <f>Raw_Data!J949</f>
        <v/>
      </c>
      <c r="I949" s="2">
        <f>IF(G949="",0,G949-B949)</f>
        <v/>
      </c>
      <c r="J949" s="2">
        <f>IF(H949="Paid",MAX(0,G949-F949),MAX(0,DATE(2026,12,31)-F949))</f>
        <v/>
      </c>
      <c r="K949" s="8">
        <f>IF(H949="Paid",0,E949)</f>
        <v/>
      </c>
      <c r="L949" s="2">
        <f>IF(J949=0,"Current",IF(J949&lt;=30,"1-30 Days",IF(J949&lt;=60,"31-60 Days",IF(J949&lt;=90,"61-90 Days","90+ Days"))))</f>
        <v/>
      </c>
      <c r="M949" s="8">
        <f>IF(Raw_Data!K949="Yes",Raw_Data!F949*Raw_Data!L949,0)</f>
        <v/>
      </c>
      <c r="N949" s="2">
        <f>IF(H949&lt;&gt;"Paid","Outstanding",IF(J949=0,"On Time","Late"))</f>
        <v/>
      </c>
    </row>
    <row r="950">
      <c r="A950" s="2">
        <f>Raw_Data!A950</f>
        <v/>
      </c>
      <c r="B950" s="7">
        <f>Raw_Data!B950</f>
        <v/>
      </c>
      <c r="C950" s="2">
        <f>Raw_Data!C950</f>
        <v/>
      </c>
      <c r="D950" s="2">
        <f>Raw_Data!D950</f>
        <v/>
      </c>
      <c r="E950" s="8">
        <f>Raw_Data!F950</f>
        <v/>
      </c>
      <c r="F950" s="7">
        <f>Raw_Data!H950</f>
        <v/>
      </c>
      <c r="G950" s="7">
        <f>Raw_Data!I950</f>
        <v/>
      </c>
      <c r="H950" s="2">
        <f>Raw_Data!J950</f>
        <v/>
      </c>
      <c r="I950" s="2">
        <f>IF(G950="",0,G950-B950)</f>
        <v/>
      </c>
      <c r="J950" s="2">
        <f>IF(H950="Paid",MAX(0,G950-F950),MAX(0,DATE(2026,12,31)-F950))</f>
        <v/>
      </c>
      <c r="K950" s="8">
        <f>IF(H950="Paid",0,E950)</f>
        <v/>
      </c>
      <c r="L950" s="2">
        <f>IF(J950=0,"Current",IF(J950&lt;=30,"1-30 Days",IF(J950&lt;=60,"31-60 Days",IF(J950&lt;=90,"61-90 Days","90+ Days"))))</f>
        <v/>
      </c>
      <c r="M950" s="8">
        <f>IF(Raw_Data!K950="Yes",Raw_Data!F950*Raw_Data!L950,0)</f>
        <v/>
      </c>
      <c r="N950" s="2">
        <f>IF(H950&lt;&gt;"Paid","Outstanding",IF(J950=0,"On Time","Late"))</f>
        <v/>
      </c>
    </row>
    <row r="951">
      <c r="A951" s="2">
        <f>Raw_Data!A951</f>
        <v/>
      </c>
      <c r="B951" s="7">
        <f>Raw_Data!B951</f>
        <v/>
      </c>
      <c r="C951" s="2">
        <f>Raw_Data!C951</f>
        <v/>
      </c>
      <c r="D951" s="2">
        <f>Raw_Data!D951</f>
        <v/>
      </c>
      <c r="E951" s="8">
        <f>Raw_Data!F951</f>
        <v/>
      </c>
      <c r="F951" s="7">
        <f>Raw_Data!H951</f>
        <v/>
      </c>
      <c r="G951" s="7">
        <f>Raw_Data!I951</f>
        <v/>
      </c>
      <c r="H951" s="2">
        <f>Raw_Data!J951</f>
        <v/>
      </c>
      <c r="I951" s="2">
        <f>IF(G951="",0,G951-B951)</f>
        <v/>
      </c>
      <c r="J951" s="2">
        <f>IF(H951="Paid",MAX(0,G951-F951),MAX(0,DATE(2026,12,31)-F951))</f>
        <v/>
      </c>
      <c r="K951" s="8">
        <f>IF(H951="Paid",0,E951)</f>
        <v/>
      </c>
      <c r="L951" s="2">
        <f>IF(J951=0,"Current",IF(J951&lt;=30,"1-30 Days",IF(J951&lt;=60,"31-60 Days",IF(J951&lt;=90,"61-90 Days","90+ Days"))))</f>
        <v/>
      </c>
      <c r="M951" s="8">
        <f>IF(Raw_Data!K951="Yes",Raw_Data!F951*Raw_Data!L951,0)</f>
        <v/>
      </c>
      <c r="N951" s="2">
        <f>IF(H951&lt;&gt;"Paid","Outstanding",IF(J951=0,"On Time","Late"))</f>
        <v/>
      </c>
    </row>
    <row r="952">
      <c r="A952" s="2">
        <f>Raw_Data!A952</f>
        <v/>
      </c>
      <c r="B952" s="7">
        <f>Raw_Data!B952</f>
        <v/>
      </c>
      <c r="C952" s="2">
        <f>Raw_Data!C952</f>
        <v/>
      </c>
      <c r="D952" s="2">
        <f>Raw_Data!D952</f>
        <v/>
      </c>
      <c r="E952" s="8">
        <f>Raw_Data!F952</f>
        <v/>
      </c>
      <c r="F952" s="7">
        <f>Raw_Data!H952</f>
        <v/>
      </c>
      <c r="G952" s="7">
        <f>Raw_Data!I952</f>
        <v/>
      </c>
      <c r="H952" s="2">
        <f>Raw_Data!J952</f>
        <v/>
      </c>
      <c r="I952" s="2">
        <f>IF(G952="",0,G952-B952)</f>
        <v/>
      </c>
      <c r="J952" s="2">
        <f>IF(H952="Paid",MAX(0,G952-F952),MAX(0,DATE(2026,12,31)-F952))</f>
        <v/>
      </c>
      <c r="K952" s="8">
        <f>IF(H952="Paid",0,E952)</f>
        <v/>
      </c>
      <c r="L952" s="2">
        <f>IF(J952=0,"Current",IF(J952&lt;=30,"1-30 Days",IF(J952&lt;=60,"31-60 Days",IF(J952&lt;=90,"61-90 Days","90+ Days"))))</f>
        <v/>
      </c>
      <c r="M952" s="8">
        <f>IF(Raw_Data!K952="Yes",Raw_Data!F952*Raw_Data!L952,0)</f>
        <v/>
      </c>
      <c r="N952" s="2">
        <f>IF(H952&lt;&gt;"Paid","Outstanding",IF(J952=0,"On Time","Late"))</f>
        <v/>
      </c>
    </row>
    <row r="953">
      <c r="A953" s="2">
        <f>Raw_Data!A953</f>
        <v/>
      </c>
      <c r="B953" s="7">
        <f>Raw_Data!B953</f>
        <v/>
      </c>
      <c r="C953" s="2">
        <f>Raw_Data!C953</f>
        <v/>
      </c>
      <c r="D953" s="2">
        <f>Raw_Data!D953</f>
        <v/>
      </c>
      <c r="E953" s="8">
        <f>Raw_Data!F953</f>
        <v/>
      </c>
      <c r="F953" s="7">
        <f>Raw_Data!H953</f>
        <v/>
      </c>
      <c r="G953" s="7">
        <f>Raw_Data!I953</f>
        <v/>
      </c>
      <c r="H953" s="2">
        <f>Raw_Data!J953</f>
        <v/>
      </c>
      <c r="I953" s="2">
        <f>IF(G953="",0,G953-B953)</f>
        <v/>
      </c>
      <c r="J953" s="2">
        <f>IF(H953="Paid",MAX(0,G953-F953),MAX(0,DATE(2026,12,31)-F953))</f>
        <v/>
      </c>
      <c r="K953" s="8">
        <f>IF(H953="Paid",0,E953)</f>
        <v/>
      </c>
      <c r="L953" s="2">
        <f>IF(J953=0,"Current",IF(J953&lt;=30,"1-30 Days",IF(J953&lt;=60,"31-60 Days",IF(J953&lt;=90,"61-90 Days","90+ Days"))))</f>
        <v/>
      </c>
      <c r="M953" s="8">
        <f>IF(Raw_Data!K953="Yes",Raw_Data!F953*Raw_Data!L953,0)</f>
        <v/>
      </c>
      <c r="N953" s="2">
        <f>IF(H953&lt;&gt;"Paid","Outstanding",IF(J953=0,"On Time","Late"))</f>
        <v/>
      </c>
    </row>
    <row r="954">
      <c r="A954" s="2">
        <f>Raw_Data!A954</f>
        <v/>
      </c>
      <c r="B954" s="7">
        <f>Raw_Data!B954</f>
        <v/>
      </c>
      <c r="C954" s="2">
        <f>Raw_Data!C954</f>
        <v/>
      </c>
      <c r="D954" s="2">
        <f>Raw_Data!D954</f>
        <v/>
      </c>
      <c r="E954" s="8">
        <f>Raw_Data!F954</f>
        <v/>
      </c>
      <c r="F954" s="7">
        <f>Raw_Data!H954</f>
        <v/>
      </c>
      <c r="G954" s="7">
        <f>Raw_Data!I954</f>
        <v/>
      </c>
      <c r="H954" s="2">
        <f>Raw_Data!J954</f>
        <v/>
      </c>
      <c r="I954" s="2">
        <f>IF(G954="",0,G954-B954)</f>
        <v/>
      </c>
      <c r="J954" s="2">
        <f>IF(H954="Paid",MAX(0,G954-F954),MAX(0,DATE(2026,12,31)-F954))</f>
        <v/>
      </c>
      <c r="K954" s="8">
        <f>IF(H954="Paid",0,E954)</f>
        <v/>
      </c>
      <c r="L954" s="2">
        <f>IF(J954=0,"Current",IF(J954&lt;=30,"1-30 Days",IF(J954&lt;=60,"31-60 Days",IF(J954&lt;=90,"61-90 Days","90+ Days"))))</f>
        <v/>
      </c>
      <c r="M954" s="8">
        <f>IF(Raw_Data!K954="Yes",Raw_Data!F954*Raw_Data!L954,0)</f>
        <v/>
      </c>
      <c r="N954" s="2">
        <f>IF(H954&lt;&gt;"Paid","Outstanding",IF(J954=0,"On Time","Late"))</f>
        <v/>
      </c>
    </row>
    <row r="955">
      <c r="A955" s="2">
        <f>Raw_Data!A955</f>
        <v/>
      </c>
      <c r="B955" s="7">
        <f>Raw_Data!B955</f>
        <v/>
      </c>
      <c r="C955" s="2">
        <f>Raw_Data!C955</f>
        <v/>
      </c>
      <c r="D955" s="2">
        <f>Raw_Data!D955</f>
        <v/>
      </c>
      <c r="E955" s="8">
        <f>Raw_Data!F955</f>
        <v/>
      </c>
      <c r="F955" s="7">
        <f>Raw_Data!H955</f>
        <v/>
      </c>
      <c r="G955" s="7">
        <f>Raw_Data!I955</f>
        <v/>
      </c>
      <c r="H955" s="2">
        <f>Raw_Data!J955</f>
        <v/>
      </c>
      <c r="I955" s="2">
        <f>IF(G955="",0,G955-B955)</f>
        <v/>
      </c>
      <c r="J955" s="2">
        <f>IF(H955="Paid",MAX(0,G955-F955),MAX(0,DATE(2026,12,31)-F955))</f>
        <v/>
      </c>
      <c r="K955" s="8">
        <f>IF(H955="Paid",0,E955)</f>
        <v/>
      </c>
      <c r="L955" s="2">
        <f>IF(J955=0,"Current",IF(J955&lt;=30,"1-30 Days",IF(J955&lt;=60,"31-60 Days",IF(J955&lt;=90,"61-90 Days","90+ Days"))))</f>
        <v/>
      </c>
      <c r="M955" s="8">
        <f>IF(Raw_Data!K955="Yes",Raw_Data!F955*Raw_Data!L955,0)</f>
        <v/>
      </c>
      <c r="N955" s="2">
        <f>IF(H955&lt;&gt;"Paid","Outstanding",IF(J955=0,"On Time","Late"))</f>
        <v/>
      </c>
    </row>
    <row r="956">
      <c r="A956" s="2">
        <f>Raw_Data!A956</f>
        <v/>
      </c>
      <c r="B956" s="7">
        <f>Raw_Data!B956</f>
        <v/>
      </c>
      <c r="C956" s="2">
        <f>Raw_Data!C956</f>
        <v/>
      </c>
      <c r="D956" s="2">
        <f>Raw_Data!D956</f>
        <v/>
      </c>
      <c r="E956" s="8">
        <f>Raw_Data!F956</f>
        <v/>
      </c>
      <c r="F956" s="7">
        <f>Raw_Data!H956</f>
        <v/>
      </c>
      <c r="G956" s="7">
        <f>Raw_Data!I956</f>
        <v/>
      </c>
      <c r="H956" s="2">
        <f>Raw_Data!J956</f>
        <v/>
      </c>
      <c r="I956" s="2">
        <f>IF(G956="",0,G956-B956)</f>
        <v/>
      </c>
      <c r="J956" s="2">
        <f>IF(H956="Paid",MAX(0,G956-F956),MAX(0,DATE(2026,12,31)-F956))</f>
        <v/>
      </c>
      <c r="K956" s="8">
        <f>IF(H956="Paid",0,E956)</f>
        <v/>
      </c>
      <c r="L956" s="2">
        <f>IF(J956=0,"Current",IF(J956&lt;=30,"1-30 Days",IF(J956&lt;=60,"31-60 Days",IF(J956&lt;=90,"61-90 Days","90+ Days"))))</f>
        <v/>
      </c>
      <c r="M956" s="8">
        <f>IF(Raw_Data!K956="Yes",Raw_Data!F956*Raw_Data!L956,0)</f>
        <v/>
      </c>
      <c r="N956" s="2">
        <f>IF(H956&lt;&gt;"Paid","Outstanding",IF(J956=0,"On Time","Late"))</f>
        <v/>
      </c>
    </row>
    <row r="957">
      <c r="A957" s="2">
        <f>Raw_Data!A957</f>
        <v/>
      </c>
      <c r="B957" s="7">
        <f>Raw_Data!B957</f>
        <v/>
      </c>
      <c r="C957" s="2">
        <f>Raw_Data!C957</f>
        <v/>
      </c>
      <c r="D957" s="2">
        <f>Raw_Data!D957</f>
        <v/>
      </c>
      <c r="E957" s="8">
        <f>Raw_Data!F957</f>
        <v/>
      </c>
      <c r="F957" s="7">
        <f>Raw_Data!H957</f>
        <v/>
      </c>
      <c r="G957" s="7">
        <f>Raw_Data!I957</f>
        <v/>
      </c>
      <c r="H957" s="2">
        <f>Raw_Data!J957</f>
        <v/>
      </c>
      <c r="I957" s="2">
        <f>IF(G957="",0,G957-B957)</f>
        <v/>
      </c>
      <c r="J957" s="2">
        <f>IF(H957="Paid",MAX(0,G957-F957),MAX(0,DATE(2026,12,31)-F957))</f>
        <v/>
      </c>
      <c r="K957" s="8">
        <f>IF(H957="Paid",0,E957)</f>
        <v/>
      </c>
      <c r="L957" s="2">
        <f>IF(J957=0,"Current",IF(J957&lt;=30,"1-30 Days",IF(J957&lt;=60,"31-60 Days",IF(J957&lt;=90,"61-90 Days","90+ Days"))))</f>
        <v/>
      </c>
      <c r="M957" s="8">
        <f>IF(Raw_Data!K957="Yes",Raw_Data!F957*Raw_Data!L957,0)</f>
        <v/>
      </c>
      <c r="N957" s="2">
        <f>IF(H957&lt;&gt;"Paid","Outstanding",IF(J957=0,"On Time","Late"))</f>
        <v/>
      </c>
    </row>
    <row r="958">
      <c r="A958" s="2">
        <f>Raw_Data!A958</f>
        <v/>
      </c>
      <c r="B958" s="7">
        <f>Raw_Data!B958</f>
        <v/>
      </c>
      <c r="C958" s="2">
        <f>Raw_Data!C958</f>
        <v/>
      </c>
      <c r="D958" s="2">
        <f>Raw_Data!D958</f>
        <v/>
      </c>
      <c r="E958" s="8">
        <f>Raw_Data!F958</f>
        <v/>
      </c>
      <c r="F958" s="7">
        <f>Raw_Data!H958</f>
        <v/>
      </c>
      <c r="G958" s="7">
        <f>Raw_Data!I958</f>
        <v/>
      </c>
      <c r="H958" s="2">
        <f>Raw_Data!J958</f>
        <v/>
      </c>
      <c r="I958" s="2">
        <f>IF(G958="",0,G958-B958)</f>
        <v/>
      </c>
      <c r="J958" s="2">
        <f>IF(H958="Paid",MAX(0,G958-F958),MAX(0,DATE(2026,12,31)-F958))</f>
        <v/>
      </c>
      <c r="K958" s="8">
        <f>IF(H958="Paid",0,E958)</f>
        <v/>
      </c>
      <c r="L958" s="2">
        <f>IF(J958=0,"Current",IF(J958&lt;=30,"1-30 Days",IF(J958&lt;=60,"31-60 Days",IF(J958&lt;=90,"61-90 Days","90+ Days"))))</f>
        <v/>
      </c>
      <c r="M958" s="8">
        <f>IF(Raw_Data!K958="Yes",Raw_Data!F958*Raw_Data!L958,0)</f>
        <v/>
      </c>
      <c r="N958" s="2">
        <f>IF(H958&lt;&gt;"Paid","Outstanding",IF(J958=0,"On Time","Late"))</f>
        <v/>
      </c>
    </row>
    <row r="959">
      <c r="A959" s="2">
        <f>Raw_Data!A959</f>
        <v/>
      </c>
      <c r="B959" s="7">
        <f>Raw_Data!B959</f>
        <v/>
      </c>
      <c r="C959" s="2">
        <f>Raw_Data!C959</f>
        <v/>
      </c>
      <c r="D959" s="2">
        <f>Raw_Data!D959</f>
        <v/>
      </c>
      <c r="E959" s="8">
        <f>Raw_Data!F959</f>
        <v/>
      </c>
      <c r="F959" s="7">
        <f>Raw_Data!H959</f>
        <v/>
      </c>
      <c r="G959" s="7">
        <f>Raw_Data!I959</f>
        <v/>
      </c>
      <c r="H959" s="2">
        <f>Raw_Data!J959</f>
        <v/>
      </c>
      <c r="I959" s="2">
        <f>IF(G959="",0,G959-B959)</f>
        <v/>
      </c>
      <c r="J959" s="2">
        <f>IF(H959="Paid",MAX(0,G959-F959),MAX(0,DATE(2026,12,31)-F959))</f>
        <v/>
      </c>
      <c r="K959" s="8">
        <f>IF(H959="Paid",0,E959)</f>
        <v/>
      </c>
      <c r="L959" s="2">
        <f>IF(J959=0,"Current",IF(J959&lt;=30,"1-30 Days",IF(J959&lt;=60,"31-60 Days",IF(J959&lt;=90,"61-90 Days","90+ Days"))))</f>
        <v/>
      </c>
      <c r="M959" s="8">
        <f>IF(Raw_Data!K959="Yes",Raw_Data!F959*Raw_Data!L959,0)</f>
        <v/>
      </c>
      <c r="N959" s="2">
        <f>IF(H959&lt;&gt;"Paid","Outstanding",IF(J959=0,"On Time","Late"))</f>
        <v/>
      </c>
    </row>
    <row r="960">
      <c r="A960" s="2">
        <f>Raw_Data!A960</f>
        <v/>
      </c>
      <c r="B960" s="7">
        <f>Raw_Data!B960</f>
        <v/>
      </c>
      <c r="C960" s="2">
        <f>Raw_Data!C960</f>
        <v/>
      </c>
      <c r="D960" s="2">
        <f>Raw_Data!D960</f>
        <v/>
      </c>
      <c r="E960" s="8">
        <f>Raw_Data!F960</f>
        <v/>
      </c>
      <c r="F960" s="7">
        <f>Raw_Data!H960</f>
        <v/>
      </c>
      <c r="G960" s="7">
        <f>Raw_Data!I960</f>
        <v/>
      </c>
      <c r="H960" s="2">
        <f>Raw_Data!J960</f>
        <v/>
      </c>
      <c r="I960" s="2">
        <f>IF(G960="",0,G960-B960)</f>
        <v/>
      </c>
      <c r="J960" s="2">
        <f>IF(H960="Paid",MAX(0,G960-F960),MAX(0,DATE(2026,12,31)-F960))</f>
        <v/>
      </c>
      <c r="K960" s="8">
        <f>IF(H960="Paid",0,E960)</f>
        <v/>
      </c>
      <c r="L960" s="2">
        <f>IF(J960=0,"Current",IF(J960&lt;=30,"1-30 Days",IF(J960&lt;=60,"31-60 Days",IF(J960&lt;=90,"61-90 Days","90+ Days"))))</f>
        <v/>
      </c>
      <c r="M960" s="8">
        <f>IF(Raw_Data!K960="Yes",Raw_Data!F960*Raw_Data!L960,0)</f>
        <v/>
      </c>
      <c r="N960" s="2">
        <f>IF(H960&lt;&gt;"Paid","Outstanding",IF(J960=0,"On Time","Late"))</f>
        <v/>
      </c>
    </row>
    <row r="961">
      <c r="A961" s="2">
        <f>Raw_Data!A961</f>
        <v/>
      </c>
      <c r="B961" s="7">
        <f>Raw_Data!B961</f>
        <v/>
      </c>
      <c r="C961" s="2">
        <f>Raw_Data!C961</f>
        <v/>
      </c>
      <c r="D961" s="2">
        <f>Raw_Data!D961</f>
        <v/>
      </c>
      <c r="E961" s="8">
        <f>Raw_Data!F961</f>
        <v/>
      </c>
      <c r="F961" s="7">
        <f>Raw_Data!H961</f>
        <v/>
      </c>
      <c r="G961" s="7">
        <f>Raw_Data!I961</f>
        <v/>
      </c>
      <c r="H961" s="2">
        <f>Raw_Data!J961</f>
        <v/>
      </c>
      <c r="I961" s="2">
        <f>IF(G961="",0,G961-B961)</f>
        <v/>
      </c>
      <c r="J961" s="2">
        <f>IF(H961="Paid",MAX(0,G961-F961),MAX(0,DATE(2026,12,31)-F961))</f>
        <v/>
      </c>
      <c r="K961" s="8">
        <f>IF(H961="Paid",0,E961)</f>
        <v/>
      </c>
      <c r="L961" s="2">
        <f>IF(J961=0,"Current",IF(J961&lt;=30,"1-30 Days",IF(J961&lt;=60,"31-60 Days",IF(J961&lt;=90,"61-90 Days","90+ Days"))))</f>
        <v/>
      </c>
      <c r="M961" s="8">
        <f>IF(Raw_Data!K961="Yes",Raw_Data!F961*Raw_Data!L961,0)</f>
        <v/>
      </c>
      <c r="N961" s="2">
        <f>IF(H961&lt;&gt;"Paid","Outstanding",IF(J961=0,"On Time","Late"))</f>
        <v/>
      </c>
    </row>
    <row r="962">
      <c r="A962" s="2">
        <f>Raw_Data!A962</f>
        <v/>
      </c>
      <c r="B962" s="7">
        <f>Raw_Data!B962</f>
        <v/>
      </c>
      <c r="C962" s="2">
        <f>Raw_Data!C962</f>
        <v/>
      </c>
      <c r="D962" s="2">
        <f>Raw_Data!D962</f>
        <v/>
      </c>
      <c r="E962" s="8">
        <f>Raw_Data!F962</f>
        <v/>
      </c>
      <c r="F962" s="7">
        <f>Raw_Data!H962</f>
        <v/>
      </c>
      <c r="G962" s="7">
        <f>Raw_Data!I962</f>
        <v/>
      </c>
      <c r="H962" s="2">
        <f>Raw_Data!J962</f>
        <v/>
      </c>
      <c r="I962" s="2">
        <f>IF(G962="",0,G962-B962)</f>
        <v/>
      </c>
      <c r="J962" s="2">
        <f>IF(H962="Paid",MAX(0,G962-F962),MAX(0,DATE(2026,12,31)-F962))</f>
        <v/>
      </c>
      <c r="K962" s="8">
        <f>IF(H962="Paid",0,E962)</f>
        <v/>
      </c>
      <c r="L962" s="2">
        <f>IF(J962=0,"Current",IF(J962&lt;=30,"1-30 Days",IF(J962&lt;=60,"31-60 Days",IF(J962&lt;=90,"61-90 Days","90+ Days"))))</f>
        <v/>
      </c>
      <c r="M962" s="8">
        <f>IF(Raw_Data!K962="Yes",Raw_Data!F962*Raw_Data!L962,0)</f>
        <v/>
      </c>
      <c r="N962" s="2">
        <f>IF(H962&lt;&gt;"Paid","Outstanding",IF(J962=0,"On Time","Late"))</f>
        <v/>
      </c>
    </row>
    <row r="963">
      <c r="A963" s="2">
        <f>Raw_Data!A963</f>
        <v/>
      </c>
      <c r="B963" s="7">
        <f>Raw_Data!B963</f>
        <v/>
      </c>
      <c r="C963" s="2">
        <f>Raw_Data!C963</f>
        <v/>
      </c>
      <c r="D963" s="2">
        <f>Raw_Data!D963</f>
        <v/>
      </c>
      <c r="E963" s="8">
        <f>Raw_Data!F963</f>
        <v/>
      </c>
      <c r="F963" s="7">
        <f>Raw_Data!H963</f>
        <v/>
      </c>
      <c r="G963" s="7">
        <f>Raw_Data!I963</f>
        <v/>
      </c>
      <c r="H963" s="2">
        <f>Raw_Data!J963</f>
        <v/>
      </c>
      <c r="I963" s="2">
        <f>IF(G963="",0,G963-B963)</f>
        <v/>
      </c>
      <c r="J963" s="2">
        <f>IF(H963="Paid",MAX(0,G963-F963),MAX(0,DATE(2026,12,31)-F963))</f>
        <v/>
      </c>
      <c r="K963" s="8">
        <f>IF(H963="Paid",0,E963)</f>
        <v/>
      </c>
      <c r="L963" s="2">
        <f>IF(J963=0,"Current",IF(J963&lt;=30,"1-30 Days",IF(J963&lt;=60,"31-60 Days",IF(J963&lt;=90,"61-90 Days","90+ Days"))))</f>
        <v/>
      </c>
      <c r="M963" s="8">
        <f>IF(Raw_Data!K963="Yes",Raw_Data!F963*Raw_Data!L963,0)</f>
        <v/>
      </c>
      <c r="N963" s="2">
        <f>IF(H963&lt;&gt;"Paid","Outstanding",IF(J963=0,"On Time","Late"))</f>
        <v/>
      </c>
    </row>
    <row r="964">
      <c r="A964" s="2">
        <f>Raw_Data!A964</f>
        <v/>
      </c>
      <c r="B964" s="7">
        <f>Raw_Data!B964</f>
        <v/>
      </c>
      <c r="C964" s="2">
        <f>Raw_Data!C964</f>
        <v/>
      </c>
      <c r="D964" s="2">
        <f>Raw_Data!D964</f>
        <v/>
      </c>
      <c r="E964" s="8">
        <f>Raw_Data!F964</f>
        <v/>
      </c>
      <c r="F964" s="7">
        <f>Raw_Data!H964</f>
        <v/>
      </c>
      <c r="G964" s="7">
        <f>Raw_Data!I964</f>
        <v/>
      </c>
      <c r="H964" s="2">
        <f>Raw_Data!J964</f>
        <v/>
      </c>
      <c r="I964" s="2">
        <f>IF(G964="",0,G964-B964)</f>
        <v/>
      </c>
      <c r="J964" s="2">
        <f>IF(H964="Paid",MAX(0,G964-F964),MAX(0,DATE(2026,12,31)-F964))</f>
        <v/>
      </c>
      <c r="K964" s="8">
        <f>IF(H964="Paid",0,E964)</f>
        <v/>
      </c>
      <c r="L964" s="2">
        <f>IF(J964=0,"Current",IF(J964&lt;=30,"1-30 Days",IF(J964&lt;=60,"31-60 Days",IF(J964&lt;=90,"61-90 Days","90+ Days"))))</f>
        <v/>
      </c>
      <c r="M964" s="8">
        <f>IF(Raw_Data!K964="Yes",Raw_Data!F964*Raw_Data!L964,0)</f>
        <v/>
      </c>
      <c r="N964" s="2">
        <f>IF(H964&lt;&gt;"Paid","Outstanding",IF(J964=0,"On Time","Late"))</f>
        <v/>
      </c>
    </row>
    <row r="965">
      <c r="A965" s="2">
        <f>Raw_Data!A965</f>
        <v/>
      </c>
      <c r="B965" s="7">
        <f>Raw_Data!B965</f>
        <v/>
      </c>
      <c r="C965" s="2">
        <f>Raw_Data!C965</f>
        <v/>
      </c>
      <c r="D965" s="2">
        <f>Raw_Data!D965</f>
        <v/>
      </c>
      <c r="E965" s="8">
        <f>Raw_Data!F965</f>
        <v/>
      </c>
      <c r="F965" s="7">
        <f>Raw_Data!H965</f>
        <v/>
      </c>
      <c r="G965" s="7">
        <f>Raw_Data!I965</f>
        <v/>
      </c>
      <c r="H965" s="2">
        <f>Raw_Data!J965</f>
        <v/>
      </c>
      <c r="I965" s="2">
        <f>IF(G965="",0,G965-B965)</f>
        <v/>
      </c>
      <c r="J965" s="2">
        <f>IF(H965="Paid",MAX(0,G965-F965),MAX(0,DATE(2026,12,31)-F965))</f>
        <v/>
      </c>
      <c r="K965" s="8">
        <f>IF(H965="Paid",0,E965)</f>
        <v/>
      </c>
      <c r="L965" s="2">
        <f>IF(J965=0,"Current",IF(J965&lt;=30,"1-30 Days",IF(J965&lt;=60,"31-60 Days",IF(J965&lt;=90,"61-90 Days","90+ Days"))))</f>
        <v/>
      </c>
      <c r="M965" s="8">
        <f>IF(Raw_Data!K965="Yes",Raw_Data!F965*Raw_Data!L965,0)</f>
        <v/>
      </c>
      <c r="N965" s="2">
        <f>IF(H965&lt;&gt;"Paid","Outstanding",IF(J965=0,"On Time","Late"))</f>
        <v/>
      </c>
    </row>
    <row r="966">
      <c r="A966" s="2">
        <f>Raw_Data!A966</f>
        <v/>
      </c>
      <c r="B966" s="7">
        <f>Raw_Data!B966</f>
        <v/>
      </c>
      <c r="C966" s="2">
        <f>Raw_Data!C966</f>
        <v/>
      </c>
      <c r="D966" s="2">
        <f>Raw_Data!D966</f>
        <v/>
      </c>
      <c r="E966" s="8">
        <f>Raw_Data!F966</f>
        <v/>
      </c>
      <c r="F966" s="7">
        <f>Raw_Data!H966</f>
        <v/>
      </c>
      <c r="G966" s="7">
        <f>Raw_Data!I966</f>
        <v/>
      </c>
      <c r="H966" s="2">
        <f>Raw_Data!J966</f>
        <v/>
      </c>
      <c r="I966" s="2">
        <f>IF(G966="",0,G966-B966)</f>
        <v/>
      </c>
      <c r="J966" s="2">
        <f>IF(H966="Paid",MAX(0,G966-F966),MAX(0,DATE(2026,12,31)-F966))</f>
        <v/>
      </c>
      <c r="K966" s="8">
        <f>IF(H966="Paid",0,E966)</f>
        <v/>
      </c>
      <c r="L966" s="2">
        <f>IF(J966=0,"Current",IF(J966&lt;=30,"1-30 Days",IF(J966&lt;=60,"31-60 Days",IF(J966&lt;=90,"61-90 Days","90+ Days"))))</f>
        <v/>
      </c>
      <c r="M966" s="8">
        <f>IF(Raw_Data!K966="Yes",Raw_Data!F966*Raw_Data!L966,0)</f>
        <v/>
      </c>
      <c r="N966" s="2">
        <f>IF(H966&lt;&gt;"Paid","Outstanding",IF(J966=0,"On Time","Late"))</f>
        <v/>
      </c>
    </row>
    <row r="967">
      <c r="A967" s="2">
        <f>Raw_Data!A967</f>
        <v/>
      </c>
      <c r="B967" s="7">
        <f>Raw_Data!B967</f>
        <v/>
      </c>
      <c r="C967" s="2">
        <f>Raw_Data!C967</f>
        <v/>
      </c>
      <c r="D967" s="2">
        <f>Raw_Data!D967</f>
        <v/>
      </c>
      <c r="E967" s="8">
        <f>Raw_Data!F967</f>
        <v/>
      </c>
      <c r="F967" s="7">
        <f>Raw_Data!H967</f>
        <v/>
      </c>
      <c r="G967" s="7">
        <f>Raw_Data!I967</f>
        <v/>
      </c>
      <c r="H967" s="2">
        <f>Raw_Data!J967</f>
        <v/>
      </c>
      <c r="I967" s="2">
        <f>IF(G967="",0,G967-B967)</f>
        <v/>
      </c>
      <c r="J967" s="2">
        <f>IF(H967="Paid",MAX(0,G967-F967),MAX(0,DATE(2026,12,31)-F967))</f>
        <v/>
      </c>
      <c r="K967" s="8">
        <f>IF(H967="Paid",0,E967)</f>
        <v/>
      </c>
      <c r="L967" s="2">
        <f>IF(J967=0,"Current",IF(J967&lt;=30,"1-30 Days",IF(J967&lt;=60,"31-60 Days",IF(J967&lt;=90,"61-90 Days","90+ Days"))))</f>
        <v/>
      </c>
      <c r="M967" s="8">
        <f>IF(Raw_Data!K967="Yes",Raw_Data!F967*Raw_Data!L967,0)</f>
        <v/>
      </c>
      <c r="N967" s="2">
        <f>IF(H967&lt;&gt;"Paid","Outstanding",IF(J967=0,"On Time","Late"))</f>
        <v/>
      </c>
    </row>
    <row r="968">
      <c r="A968" s="2">
        <f>Raw_Data!A968</f>
        <v/>
      </c>
      <c r="B968" s="7">
        <f>Raw_Data!B968</f>
        <v/>
      </c>
      <c r="C968" s="2">
        <f>Raw_Data!C968</f>
        <v/>
      </c>
      <c r="D968" s="2">
        <f>Raw_Data!D968</f>
        <v/>
      </c>
      <c r="E968" s="8">
        <f>Raw_Data!F968</f>
        <v/>
      </c>
      <c r="F968" s="7">
        <f>Raw_Data!H968</f>
        <v/>
      </c>
      <c r="G968" s="7">
        <f>Raw_Data!I968</f>
        <v/>
      </c>
      <c r="H968" s="2">
        <f>Raw_Data!J968</f>
        <v/>
      </c>
      <c r="I968" s="2">
        <f>IF(G968="",0,G968-B968)</f>
        <v/>
      </c>
      <c r="J968" s="2">
        <f>IF(H968="Paid",MAX(0,G968-F968),MAX(0,DATE(2026,12,31)-F968))</f>
        <v/>
      </c>
      <c r="K968" s="8">
        <f>IF(H968="Paid",0,E968)</f>
        <v/>
      </c>
      <c r="L968" s="2">
        <f>IF(J968=0,"Current",IF(J968&lt;=30,"1-30 Days",IF(J968&lt;=60,"31-60 Days",IF(J968&lt;=90,"61-90 Days","90+ Days"))))</f>
        <v/>
      </c>
      <c r="M968" s="8">
        <f>IF(Raw_Data!K968="Yes",Raw_Data!F968*Raw_Data!L968,0)</f>
        <v/>
      </c>
      <c r="N968" s="2">
        <f>IF(H968&lt;&gt;"Paid","Outstanding",IF(J968=0,"On Time","Late"))</f>
        <v/>
      </c>
    </row>
    <row r="969">
      <c r="A969" s="2">
        <f>Raw_Data!A969</f>
        <v/>
      </c>
      <c r="B969" s="7">
        <f>Raw_Data!B969</f>
        <v/>
      </c>
      <c r="C969" s="2">
        <f>Raw_Data!C969</f>
        <v/>
      </c>
      <c r="D969" s="2">
        <f>Raw_Data!D969</f>
        <v/>
      </c>
      <c r="E969" s="8">
        <f>Raw_Data!F969</f>
        <v/>
      </c>
      <c r="F969" s="7">
        <f>Raw_Data!H969</f>
        <v/>
      </c>
      <c r="G969" s="7">
        <f>Raw_Data!I969</f>
        <v/>
      </c>
      <c r="H969" s="2">
        <f>Raw_Data!J969</f>
        <v/>
      </c>
      <c r="I969" s="2">
        <f>IF(G969="",0,G969-B969)</f>
        <v/>
      </c>
      <c r="J969" s="2">
        <f>IF(H969="Paid",MAX(0,G969-F969),MAX(0,DATE(2026,12,31)-F969))</f>
        <v/>
      </c>
      <c r="K969" s="8">
        <f>IF(H969="Paid",0,E969)</f>
        <v/>
      </c>
      <c r="L969" s="2">
        <f>IF(J969=0,"Current",IF(J969&lt;=30,"1-30 Days",IF(J969&lt;=60,"31-60 Days",IF(J969&lt;=90,"61-90 Days","90+ Days"))))</f>
        <v/>
      </c>
      <c r="M969" s="8">
        <f>IF(Raw_Data!K969="Yes",Raw_Data!F969*Raw_Data!L969,0)</f>
        <v/>
      </c>
      <c r="N969" s="2">
        <f>IF(H969&lt;&gt;"Paid","Outstanding",IF(J969=0,"On Time","Late"))</f>
        <v/>
      </c>
    </row>
    <row r="970">
      <c r="A970" s="2">
        <f>Raw_Data!A970</f>
        <v/>
      </c>
      <c r="B970" s="7">
        <f>Raw_Data!B970</f>
        <v/>
      </c>
      <c r="C970" s="2">
        <f>Raw_Data!C970</f>
        <v/>
      </c>
      <c r="D970" s="2">
        <f>Raw_Data!D970</f>
        <v/>
      </c>
      <c r="E970" s="8">
        <f>Raw_Data!F970</f>
        <v/>
      </c>
      <c r="F970" s="7">
        <f>Raw_Data!H970</f>
        <v/>
      </c>
      <c r="G970" s="7">
        <f>Raw_Data!I970</f>
        <v/>
      </c>
      <c r="H970" s="2">
        <f>Raw_Data!J970</f>
        <v/>
      </c>
      <c r="I970" s="2">
        <f>IF(G970="",0,G970-B970)</f>
        <v/>
      </c>
      <c r="J970" s="2">
        <f>IF(H970="Paid",MAX(0,G970-F970),MAX(0,DATE(2026,12,31)-F970))</f>
        <v/>
      </c>
      <c r="K970" s="8">
        <f>IF(H970="Paid",0,E970)</f>
        <v/>
      </c>
      <c r="L970" s="2">
        <f>IF(J970=0,"Current",IF(J970&lt;=30,"1-30 Days",IF(J970&lt;=60,"31-60 Days",IF(J970&lt;=90,"61-90 Days","90+ Days"))))</f>
        <v/>
      </c>
      <c r="M970" s="8">
        <f>IF(Raw_Data!K970="Yes",Raw_Data!F970*Raw_Data!L970,0)</f>
        <v/>
      </c>
      <c r="N970" s="2">
        <f>IF(H970&lt;&gt;"Paid","Outstanding",IF(J970=0,"On Time","Late"))</f>
        <v/>
      </c>
    </row>
    <row r="971">
      <c r="A971" s="2">
        <f>Raw_Data!A971</f>
        <v/>
      </c>
      <c r="B971" s="7">
        <f>Raw_Data!B971</f>
        <v/>
      </c>
      <c r="C971" s="2">
        <f>Raw_Data!C971</f>
        <v/>
      </c>
      <c r="D971" s="2">
        <f>Raw_Data!D971</f>
        <v/>
      </c>
      <c r="E971" s="8">
        <f>Raw_Data!F971</f>
        <v/>
      </c>
      <c r="F971" s="7">
        <f>Raw_Data!H971</f>
        <v/>
      </c>
      <c r="G971" s="7">
        <f>Raw_Data!I971</f>
        <v/>
      </c>
      <c r="H971" s="2">
        <f>Raw_Data!J971</f>
        <v/>
      </c>
      <c r="I971" s="2">
        <f>IF(G971="",0,G971-B971)</f>
        <v/>
      </c>
      <c r="J971" s="2">
        <f>IF(H971="Paid",MAX(0,G971-F971),MAX(0,DATE(2026,12,31)-F971))</f>
        <v/>
      </c>
      <c r="K971" s="8">
        <f>IF(H971="Paid",0,E971)</f>
        <v/>
      </c>
      <c r="L971" s="2">
        <f>IF(J971=0,"Current",IF(J971&lt;=30,"1-30 Days",IF(J971&lt;=60,"31-60 Days",IF(J971&lt;=90,"61-90 Days","90+ Days"))))</f>
        <v/>
      </c>
      <c r="M971" s="8">
        <f>IF(Raw_Data!K971="Yes",Raw_Data!F971*Raw_Data!L971,0)</f>
        <v/>
      </c>
      <c r="N971" s="2">
        <f>IF(H971&lt;&gt;"Paid","Outstanding",IF(J971=0,"On Time","Late"))</f>
        <v/>
      </c>
    </row>
    <row r="972">
      <c r="A972" s="2">
        <f>Raw_Data!A972</f>
        <v/>
      </c>
      <c r="B972" s="7">
        <f>Raw_Data!B972</f>
        <v/>
      </c>
      <c r="C972" s="2">
        <f>Raw_Data!C972</f>
        <v/>
      </c>
      <c r="D972" s="2">
        <f>Raw_Data!D972</f>
        <v/>
      </c>
      <c r="E972" s="8">
        <f>Raw_Data!F972</f>
        <v/>
      </c>
      <c r="F972" s="7">
        <f>Raw_Data!H972</f>
        <v/>
      </c>
      <c r="G972" s="7">
        <f>Raw_Data!I972</f>
        <v/>
      </c>
      <c r="H972" s="2">
        <f>Raw_Data!J972</f>
        <v/>
      </c>
      <c r="I972" s="2">
        <f>IF(G972="",0,G972-B972)</f>
        <v/>
      </c>
      <c r="J972" s="2">
        <f>IF(H972="Paid",MAX(0,G972-F972),MAX(0,DATE(2026,12,31)-F972))</f>
        <v/>
      </c>
      <c r="K972" s="8">
        <f>IF(H972="Paid",0,E972)</f>
        <v/>
      </c>
      <c r="L972" s="2">
        <f>IF(J972=0,"Current",IF(J972&lt;=30,"1-30 Days",IF(J972&lt;=60,"31-60 Days",IF(J972&lt;=90,"61-90 Days","90+ Days"))))</f>
        <v/>
      </c>
      <c r="M972" s="8">
        <f>IF(Raw_Data!K972="Yes",Raw_Data!F972*Raw_Data!L972,0)</f>
        <v/>
      </c>
      <c r="N972" s="2">
        <f>IF(H972&lt;&gt;"Paid","Outstanding",IF(J972=0,"On Time","Late"))</f>
        <v/>
      </c>
    </row>
    <row r="973">
      <c r="A973" s="2">
        <f>Raw_Data!A973</f>
        <v/>
      </c>
      <c r="B973" s="7">
        <f>Raw_Data!B973</f>
        <v/>
      </c>
      <c r="C973" s="2">
        <f>Raw_Data!C973</f>
        <v/>
      </c>
      <c r="D973" s="2">
        <f>Raw_Data!D973</f>
        <v/>
      </c>
      <c r="E973" s="8">
        <f>Raw_Data!F973</f>
        <v/>
      </c>
      <c r="F973" s="7">
        <f>Raw_Data!H973</f>
        <v/>
      </c>
      <c r="G973" s="7">
        <f>Raw_Data!I973</f>
        <v/>
      </c>
      <c r="H973" s="2">
        <f>Raw_Data!J973</f>
        <v/>
      </c>
      <c r="I973" s="2">
        <f>IF(G973="",0,G973-B973)</f>
        <v/>
      </c>
      <c r="J973" s="2">
        <f>IF(H973="Paid",MAX(0,G973-F973),MAX(0,DATE(2026,12,31)-F973))</f>
        <v/>
      </c>
      <c r="K973" s="8">
        <f>IF(H973="Paid",0,E973)</f>
        <v/>
      </c>
      <c r="L973" s="2">
        <f>IF(J973=0,"Current",IF(J973&lt;=30,"1-30 Days",IF(J973&lt;=60,"31-60 Days",IF(J973&lt;=90,"61-90 Days","90+ Days"))))</f>
        <v/>
      </c>
      <c r="M973" s="8">
        <f>IF(Raw_Data!K973="Yes",Raw_Data!F973*Raw_Data!L973,0)</f>
        <v/>
      </c>
      <c r="N973" s="2">
        <f>IF(H973&lt;&gt;"Paid","Outstanding",IF(J973=0,"On Time","Late"))</f>
        <v/>
      </c>
    </row>
    <row r="974">
      <c r="A974" s="2">
        <f>Raw_Data!A974</f>
        <v/>
      </c>
      <c r="B974" s="7">
        <f>Raw_Data!B974</f>
        <v/>
      </c>
      <c r="C974" s="2">
        <f>Raw_Data!C974</f>
        <v/>
      </c>
      <c r="D974" s="2">
        <f>Raw_Data!D974</f>
        <v/>
      </c>
      <c r="E974" s="8">
        <f>Raw_Data!F974</f>
        <v/>
      </c>
      <c r="F974" s="7">
        <f>Raw_Data!H974</f>
        <v/>
      </c>
      <c r="G974" s="7">
        <f>Raw_Data!I974</f>
        <v/>
      </c>
      <c r="H974" s="2">
        <f>Raw_Data!J974</f>
        <v/>
      </c>
      <c r="I974" s="2">
        <f>IF(G974="",0,G974-B974)</f>
        <v/>
      </c>
      <c r="J974" s="2">
        <f>IF(H974="Paid",MAX(0,G974-F974),MAX(0,DATE(2026,12,31)-F974))</f>
        <v/>
      </c>
      <c r="K974" s="8">
        <f>IF(H974="Paid",0,E974)</f>
        <v/>
      </c>
      <c r="L974" s="2">
        <f>IF(J974=0,"Current",IF(J974&lt;=30,"1-30 Days",IF(J974&lt;=60,"31-60 Days",IF(J974&lt;=90,"61-90 Days","90+ Days"))))</f>
        <v/>
      </c>
      <c r="M974" s="8">
        <f>IF(Raw_Data!K974="Yes",Raw_Data!F974*Raw_Data!L974,0)</f>
        <v/>
      </c>
      <c r="N974" s="2">
        <f>IF(H974&lt;&gt;"Paid","Outstanding",IF(J974=0,"On Time","Late"))</f>
        <v/>
      </c>
    </row>
    <row r="975">
      <c r="A975" s="2">
        <f>Raw_Data!A975</f>
        <v/>
      </c>
      <c r="B975" s="7">
        <f>Raw_Data!B975</f>
        <v/>
      </c>
      <c r="C975" s="2">
        <f>Raw_Data!C975</f>
        <v/>
      </c>
      <c r="D975" s="2">
        <f>Raw_Data!D975</f>
        <v/>
      </c>
      <c r="E975" s="8">
        <f>Raw_Data!F975</f>
        <v/>
      </c>
      <c r="F975" s="7">
        <f>Raw_Data!H975</f>
        <v/>
      </c>
      <c r="G975" s="7">
        <f>Raw_Data!I975</f>
        <v/>
      </c>
      <c r="H975" s="2">
        <f>Raw_Data!J975</f>
        <v/>
      </c>
      <c r="I975" s="2">
        <f>IF(G975="",0,G975-B975)</f>
        <v/>
      </c>
      <c r="J975" s="2">
        <f>IF(H975="Paid",MAX(0,G975-F975),MAX(0,DATE(2026,12,31)-F975))</f>
        <v/>
      </c>
      <c r="K975" s="8">
        <f>IF(H975="Paid",0,E975)</f>
        <v/>
      </c>
      <c r="L975" s="2">
        <f>IF(J975=0,"Current",IF(J975&lt;=30,"1-30 Days",IF(J975&lt;=60,"31-60 Days",IF(J975&lt;=90,"61-90 Days","90+ Days"))))</f>
        <v/>
      </c>
      <c r="M975" s="8">
        <f>IF(Raw_Data!K975="Yes",Raw_Data!F975*Raw_Data!L975,0)</f>
        <v/>
      </c>
      <c r="N975" s="2">
        <f>IF(H975&lt;&gt;"Paid","Outstanding",IF(J975=0,"On Time","Late"))</f>
        <v/>
      </c>
    </row>
    <row r="976">
      <c r="A976" s="2">
        <f>Raw_Data!A976</f>
        <v/>
      </c>
      <c r="B976" s="7">
        <f>Raw_Data!B976</f>
        <v/>
      </c>
      <c r="C976" s="2">
        <f>Raw_Data!C976</f>
        <v/>
      </c>
      <c r="D976" s="2">
        <f>Raw_Data!D976</f>
        <v/>
      </c>
      <c r="E976" s="8">
        <f>Raw_Data!F976</f>
        <v/>
      </c>
      <c r="F976" s="7">
        <f>Raw_Data!H976</f>
        <v/>
      </c>
      <c r="G976" s="7">
        <f>Raw_Data!I976</f>
        <v/>
      </c>
      <c r="H976" s="2">
        <f>Raw_Data!J976</f>
        <v/>
      </c>
      <c r="I976" s="2">
        <f>IF(G976="",0,G976-B976)</f>
        <v/>
      </c>
      <c r="J976" s="2">
        <f>IF(H976="Paid",MAX(0,G976-F976),MAX(0,DATE(2026,12,31)-F976))</f>
        <v/>
      </c>
      <c r="K976" s="8">
        <f>IF(H976="Paid",0,E976)</f>
        <v/>
      </c>
      <c r="L976" s="2">
        <f>IF(J976=0,"Current",IF(J976&lt;=30,"1-30 Days",IF(J976&lt;=60,"31-60 Days",IF(J976&lt;=90,"61-90 Days","90+ Days"))))</f>
        <v/>
      </c>
      <c r="M976" s="8">
        <f>IF(Raw_Data!K976="Yes",Raw_Data!F976*Raw_Data!L976,0)</f>
        <v/>
      </c>
      <c r="N976" s="2">
        <f>IF(H976&lt;&gt;"Paid","Outstanding",IF(J976=0,"On Time","Late"))</f>
        <v/>
      </c>
    </row>
    <row r="977">
      <c r="A977" s="2">
        <f>Raw_Data!A977</f>
        <v/>
      </c>
      <c r="B977" s="7">
        <f>Raw_Data!B977</f>
        <v/>
      </c>
      <c r="C977" s="2">
        <f>Raw_Data!C977</f>
        <v/>
      </c>
      <c r="D977" s="2">
        <f>Raw_Data!D977</f>
        <v/>
      </c>
      <c r="E977" s="8">
        <f>Raw_Data!F977</f>
        <v/>
      </c>
      <c r="F977" s="7">
        <f>Raw_Data!H977</f>
        <v/>
      </c>
      <c r="G977" s="7">
        <f>Raw_Data!I977</f>
        <v/>
      </c>
      <c r="H977" s="2">
        <f>Raw_Data!J977</f>
        <v/>
      </c>
      <c r="I977" s="2">
        <f>IF(G977="",0,G977-B977)</f>
        <v/>
      </c>
      <c r="J977" s="2">
        <f>IF(H977="Paid",MAX(0,G977-F977),MAX(0,DATE(2026,12,31)-F977))</f>
        <v/>
      </c>
      <c r="K977" s="8">
        <f>IF(H977="Paid",0,E977)</f>
        <v/>
      </c>
      <c r="L977" s="2">
        <f>IF(J977=0,"Current",IF(J977&lt;=30,"1-30 Days",IF(J977&lt;=60,"31-60 Days",IF(J977&lt;=90,"61-90 Days","90+ Days"))))</f>
        <v/>
      </c>
      <c r="M977" s="8">
        <f>IF(Raw_Data!K977="Yes",Raw_Data!F977*Raw_Data!L977,0)</f>
        <v/>
      </c>
      <c r="N977" s="2">
        <f>IF(H977&lt;&gt;"Paid","Outstanding",IF(J977=0,"On Time","Late"))</f>
        <v/>
      </c>
    </row>
    <row r="978">
      <c r="A978" s="2">
        <f>Raw_Data!A978</f>
        <v/>
      </c>
      <c r="B978" s="7">
        <f>Raw_Data!B978</f>
        <v/>
      </c>
      <c r="C978" s="2">
        <f>Raw_Data!C978</f>
        <v/>
      </c>
      <c r="D978" s="2">
        <f>Raw_Data!D978</f>
        <v/>
      </c>
      <c r="E978" s="8">
        <f>Raw_Data!F978</f>
        <v/>
      </c>
      <c r="F978" s="7">
        <f>Raw_Data!H978</f>
        <v/>
      </c>
      <c r="G978" s="7">
        <f>Raw_Data!I978</f>
        <v/>
      </c>
      <c r="H978" s="2">
        <f>Raw_Data!J978</f>
        <v/>
      </c>
      <c r="I978" s="2">
        <f>IF(G978="",0,G978-B978)</f>
        <v/>
      </c>
      <c r="J978" s="2">
        <f>IF(H978="Paid",MAX(0,G978-F978),MAX(0,DATE(2026,12,31)-F978))</f>
        <v/>
      </c>
      <c r="K978" s="8">
        <f>IF(H978="Paid",0,E978)</f>
        <v/>
      </c>
      <c r="L978" s="2">
        <f>IF(J978=0,"Current",IF(J978&lt;=30,"1-30 Days",IF(J978&lt;=60,"31-60 Days",IF(J978&lt;=90,"61-90 Days","90+ Days"))))</f>
        <v/>
      </c>
      <c r="M978" s="8">
        <f>IF(Raw_Data!K978="Yes",Raw_Data!F978*Raw_Data!L978,0)</f>
        <v/>
      </c>
      <c r="N978" s="2">
        <f>IF(H978&lt;&gt;"Paid","Outstanding",IF(J978=0,"On Time","Late"))</f>
        <v/>
      </c>
    </row>
    <row r="979">
      <c r="A979" s="2">
        <f>Raw_Data!A979</f>
        <v/>
      </c>
      <c r="B979" s="7">
        <f>Raw_Data!B979</f>
        <v/>
      </c>
      <c r="C979" s="2">
        <f>Raw_Data!C979</f>
        <v/>
      </c>
      <c r="D979" s="2">
        <f>Raw_Data!D979</f>
        <v/>
      </c>
      <c r="E979" s="8">
        <f>Raw_Data!F979</f>
        <v/>
      </c>
      <c r="F979" s="7">
        <f>Raw_Data!H979</f>
        <v/>
      </c>
      <c r="G979" s="7">
        <f>Raw_Data!I979</f>
        <v/>
      </c>
      <c r="H979" s="2">
        <f>Raw_Data!J979</f>
        <v/>
      </c>
      <c r="I979" s="2">
        <f>IF(G979="",0,G979-B979)</f>
        <v/>
      </c>
      <c r="J979" s="2">
        <f>IF(H979="Paid",MAX(0,G979-F979),MAX(0,DATE(2026,12,31)-F979))</f>
        <v/>
      </c>
      <c r="K979" s="8">
        <f>IF(H979="Paid",0,E979)</f>
        <v/>
      </c>
      <c r="L979" s="2">
        <f>IF(J979=0,"Current",IF(J979&lt;=30,"1-30 Days",IF(J979&lt;=60,"31-60 Days",IF(J979&lt;=90,"61-90 Days","90+ Days"))))</f>
        <v/>
      </c>
      <c r="M979" s="8">
        <f>IF(Raw_Data!K979="Yes",Raw_Data!F979*Raw_Data!L979,0)</f>
        <v/>
      </c>
      <c r="N979" s="2">
        <f>IF(H979&lt;&gt;"Paid","Outstanding",IF(J979=0,"On Time","Late"))</f>
        <v/>
      </c>
    </row>
    <row r="980">
      <c r="A980" s="2">
        <f>Raw_Data!A980</f>
        <v/>
      </c>
      <c r="B980" s="7">
        <f>Raw_Data!B980</f>
        <v/>
      </c>
      <c r="C980" s="2">
        <f>Raw_Data!C980</f>
        <v/>
      </c>
      <c r="D980" s="2">
        <f>Raw_Data!D980</f>
        <v/>
      </c>
      <c r="E980" s="8">
        <f>Raw_Data!F980</f>
        <v/>
      </c>
      <c r="F980" s="7">
        <f>Raw_Data!H980</f>
        <v/>
      </c>
      <c r="G980" s="7">
        <f>Raw_Data!I980</f>
        <v/>
      </c>
      <c r="H980" s="2">
        <f>Raw_Data!J980</f>
        <v/>
      </c>
      <c r="I980" s="2">
        <f>IF(G980="",0,G980-B980)</f>
        <v/>
      </c>
      <c r="J980" s="2">
        <f>IF(H980="Paid",MAX(0,G980-F980),MAX(0,DATE(2026,12,31)-F980))</f>
        <v/>
      </c>
      <c r="K980" s="8">
        <f>IF(H980="Paid",0,E980)</f>
        <v/>
      </c>
      <c r="L980" s="2">
        <f>IF(J980=0,"Current",IF(J980&lt;=30,"1-30 Days",IF(J980&lt;=60,"31-60 Days",IF(J980&lt;=90,"61-90 Days","90+ Days"))))</f>
        <v/>
      </c>
      <c r="M980" s="8">
        <f>IF(Raw_Data!K980="Yes",Raw_Data!F980*Raw_Data!L980,0)</f>
        <v/>
      </c>
      <c r="N980" s="2">
        <f>IF(H980&lt;&gt;"Paid","Outstanding",IF(J980=0,"On Time","Late"))</f>
        <v/>
      </c>
    </row>
    <row r="981">
      <c r="A981" s="2">
        <f>Raw_Data!A981</f>
        <v/>
      </c>
      <c r="B981" s="7">
        <f>Raw_Data!B981</f>
        <v/>
      </c>
      <c r="C981" s="2">
        <f>Raw_Data!C981</f>
        <v/>
      </c>
      <c r="D981" s="2">
        <f>Raw_Data!D981</f>
        <v/>
      </c>
      <c r="E981" s="8">
        <f>Raw_Data!F981</f>
        <v/>
      </c>
      <c r="F981" s="7">
        <f>Raw_Data!H981</f>
        <v/>
      </c>
      <c r="G981" s="7">
        <f>Raw_Data!I981</f>
        <v/>
      </c>
      <c r="H981" s="2">
        <f>Raw_Data!J981</f>
        <v/>
      </c>
      <c r="I981" s="2">
        <f>IF(G981="",0,G981-B981)</f>
        <v/>
      </c>
      <c r="J981" s="2">
        <f>IF(H981="Paid",MAX(0,G981-F981),MAX(0,DATE(2026,12,31)-F981))</f>
        <v/>
      </c>
      <c r="K981" s="8">
        <f>IF(H981="Paid",0,E981)</f>
        <v/>
      </c>
      <c r="L981" s="2">
        <f>IF(J981=0,"Current",IF(J981&lt;=30,"1-30 Days",IF(J981&lt;=60,"31-60 Days",IF(J981&lt;=90,"61-90 Days","90+ Days"))))</f>
        <v/>
      </c>
      <c r="M981" s="8">
        <f>IF(Raw_Data!K981="Yes",Raw_Data!F981*Raw_Data!L981,0)</f>
        <v/>
      </c>
      <c r="N981" s="2">
        <f>IF(H981&lt;&gt;"Paid","Outstanding",IF(J981=0,"On Time","Late"))</f>
        <v/>
      </c>
    </row>
    <row r="982">
      <c r="A982" s="2">
        <f>Raw_Data!A982</f>
        <v/>
      </c>
      <c r="B982" s="7">
        <f>Raw_Data!B982</f>
        <v/>
      </c>
      <c r="C982" s="2">
        <f>Raw_Data!C982</f>
        <v/>
      </c>
      <c r="D982" s="2">
        <f>Raw_Data!D982</f>
        <v/>
      </c>
      <c r="E982" s="8">
        <f>Raw_Data!F982</f>
        <v/>
      </c>
      <c r="F982" s="7">
        <f>Raw_Data!H982</f>
        <v/>
      </c>
      <c r="G982" s="7">
        <f>Raw_Data!I982</f>
        <v/>
      </c>
      <c r="H982" s="2">
        <f>Raw_Data!J982</f>
        <v/>
      </c>
      <c r="I982" s="2">
        <f>IF(G982="",0,G982-B982)</f>
        <v/>
      </c>
      <c r="J982" s="2">
        <f>IF(H982="Paid",MAX(0,G982-F982),MAX(0,DATE(2026,12,31)-F982))</f>
        <v/>
      </c>
      <c r="K982" s="8">
        <f>IF(H982="Paid",0,E982)</f>
        <v/>
      </c>
      <c r="L982" s="2">
        <f>IF(J982=0,"Current",IF(J982&lt;=30,"1-30 Days",IF(J982&lt;=60,"31-60 Days",IF(J982&lt;=90,"61-90 Days","90+ Days"))))</f>
        <v/>
      </c>
      <c r="M982" s="8">
        <f>IF(Raw_Data!K982="Yes",Raw_Data!F982*Raw_Data!L982,0)</f>
        <v/>
      </c>
      <c r="N982" s="2">
        <f>IF(H982&lt;&gt;"Paid","Outstanding",IF(J982=0,"On Time","Late"))</f>
        <v/>
      </c>
    </row>
    <row r="983">
      <c r="A983" s="2">
        <f>Raw_Data!A983</f>
        <v/>
      </c>
      <c r="B983" s="7">
        <f>Raw_Data!B983</f>
        <v/>
      </c>
      <c r="C983" s="2">
        <f>Raw_Data!C983</f>
        <v/>
      </c>
      <c r="D983" s="2">
        <f>Raw_Data!D983</f>
        <v/>
      </c>
      <c r="E983" s="8">
        <f>Raw_Data!F983</f>
        <v/>
      </c>
      <c r="F983" s="7">
        <f>Raw_Data!H983</f>
        <v/>
      </c>
      <c r="G983" s="7">
        <f>Raw_Data!I983</f>
        <v/>
      </c>
      <c r="H983" s="2">
        <f>Raw_Data!J983</f>
        <v/>
      </c>
      <c r="I983" s="2">
        <f>IF(G983="",0,G983-B983)</f>
        <v/>
      </c>
      <c r="J983" s="2">
        <f>IF(H983="Paid",MAX(0,G983-F983),MAX(0,DATE(2026,12,31)-F983))</f>
        <v/>
      </c>
      <c r="K983" s="8">
        <f>IF(H983="Paid",0,E983)</f>
        <v/>
      </c>
      <c r="L983" s="2">
        <f>IF(J983=0,"Current",IF(J983&lt;=30,"1-30 Days",IF(J983&lt;=60,"31-60 Days",IF(J983&lt;=90,"61-90 Days","90+ Days"))))</f>
        <v/>
      </c>
      <c r="M983" s="8">
        <f>IF(Raw_Data!K983="Yes",Raw_Data!F983*Raw_Data!L983,0)</f>
        <v/>
      </c>
      <c r="N983" s="2">
        <f>IF(H983&lt;&gt;"Paid","Outstanding",IF(J983=0,"On Time","Late"))</f>
        <v/>
      </c>
    </row>
    <row r="984">
      <c r="A984" s="2">
        <f>Raw_Data!A984</f>
        <v/>
      </c>
      <c r="B984" s="7">
        <f>Raw_Data!B984</f>
        <v/>
      </c>
      <c r="C984" s="2">
        <f>Raw_Data!C984</f>
        <v/>
      </c>
      <c r="D984" s="2">
        <f>Raw_Data!D984</f>
        <v/>
      </c>
      <c r="E984" s="8">
        <f>Raw_Data!F984</f>
        <v/>
      </c>
      <c r="F984" s="7">
        <f>Raw_Data!H984</f>
        <v/>
      </c>
      <c r="G984" s="7">
        <f>Raw_Data!I984</f>
        <v/>
      </c>
      <c r="H984" s="2">
        <f>Raw_Data!J984</f>
        <v/>
      </c>
      <c r="I984" s="2">
        <f>IF(G984="",0,G984-B984)</f>
        <v/>
      </c>
      <c r="J984" s="2">
        <f>IF(H984="Paid",MAX(0,G984-F984),MAX(0,DATE(2026,12,31)-F984))</f>
        <v/>
      </c>
      <c r="K984" s="8">
        <f>IF(H984="Paid",0,E984)</f>
        <v/>
      </c>
      <c r="L984" s="2">
        <f>IF(J984=0,"Current",IF(J984&lt;=30,"1-30 Days",IF(J984&lt;=60,"31-60 Days",IF(J984&lt;=90,"61-90 Days","90+ Days"))))</f>
        <v/>
      </c>
      <c r="M984" s="8">
        <f>IF(Raw_Data!K984="Yes",Raw_Data!F984*Raw_Data!L984,0)</f>
        <v/>
      </c>
      <c r="N984" s="2">
        <f>IF(H984&lt;&gt;"Paid","Outstanding",IF(J984=0,"On Time","Late"))</f>
        <v/>
      </c>
    </row>
    <row r="985">
      <c r="A985" s="2">
        <f>Raw_Data!A985</f>
        <v/>
      </c>
      <c r="B985" s="7">
        <f>Raw_Data!B985</f>
        <v/>
      </c>
      <c r="C985" s="2">
        <f>Raw_Data!C985</f>
        <v/>
      </c>
      <c r="D985" s="2">
        <f>Raw_Data!D985</f>
        <v/>
      </c>
      <c r="E985" s="8">
        <f>Raw_Data!F985</f>
        <v/>
      </c>
      <c r="F985" s="7">
        <f>Raw_Data!H985</f>
        <v/>
      </c>
      <c r="G985" s="7">
        <f>Raw_Data!I985</f>
        <v/>
      </c>
      <c r="H985" s="2">
        <f>Raw_Data!J985</f>
        <v/>
      </c>
      <c r="I985" s="2">
        <f>IF(G985="",0,G985-B985)</f>
        <v/>
      </c>
      <c r="J985" s="2">
        <f>IF(H985="Paid",MAX(0,G985-F985),MAX(0,DATE(2026,12,31)-F985))</f>
        <v/>
      </c>
      <c r="K985" s="8">
        <f>IF(H985="Paid",0,E985)</f>
        <v/>
      </c>
      <c r="L985" s="2">
        <f>IF(J985=0,"Current",IF(J985&lt;=30,"1-30 Days",IF(J985&lt;=60,"31-60 Days",IF(J985&lt;=90,"61-90 Days","90+ Days"))))</f>
        <v/>
      </c>
      <c r="M985" s="8">
        <f>IF(Raw_Data!K985="Yes",Raw_Data!F985*Raw_Data!L985,0)</f>
        <v/>
      </c>
      <c r="N985" s="2">
        <f>IF(H985&lt;&gt;"Paid","Outstanding",IF(J985=0,"On Time","Late"))</f>
        <v/>
      </c>
    </row>
    <row r="986">
      <c r="A986" s="2">
        <f>Raw_Data!A986</f>
        <v/>
      </c>
      <c r="B986" s="7">
        <f>Raw_Data!B986</f>
        <v/>
      </c>
      <c r="C986" s="2">
        <f>Raw_Data!C986</f>
        <v/>
      </c>
      <c r="D986" s="2">
        <f>Raw_Data!D986</f>
        <v/>
      </c>
      <c r="E986" s="8">
        <f>Raw_Data!F986</f>
        <v/>
      </c>
      <c r="F986" s="7">
        <f>Raw_Data!H986</f>
        <v/>
      </c>
      <c r="G986" s="7">
        <f>Raw_Data!I986</f>
        <v/>
      </c>
      <c r="H986" s="2">
        <f>Raw_Data!J986</f>
        <v/>
      </c>
      <c r="I986" s="2">
        <f>IF(G986="",0,G986-B986)</f>
        <v/>
      </c>
      <c r="J986" s="2">
        <f>IF(H986="Paid",MAX(0,G986-F986),MAX(0,DATE(2026,12,31)-F986))</f>
        <v/>
      </c>
      <c r="K986" s="8">
        <f>IF(H986="Paid",0,E986)</f>
        <v/>
      </c>
      <c r="L986" s="2">
        <f>IF(J986=0,"Current",IF(J986&lt;=30,"1-30 Days",IF(J986&lt;=60,"31-60 Days",IF(J986&lt;=90,"61-90 Days","90+ Days"))))</f>
        <v/>
      </c>
      <c r="M986" s="8">
        <f>IF(Raw_Data!K986="Yes",Raw_Data!F986*Raw_Data!L986,0)</f>
        <v/>
      </c>
      <c r="N986" s="2">
        <f>IF(H986&lt;&gt;"Paid","Outstanding",IF(J986=0,"On Time","Late"))</f>
        <v/>
      </c>
    </row>
    <row r="987">
      <c r="A987" s="2">
        <f>Raw_Data!A987</f>
        <v/>
      </c>
      <c r="B987" s="7">
        <f>Raw_Data!B987</f>
        <v/>
      </c>
      <c r="C987" s="2">
        <f>Raw_Data!C987</f>
        <v/>
      </c>
      <c r="D987" s="2">
        <f>Raw_Data!D987</f>
        <v/>
      </c>
      <c r="E987" s="8">
        <f>Raw_Data!F987</f>
        <v/>
      </c>
      <c r="F987" s="7">
        <f>Raw_Data!H987</f>
        <v/>
      </c>
      <c r="G987" s="7">
        <f>Raw_Data!I987</f>
        <v/>
      </c>
      <c r="H987" s="2">
        <f>Raw_Data!J987</f>
        <v/>
      </c>
      <c r="I987" s="2">
        <f>IF(G987="",0,G987-B987)</f>
        <v/>
      </c>
      <c r="J987" s="2">
        <f>IF(H987="Paid",MAX(0,G987-F987),MAX(0,DATE(2026,12,31)-F987))</f>
        <v/>
      </c>
      <c r="K987" s="8">
        <f>IF(H987="Paid",0,E987)</f>
        <v/>
      </c>
      <c r="L987" s="2">
        <f>IF(J987=0,"Current",IF(J987&lt;=30,"1-30 Days",IF(J987&lt;=60,"31-60 Days",IF(J987&lt;=90,"61-90 Days","90+ Days"))))</f>
        <v/>
      </c>
      <c r="M987" s="8">
        <f>IF(Raw_Data!K987="Yes",Raw_Data!F987*Raw_Data!L987,0)</f>
        <v/>
      </c>
      <c r="N987" s="2">
        <f>IF(H987&lt;&gt;"Paid","Outstanding",IF(J987=0,"On Time","Late"))</f>
        <v/>
      </c>
    </row>
    <row r="988">
      <c r="A988" s="2">
        <f>Raw_Data!A988</f>
        <v/>
      </c>
      <c r="B988" s="7">
        <f>Raw_Data!B988</f>
        <v/>
      </c>
      <c r="C988" s="2">
        <f>Raw_Data!C988</f>
        <v/>
      </c>
      <c r="D988" s="2">
        <f>Raw_Data!D988</f>
        <v/>
      </c>
      <c r="E988" s="8">
        <f>Raw_Data!F988</f>
        <v/>
      </c>
      <c r="F988" s="7">
        <f>Raw_Data!H988</f>
        <v/>
      </c>
      <c r="G988" s="7">
        <f>Raw_Data!I988</f>
        <v/>
      </c>
      <c r="H988" s="2">
        <f>Raw_Data!J988</f>
        <v/>
      </c>
      <c r="I988" s="2">
        <f>IF(G988="",0,G988-B988)</f>
        <v/>
      </c>
      <c r="J988" s="2">
        <f>IF(H988="Paid",MAX(0,G988-F988),MAX(0,DATE(2026,12,31)-F988))</f>
        <v/>
      </c>
      <c r="K988" s="8">
        <f>IF(H988="Paid",0,E988)</f>
        <v/>
      </c>
      <c r="L988" s="2">
        <f>IF(J988=0,"Current",IF(J988&lt;=30,"1-30 Days",IF(J988&lt;=60,"31-60 Days",IF(J988&lt;=90,"61-90 Days","90+ Days"))))</f>
        <v/>
      </c>
      <c r="M988" s="8">
        <f>IF(Raw_Data!K988="Yes",Raw_Data!F988*Raw_Data!L988,0)</f>
        <v/>
      </c>
      <c r="N988" s="2">
        <f>IF(H988&lt;&gt;"Paid","Outstanding",IF(J988=0,"On Time","Late"))</f>
        <v/>
      </c>
    </row>
    <row r="989">
      <c r="A989" s="2">
        <f>Raw_Data!A989</f>
        <v/>
      </c>
      <c r="B989" s="7">
        <f>Raw_Data!B989</f>
        <v/>
      </c>
      <c r="C989" s="2">
        <f>Raw_Data!C989</f>
        <v/>
      </c>
      <c r="D989" s="2">
        <f>Raw_Data!D989</f>
        <v/>
      </c>
      <c r="E989" s="8">
        <f>Raw_Data!F989</f>
        <v/>
      </c>
      <c r="F989" s="7">
        <f>Raw_Data!H989</f>
        <v/>
      </c>
      <c r="G989" s="7">
        <f>Raw_Data!I989</f>
        <v/>
      </c>
      <c r="H989" s="2">
        <f>Raw_Data!J989</f>
        <v/>
      </c>
      <c r="I989" s="2">
        <f>IF(G989="",0,G989-B989)</f>
        <v/>
      </c>
      <c r="J989" s="2">
        <f>IF(H989="Paid",MAX(0,G989-F989),MAX(0,DATE(2026,12,31)-F989))</f>
        <v/>
      </c>
      <c r="K989" s="8">
        <f>IF(H989="Paid",0,E989)</f>
        <v/>
      </c>
      <c r="L989" s="2">
        <f>IF(J989=0,"Current",IF(J989&lt;=30,"1-30 Days",IF(J989&lt;=60,"31-60 Days",IF(J989&lt;=90,"61-90 Days","90+ Days"))))</f>
        <v/>
      </c>
      <c r="M989" s="8">
        <f>IF(Raw_Data!K989="Yes",Raw_Data!F989*Raw_Data!L989,0)</f>
        <v/>
      </c>
      <c r="N989" s="2">
        <f>IF(H989&lt;&gt;"Paid","Outstanding",IF(J989=0,"On Time","Late"))</f>
        <v/>
      </c>
    </row>
    <row r="990">
      <c r="A990" s="2">
        <f>Raw_Data!A990</f>
        <v/>
      </c>
      <c r="B990" s="7">
        <f>Raw_Data!B990</f>
        <v/>
      </c>
      <c r="C990" s="2">
        <f>Raw_Data!C990</f>
        <v/>
      </c>
      <c r="D990" s="2">
        <f>Raw_Data!D990</f>
        <v/>
      </c>
      <c r="E990" s="8">
        <f>Raw_Data!F990</f>
        <v/>
      </c>
      <c r="F990" s="7">
        <f>Raw_Data!H990</f>
        <v/>
      </c>
      <c r="G990" s="7">
        <f>Raw_Data!I990</f>
        <v/>
      </c>
      <c r="H990" s="2">
        <f>Raw_Data!J990</f>
        <v/>
      </c>
      <c r="I990" s="2">
        <f>IF(G990="",0,G990-B990)</f>
        <v/>
      </c>
      <c r="J990" s="2">
        <f>IF(H990="Paid",MAX(0,G990-F990),MAX(0,DATE(2026,12,31)-F990))</f>
        <v/>
      </c>
      <c r="K990" s="8">
        <f>IF(H990="Paid",0,E990)</f>
        <v/>
      </c>
      <c r="L990" s="2">
        <f>IF(J990=0,"Current",IF(J990&lt;=30,"1-30 Days",IF(J990&lt;=60,"31-60 Days",IF(J990&lt;=90,"61-90 Days","90+ Days"))))</f>
        <v/>
      </c>
      <c r="M990" s="8">
        <f>IF(Raw_Data!K990="Yes",Raw_Data!F990*Raw_Data!L990,0)</f>
        <v/>
      </c>
      <c r="N990" s="2">
        <f>IF(H990&lt;&gt;"Paid","Outstanding",IF(J990=0,"On Time","Late"))</f>
        <v/>
      </c>
    </row>
    <row r="991">
      <c r="A991" s="2">
        <f>Raw_Data!A991</f>
        <v/>
      </c>
      <c r="B991" s="7">
        <f>Raw_Data!B991</f>
        <v/>
      </c>
      <c r="C991" s="2">
        <f>Raw_Data!C991</f>
        <v/>
      </c>
      <c r="D991" s="2">
        <f>Raw_Data!D991</f>
        <v/>
      </c>
      <c r="E991" s="8">
        <f>Raw_Data!F991</f>
        <v/>
      </c>
      <c r="F991" s="7">
        <f>Raw_Data!H991</f>
        <v/>
      </c>
      <c r="G991" s="7">
        <f>Raw_Data!I991</f>
        <v/>
      </c>
      <c r="H991" s="2">
        <f>Raw_Data!J991</f>
        <v/>
      </c>
      <c r="I991" s="2">
        <f>IF(G991="",0,G991-B991)</f>
        <v/>
      </c>
      <c r="J991" s="2">
        <f>IF(H991="Paid",MAX(0,G991-F991),MAX(0,DATE(2026,12,31)-F991))</f>
        <v/>
      </c>
      <c r="K991" s="8">
        <f>IF(H991="Paid",0,E991)</f>
        <v/>
      </c>
      <c r="L991" s="2">
        <f>IF(J991=0,"Current",IF(J991&lt;=30,"1-30 Days",IF(J991&lt;=60,"31-60 Days",IF(J991&lt;=90,"61-90 Days","90+ Days"))))</f>
        <v/>
      </c>
      <c r="M991" s="8">
        <f>IF(Raw_Data!K991="Yes",Raw_Data!F991*Raw_Data!L991,0)</f>
        <v/>
      </c>
      <c r="N991" s="2">
        <f>IF(H991&lt;&gt;"Paid","Outstanding",IF(J991=0,"On Time","Late"))</f>
        <v/>
      </c>
    </row>
    <row r="992">
      <c r="A992" s="2">
        <f>Raw_Data!A992</f>
        <v/>
      </c>
      <c r="B992" s="7">
        <f>Raw_Data!B992</f>
        <v/>
      </c>
      <c r="C992" s="2">
        <f>Raw_Data!C992</f>
        <v/>
      </c>
      <c r="D992" s="2">
        <f>Raw_Data!D992</f>
        <v/>
      </c>
      <c r="E992" s="8">
        <f>Raw_Data!F992</f>
        <v/>
      </c>
      <c r="F992" s="7">
        <f>Raw_Data!H992</f>
        <v/>
      </c>
      <c r="G992" s="7">
        <f>Raw_Data!I992</f>
        <v/>
      </c>
      <c r="H992" s="2">
        <f>Raw_Data!J992</f>
        <v/>
      </c>
      <c r="I992" s="2">
        <f>IF(G992="",0,G992-B992)</f>
        <v/>
      </c>
      <c r="J992" s="2">
        <f>IF(H992="Paid",MAX(0,G992-F992),MAX(0,DATE(2026,12,31)-F992))</f>
        <v/>
      </c>
      <c r="K992" s="8">
        <f>IF(H992="Paid",0,E992)</f>
        <v/>
      </c>
      <c r="L992" s="2">
        <f>IF(J992=0,"Current",IF(J992&lt;=30,"1-30 Days",IF(J992&lt;=60,"31-60 Days",IF(J992&lt;=90,"61-90 Days","90+ Days"))))</f>
        <v/>
      </c>
      <c r="M992" s="8">
        <f>IF(Raw_Data!K992="Yes",Raw_Data!F992*Raw_Data!L992,0)</f>
        <v/>
      </c>
      <c r="N992" s="2">
        <f>IF(H992&lt;&gt;"Paid","Outstanding",IF(J992=0,"On Time","Late"))</f>
        <v/>
      </c>
    </row>
    <row r="993">
      <c r="A993" s="2">
        <f>Raw_Data!A993</f>
        <v/>
      </c>
      <c r="B993" s="7">
        <f>Raw_Data!B993</f>
        <v/>
      </c>
      <c r="C993" s="2">
        <f>Raw_Data!C993</f>
        <v/>
      </c>
      <c r="D993" s="2">
        <f>Raw_Data!D993</f>
        <v/>
      </c>
      <c r="E993" s="8">
        <f>Raw_Data!F993</f>
        <v/>
      </c>
      <c r="F993" s="7">
        <f>Raw_Data!H993</f>
        <v/>
      </c>
      <c r="G993" s="7">
        <f>Raw_Data!I993</f>
        <v/>
      </c>
      <c r="H993" s="2">
        <f>Raw_Data!J993</f>
        <v/>
      </c>
      <c r="I993" s="2">
        <f>IF(G993="",0,G993-B993)</f>
        <v/>
      </c>
      <c r="J993" s="2">
        <f>IF(H993="Paid",MAX(0,G993-F993),MAX(0,DATE(2026,12,31)-F993))</f>
        <v/>
      </c>
      <c r="K993" s="8">
        <f>IF(H993="Paid",0,E993)</f>
        <v/>
      </c>
      <c r="L993" s="2">
        <f>IF(J993=0,"Current",IF(J993&lt;=30,"1-30 Days",IF(J993&lt;=60,"31-60 Days",IF(J993&lt;=90,"61-90 Days","90+ Days"))))</f>
        <v/>
      </c>
      <c r="M993" s="8">
        <f>IF(Raw_Data!K993="Yes",Raw_Data!F993*Raw_Data!L993,0)</f>
        <v/>
      </c>
      <c r="N993" s="2">
        <f>IF(H993&lt;&gt;"Paid","Outstanding",IF(J993=0,"On Time","Late"))</f>
        <v/>
      </c>
    </row>
    <row r="994">
      <c r="A994" s="2">
        <f>Raw_Data!A994</f>
        <v/>
      </c>
      <c r="B994" s="7">
        <f>Raw_Data!B994</f>
        <v/>
      </c>
      <c r="C994" s="2">
        <f>Raw_Data!C994</f>
        <v/>
      </c>
      <c r="D994" s="2">
        <f>Raw_Data!D994</f>
        <v/>
      </c>
      <c r="E994" s="8">
        <f>Raw_Data!F994</f>
        <v/>
      </c>
      <c r="F994" s="7">
        <f>Raw_Data!H994</f>
        <v/>
      </c>
      <c r="G994" s="7">
        <f>Raw_Data!I994</f>
        <v/>
      </c>
      <c r="H994" s="2">
        <f>Raw_Data!J994</f>
        <v/>
      </c>
      <c r="I994" s="2">
        <f>IF(G994="",0,G994-B994)</f>
        <v/>
      </c>
      <c r="J994" s="2">
        <f>IF(H994="Paid",MAX(0,G994-F994),MAX(0,DATE(2026,12,31)-F994))</f>
        <v/>
      </c>
      <c r="K994" s="8">
        <f>IF(H994="Paid",0,E994)</f>
        <v/>
      </c>
      <c r="L994" s="2">
        <f>IF(J994=0,"Current",IF(J994&lt;=30,"1-30 Days",IF(J994&lt;=60,"31-60 Days",IF(J994&lt;=90,"61-90 Days","90+ Days"))))</f>
        <v/>
      </c>
      <c r="M994" s="8">
        <f>IF(Raw_Data!K994="Yes",Raw_Data!F994*Raw_Data!L994,0)</f>
        <v/>
      </c>
      <c r="N994" s="2">
        <f>IF(H994&lt;&gt;"Paid","Outstanding",IF(J994=0,"On Time","Late"))</f>
        <v/>
      </c>
    </row>
    <row r="995">
      <c r="A995" s="2">
        <f>Raw_Data!A995</f>
        <v/>
      </c>
      <c r="B995" s="7">
        <f>Raw_Data!B995</f>
        <v/>
      </c>
      <c r="C995" s="2">
        <f>Raw_Data!C995</f>
        <v/>
      </c>
      <c r="D995" s="2">
        <f>Raw_Data!D995</f>
        <v/>
      </c>
      <c r="E995" s="8">
        <f>Raw_Data!F995</f>
        <v/>
      </c>
      <c r="F995" s="7">
        <f>Raw_Data!H995</f>
        <v/>
      </c>
      <c r="G995" s="7">
        <f>Raw_Data!I995</f>
        <v/>
      </c>
      <c r="H995" s="2">
        <f>Raw_Data!J995</f>
        <v/>
      </c>
      <c r="I995" s="2">
        <f>IF(G995="",0,G995-B995)</f>
        <v/>
      </c>
      <c r="J995" s="2">
        <f>IF(H995="Paid",MAX(0,G995-F995),MAX(0,DATE(2026,12,31)-F995))</f>
        <v/>
      </c>
      <c r="K995" s="8">
        <f>IF(H995="Paid",0,E995)</f>
        <v/>
      </c>
      <c r="L995" s="2">
        <f>IF(J995=0,"Current",IF(J995&lt;=30,"1-30 Days",IF(J995&lt;=60,"31-60 Days",IF(J995&lt;=90,"61-90 Days","90+ Days"))))</f>
        <v/>
      </c>
      <c r="M995" s="8">
        <f>IF(Raw_Data!K995="Yes",Raw_Data!F995*Raw_Data!L995,0)</f>
        <v/>
      </c>
      <c r="N995" s="2">
        <f>IF(H995&lt;&gt;"Paid","Outstanding",IF(J995=0,"On Time","Late"))</f>
        <v/>
      </c>
    </row>
    <row r="996">
      <c r="A996" s="2">
        <f>Raw_Data!A996</f>
        <v/>
      </c>
      <c r="B996" s="7">
        <f>Raw_Data!B996</f>
        <v/>
      </c>
      <c r="C996" s="2">
        <f>Raw_Data!C996</f>
        <v/>
      </c>
      <c r="D996" s="2">
        <f>Raw_Data!D996</f>
        <v/>
      </c>
      <c r="E996" s="8">
        <f>Raw_Data!F996</f>
        <v/>
      </c>
      <c r="F996" s="7">
        <f>Raw_Data!H996</f>
        <v/>
      </c>
      <c r="G996" s="7">
        <f>Raw_Data!I996</f>
        <v/>
      </c>
      <c r="H996" s="2">
        <f>Raw_Data!J996</f>
        <v/>
      </c>
      <c r="I996" s="2">
        <f>IF(G996="",0,G996-B996)</f>
        <v/>
      </c>
      <c r="J996" s="2">
        <f>IF(H996="Paid",MAX(0,G996-F996),MAX(0,DATE(2026,12,31)-F996))</f>
        <v/>
      </c>
      <c r="K996" s="8">
        <f>IF(H996="Paid",0,E996)</f>
        <v/>
      </c>
      <c r="L996" s="2">
        <f>IF(J996=0,"Current",IF(J996&lt;=30,"1-30 Days",IF(J996&lt;=60,"31-60 Days",IF(J996&lt;=90,"61-90 Days","90+ Days"))))</f>
        <v/>
      </c>
      <c r="M996" s="8">
        <f>IF(Raw_Data!K996="Yes",Raw_Data!F996*Raw_Data!L996,0)</f>
        <v/>
      </c>
      <c r="N996" s="2">
        <f>IF(H996&lt;&gt;"Paid","Outstanding",IF(J996=0,"On Time","Late"))</f>
        <v/>
      </c>
    </row>
    <row r="997">
      <c r="A997" s="2">
        <f>Raw_Data!A997</f>
        <v/>
      </c>
      <c r="B997" s="7">
        <f>Raw_Data!B997</f>
        <v/>
      </c>
      <c r="C997" s="2">
        <f>Raw_Data!C997</f>
        <v/>
      </c>
      <c r="D997" s="2">
        <f>Raw_Data!D997</f>
        <v/>
      </c>
      <c r="E997" s="8">
        <f>Raw_Data!F997</f>
        <v/>
      </c>
      <c r="F997" s="7">
        <f>Raw_Data!H997</f>
        <v/>
      </c>
      <c r="G997" s="7">
        <f>Raw_Data!I997</f>
        <v/>
      </c>
      <c r="H997" s="2">
        <f>Raw_Data!J997</f>
        <v/>
      </c>
      <c r="I997" s="2">
        <f>IF(G997="",0,G997-B997)</f>
        <v/>
      </c>
      <c r="J997" s="2">
        <f>IF(H997="Paid",MAX(0,G997-F997),MAX(0,DATE(2026,12,31)-F997))</f>
        <v/>
      </c>
      <c r="K997" s="8">
        <f>IF(H997="Paid",0,E997)</f>
        <v/>
      </c>
      <c r="L997" s="2">
        <f>IF(J997=0,"Current",IF(J997&lt;=30,"1-30 Days",IF(J997&lt;=60,"31-60 Days",IF(J997&lt;=90,"61-90 Days","90+ Days"))))</f>
        <v/>
      </c>
      <c r="M997" s="8">
        <f>IF(Raw_Data!K997="Yes",Raw_Data!F997*Raw_Data!L997,0)</f>
        <v/>
      </c>
      <c r="N997" s="2">
        <f>IF(H997&lt;&gt;"Paid","Outstanding",IF(J997=0,"On Time","Late"))</f>
        <v/>
      </c>
    </row>
    <row r="998">
      <c r="A998" s="2">
        <f>Raw_Data!A998</f>
        <v/>
      </c>
      <c r="B998" s="7">
        <f>Raw_Data!B998</f>
        <v/>
      </c>
      <c r="C998" s="2">
        <f>Raw_Data!C998</f>
        <v/>
      </c>
      <c r="D998" s="2">
        <f>Raw_Data!D998</f>
        <v/>
      </c>
      <c r="E998" s="8">
        <f>Raw_Data!F998</f>
        <v/>
      </c>
      <c r="F998" s="7">
        <f>Raw_Data!H998</f>
        <v/>
      </c>
      <c r="G998" s="7">
        <f>Raw_Data!I998</f>
        <v/>
      </c>
      <c r="H998" s="2">
        <f>Raw_Data!J998</f>
        <v/>
      </c>
      <c r="I998" s="2">
        <f>IF(G998="",0,G998-B998)</f>
        <v/>
      </c>
      <c r="J998" s="2">
        <f>IF(H998="Paid",MAX(0,G998-F998),MAX(0,DATE(2026,12,31)-F998))</f>
        <v/>
      </c>
      <c r="K998" s="8">
        <f>IF(H998="Paid",0,E998)</f>
        <v/>
      </c>
      <c r="L998" s="2">
        <f>IF(J998=0,"Current",IF(J998&lt;=30,"1-30 Days",IF(J998&lt;=60,"31-60 Days",IF(J998&lt;=90,"61-90 Days","90+ Days"))))</f>
        <v/>
      </c>
      <c r="M998" s="8">
        <f>IF(Raw_Data!K998="Yes",Raw_Data!F998*Raw_Data!L998,0)</f>
        <v/>
      </c>
      <c r="N998" s="2">
        <f>IF(H998&lt;&gt;"Paid","Outstanding",IF(J998=0,"On Time","Late"))</f>
        <v/>
      </c>
    </row>
    <row r="999">
      <c r="A999" s="2">
        <f>Raw_Data!A999</f>
        <v/>
      </c>
      <c r="B999" s="7">
        <f>Raw_Data!B999</f>
        <v/>
      </c>
      <c r="C999" s="2">
        <f>Raw_Data!C999</f>
        <v/>
      </c>
      <c r="D999" s="2">
        <f>Raw_Data!D999</f>
        <v/>
      </c>
      <c r="E999" s="8">
        <f>Raw_Data!F999</f>
        <v/>
      </c>
      <c r="F999" s="7">
        <f>Raw_Data!H999</f>
        <v/>
      </c>
      <c r="G999" s="7">
        <f>Raw_Data!I999</f>
        <v/>
      </c>
      <c r="H999" s="2">
        <f>Raw_Data!J999</f>
        <v/>
      </c>
      <c r="I999" s="2">
        <f>IF(G999="",0,G999-B999)</f>
        <v/>
      </c>
      <c r="J999" s="2">
        <f>IF(H999="Paid",MAX(0,G999-F999),MAX(0,DATE(2026,12,31)-F999))</f>
        <v/>
      </c>
      <c r="K999" s="8">
        <f>IF(H999="Paid",0,E999)</f>
        <v/>
      </c>
      <c r="L999" s="2">
        <f>IF(J999=0,"Current",IF(J999&lt;=30,"1-30 Days",IF(J999&lt;=60,"31-60 Days",IF(J999&lt;=90,"61-90 Days","90+ Days"))))</f>
        <v/>
      </c>
      <c r="M999" s="8">
        <f>IF(Raw_Data!K999="Yes",Raw_Data!F999*Raw_Data!L999,0)</f>
        <v/>
      </c>
      <c r="N999" s="2">
        <f>IF(H999&lt;&gt;"Paid","Outstanding",IF(J999=0,"On Time","Late"))</f>
        <v/>
      </c>
    </row>
    <row r="1000">
      <c r="A1000" s="2">
        <f>Raw_Data!A1000</f>
        <v/>
      </c>
      <c r="B1000" s="7">
        <f>Raw_Data!B1000</f>
        <v/>
      </c>
      <c r="C1000" s="2">
        <f>Raw_Data!C1000</f>
        <v/>
      </c>
      <c r="D1000" s="2">
        <f>Raw_Data!D1000</f>
        <v/>
      </c>
      <c r="E1000" s="8">
        <f>Raw_Data!F1000</f>
        <v/>
      </c>
      <c r="F1000" s="7">
        <f>Raw_Data!H1000</f>
        <v/>
      </c>
      <c r="G1000" s="7">
        <f>Raw_Data!I1000</f>
        <v/>
      </c>
      <c r="H1000" s="2">
        <f>Raw_Data!J1000</f>
        <v/>
      </c>
      <c r="I1000" s="2">
        <f>IF(G1000="",0,G1000-B1000)</f>
        <v/>
      </c>
      <c r="J1000" s="2">
        <f>IF(H1000="Paid",MAX(0,G1000-F1000),MAX(0,DATE(2026,12,31)-F1000))</f>
        <v/>
      </c>
      <c r="K1000" s="8">
        <f>IF(H1000="Paid",0,E1000)</f>
        <v/>
      </c>
      <c r="L1000" s="2">
        <f>IF(J1000=0,"Current",IF(J1000&lt;=30,"1-30 Days",IF(J1000&lt;=60,"31-60 Days",IF(J1000&lt;=90,"61-90 Days","90+ Days"))))</f>
        <v/>
      </c>
      <c r="M1000" s="8">
        <f>IF(Raw_Data!K1000="Yes",Raw_Data!F1000*Raw_Data!L1000,0)</f>
        <v/>
      </c>
      <c r="N1000" s="2">
        <f>IF(H1000&lt;&gt;"Paid","Outstanding",IF(J1000=0,"On Time","Late"))</f>
        <v/>
      </c>
    </row>
    <row r="1001">
      <c r="A1001" s="2">
        <f>Raw_Data!A1001</f>
        <v/>
      </c>
      <c r="B1001" s="7">
        <f>Raw_Data!B1001</f>
        <v/>
      </c>
      <c r="C1001" s="2">
        <f>Raw_Data!C1001</f>
        <v/>
      </c>
      <c r="D1001" s="2">
        <f>Raw_Data!D1001</f>
        <v/>
      </c>
      <c r="E1001" s="8">
        <f>Raw_Data!F1001</f>
        <v/>
      </c>
      <c r="F1001" s="7">
        <f>Raw_Data!H1001</f>
        <v/>
      </c>
      <c r="G1001" s="7">
        <f>Raw_Data!I1001</f>
        <v/>
      </c>
      <c r="H1001" s="2">
        <f>Raw_Data!J1001</f>
        <v/>
      </c>
      <c r="I1001" s="2">
        <f>IF(G1001="",0,G1001-B1001)</f>
        <v/>
      </c>
      <c r="J1001" s="2">
        <f>IF(H1001="Paid",MAX(0,G1001-F1001),MAX(0,DATE(2026,12,31)-F1001))</f>
        <v/>
      </c>
      <c r="K1001" s="8">
        <f>IF(H1001="Paid",0,E1001)</f>
        <v/>
      </c>
      <c r="L1001" s="2">
        <f>IF(J1001=0,"Current",IF(J1001&lt;=30,"1-30 Days",IF(J1001&lt;=60,"31-60 Days",IF(J1001&lt;=90,"61-90 Days","90+ Days"))))</f>
        <v/>
      </c>
      <c r="M1001" s="8">
        <f>IF(Raw_Data!K1001="Yes",Raw_Data!F1001*Raw_Data!L1001,0)</f>
        <v/>
      </c>
      <c r="N1001" s="2">
        <f>IF(H1001&lt;&gt;"Paid","Outstanding",IF(J1001=0,"On Time","Late"))</f>
        <v/>
      </c>
    </row>
    <row r="1002">
      <c r="A1002" s="2">
        <f>Raw_Data!A1002</f>
        <v/>
      </c>
      <c r="B1002" s="7">
        <f>Raw_Data!B1002</f>
        <v/>
      </c>
      <c r="C1002" s="2">
        <f>Raw_Data!C1002</f>
        <v/>
      </c>
      <c r="D1002" s="2">
        <f>Raw_Data!D1002</f>
        <v/>
      </c>
      <c r="E1002" s="8">
        <f>Raw_Data!F1002</f>
        <v/>
      </c>
      <c r="F1002" s="7">
        <f>Raw_Data!H1002</f>
        <v/>
      </c>
      <c r="G1002" s="7">
        <f>Raw_Data!I1002</f>
        <v/>
      </c>
      <c r="H1002" s="2">
        <f>Raw_Data!J1002</f>
        <v/>
      </c>
      <c r="I1002" s="2">
        <f>IF(G1002="",0,G1002-B1002)</f>
        <v/>
      </c>
      <c r="J1002" s="2">
        <f>IF(H1002="Paid",MAX(0,G1002-F1002),MAX(0,DATE(2026,12,31)-F1002))</f>
        <v/>
      </c>
      <c r="K1002" s="8">
        <f>IF(H1002="Paid",0,E1002)</f>
        <v/>
      </c>
      <c r="L1002" s="2">
        <f>IF(J1002=0,"Current",IF(J1002&lt;=30,"1-30 Days",IF(J1002&lt;=60,"31-60 Days",IF(J1002&lt;=90,"61-90 Days","90+ Days"))))</f>
        <v/>
      </c>
      <c r="M1002" s="8">
        <f>IF(Raw_Data!K1002="Yes",Raw_Data!F1002*Raw_Data!L1002,0)</f>
        <v/>
      </c>
      <c r="N1002" s="2">
        <f>IF(H1002&lt;&gt;"Paid","Outstanding",IF(J1002=0,"On Time","Late"))</f>
        <v/>
      </c>
    </row>
    <row r="1003">
      <c r="A1003" s="2">
        <f>Raw_Data!A1003</f>
        <v/>
      </c>
      <c r="B1003" s="7">
        <f>Raw_Data!B1003</f>
        <v/>
      </c>
      <c r="C1003" s="2">
        <f>Raw_Data!C1003</f>
        <v/>
      </c>
      <c r="D1003" s="2">
        <f>Raw_Data!D1003</f>
        <v/>
      </c>
      <c r="E1003" s="8">
        <f>Raw_Data!F1003</f>
        <v/>
      </c>
      <c r="F1003" s="7">
        <f>Raw_Data!H1003</f>
        <v/>
      </c>
      <c r="G1003" s="7">
        <f>Raw_Data!I1003</f>
        <v/>
      </c>
      <c r="H1003" s="2">
        <f>Raw_Data!J1003</f>
        <v/>
      </c>
      <c r="I1003" s="2">
        <f>IF(G1003="",0,G1003-B1003)</f>
        <v/>
      </c>
      <c r="J1003" s="2">
        <f>IF(H1003="Paid",MAX(0,G1003-F1003),MAX(0,DATE(2026,12,31)-F1003))</f>
        <v/>
      </c>
      <c r="K1003" s="8">
        <f>IF(H1003="Paid",0,E1003)</f>
        <v/>
      </c>
      <c r="L1003" s="2">
        <f>IF(J1003=0,"Current",IF(J1003&lt;=30,"1-30 Days",IF(J1003&lt;=60,"31-60 Days",IF(J1003&lt;=90,"61-90 Days","90+ Days"))))</f>
        <v/>
      </c>
      <c r="M1003" s="8">
        <f>IF(Raw_Data!K1003="Yes",Raw_Data!F1003*Raw_Data!L1003,0)</f>
        <v/>
      </c>
      <c r="N1003" s="2">
        <f>IF(H1003&lt;&gt;"Paid","Outstanding",IF(J1003=0,"On Time","Late"))</f>
        <v/>
      </c>
    </row>
  </sheetData>
  <autoFilter ref="A3:N100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AP Aging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Aging_Bucket</t>
        </is>
      </c>
      <c r="B3" s="6" t="inlineStr">
        <is>
          <t>Invoice_Count</t>
        </is>
      </c>
      <c r="C3" s="6" t="inlineStr">
        <is>
          <t>Outstanding_Amount</t>
        </is>
      </c>
      <c r="D3" s="6" t="inlineStr">
        <is>
          <t>% of Outstanding</t>
        </is>
      </c>
      <c r="E3" s="6" t="inlineStr">
        <is>
          <t>Management Meaning</t>
        </is>
      </c>
      <c r="F3" s="2" t="n"/>
      <c r="G3" s="2" t="n"/>
      <c r="H3" s="2" t="n"/>
    </row>
    <row r="4">
      <c r="A4" s="2" t="inlineStr">
        <is>
          <t>Current</t>
        </is>
      </c>
      <c r="B4" s="2">
        <f>COUNTIF(Calculated_Fields!L4:L1003,A4)</f>
        <v/>
      </c>
      <c r="C4" s="8">
        <f>SUMIF(Calculated_Fields!L4:L1003,A4,Calculated_Fields!K4:K1003)</f>
        <v/>
      </c>
      <c r="D4" s="9">
        <f>IFERROR(C4/SUM($C$4:$C$8),0)</f>
        <v/>
      </c>
      <c r="E4" s="2" t="inlineStr">
        <is>
          <t>Not overdue</t>
        </is>
      </c>
      <c r="F4" s="2" t="n"/>
      <c r="G4" s="2" t="n"/>
      <c r="H4" s="2" t="n"/>
    </row>
    <row r="5">
      <c r="A5" s="2" t="inlineStr">
        <is>
          <t>1-30 Days</t>
        </is>
      </c>
      <c r="B5" s="2">
        <f>COUNTIF(Calculated_Fields!L4:L1003,A5)</f>
        <v/>
      </c>
      <c r="C5" s="8">
        <f>SUMIF(Calculated_Fields!L4:L1003,A5,Calculated_Fields!K4:K1003)</f>
        <v/>
      </c>
      <c r="D5" s="9">
        <f>IFERROR(C5/SUM($C$4:$C$8),0)</f>
        <v/>
      </c>
      <c r="E5" s="2" t="inlineStr">
        <is>
          <t>Early overdue</t>
        </is>
      </c>
      <c r="F5" s="2" t="n"/>
      <c r="G5" s="2" t="n"/>
      <c r="H5" s="2" t="n"/>
    </row>
    <row r="6">
      <c r="A6" s="2" t="inlineStr">
        <is>
          <t>31-60 Days</t>
        </is>
      </c>
      <c r="B6" s="2">
        <f>COUNTIF(Calculated_Fields!L4:L1003,A6)</f>
        <v/>
      </c>
      <c r="C6" s="8">
        <f>SUMIF(Calculated_Fields!L4:L1003,A6,Calculated_Fields!K4:K1003)</f>
        <v/>
      </c>
      <c r="D6" s="9">
        <f>IFERROR(C6/SUM($C$4:$C$8),0)</f>
        <v/>
      </c>
      <c r="E6" s="2" t="inlineStr">
        <is>
          <t>Moderate overdue</t>
        </is>
      </c>
      <c r="F6" s="2" t="n"/>
      <c r="G6" s="2" t="n"/>
      <c r="H6" s="2" t="n"/>
    </row>
    <row r="7">
      <c r="A7" s="2" t="inlineStr">
        <is>
          <t>61-90 Days</t>
        </is>
      </c>
      <c r="B7" s="2">
        <f>COUNTIF(Calculated_Fields!L4:L1003,A7)</f>
        <v/>
      </c>
      <c r="C7" s="8">
        <f>SUMIF(Calculated_Fields!L4:L1003,A7,Calculated_Fields!K4:K1003)</f>
        <v/>
      </c>
      <c r="D7" s="9">
        <f>IFERROR(C7/SUM($C$4:$C$8),0)</f>
        <v/>
      </c>
      <c r="E7" s="2" t="inlineStr">
        <is>
          <t>Significant overdue</t>
        </is>
      </c>
      <c r="F7" s="2" t="n"/>
      <c r="G7" s="2" t="n"/>
      <c r="H7" s="2" t="n"/>
    </row>
    <row r="8">
      <c r="A8" s="2" t="inlineStr">
        <is>
          <t>90+ Days</t>
        </is>
      </c>
      <c r="B8" s="2">
        <f>COUNTIF(Calculated_Fields!L4:L1003,A8)</f>
        <v/>
      </c>
      <c r="C8" s="8">
        <f>SUMIF(Calculated_Fields!L4:L1003,A8,Calculated_Fields!K4:K1003)</f>
        <v/>
      </c>
      <c r="D8" s="9">
        <f>IFERROR(C8/SUM($C$4:$C$8),0)</f>
        <v/>
      </c>
      <c r="E8" s="2" t="inlineStr">
        <is>
          <t>High-priority overdue</t>
        </is>
      </c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Total Outstanding</t>
        </is>
      </c>
      <c r="B10" s="2" t="n"/>
      <c r="C10" s="8">
        <f>SUM(C4:C8)</f>
        <v/>
      </c>
      <c r="D10" s="2" t="n"/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0" customWidth="1" min="9" max="9"/>
    <col width="14" customWidth="1" min="10" max="10"/>
  </cols>
  <sheetData>
    <row r="1">
      <c r="A1" s="1" t="inlineStr">
        <is>
          <t>Vendor-Level AP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6" t="inlineStr">
        <is>
          <t>Vendor</t>
        </is>
      </c>
      <c r="B3" s="6" t="inlineStr">
        <is>
          <t>Invoice_Count</t>
        </is>
      </c>
      <c r="C3" s="6" t="inlineStr">
        <is>
          <t>Total_Invoice_Value</t>
        </is>
      </c>
      <c r="D3" s="6" t="inlineStr">
        <is>
          <t>Outstanding_AP</t>
        </is>
      </c>
      <c r="E3" s="6" t="inlineStr">
        <is>
          <t>Overdue_AP</t>
        </is>
      </c>
      <c r="F3" s="6" t="inlineStr">
        <is>
          <t>Overdue_Invoices</t>
        </is>
      </c>
      <c r="G3" s="6" t="inlineStr">
        <is>
          <t>Average_Days_Past_Due</t>
        </is>
      </c>
      <c r="H3" s="6" t="inlineStr">
        <is>
          <t>Discount_Opportunity</t>
        </is>
      </c>
      <c r="I3" s="6" t="inlineStr">
        <is>
          <t>% of Outstanding</t>
        </is>
      </c>
      <c r="J3" s="6" t="inlineStr">
        <is>
          <t>Priority</t>
        </is>
      </c>
    </row>
    <row r="4">
      <c r="A4" s="2" t="inlineStr">
        <is>
          <t>Microsoft</t>
        </is>
      </c>
      <c r="B4" s="2">
        <f>COUNTIF(Calculated_Fields!C4:C1003,A4)</f>
        <v/>
      </c>
      <c r="C4" s="8">
        <f>SUMIF(Calculated_Fields!C4:C1003,A4,Calculated_Fields!E4:E1003)</f>
        <v/>
      </c>
      <c r="D4" s="8">
        <f>SUMIF(Calculated_Fields!C4:C1003,A4,Calculated_Fields!K4:K1003)</f>
        <v/>
      </c>
      <c r="E4" s="8">
        <f>SUMIFS(Calculated_Fields!K4:K1003,Calculated_Fields!C4:C1003,A4,Calculated_Fields!J4:J1003,"&gt;0")</f>
        <v/>
      </c>
      <c r="F4" s="2">
        <f>COUNTIFS(Calculated_Fields!C4:C1003,A4,Calculated_Fields!J4:J1003,"&gt;0",Calculated_Fields!K4:K1003,"&gt;0")</f>
        <v/>
      </c>
      <c r="G4" s="2">
        <f>IFERROR(AVERAGEIFS(Calculated_Fields!J4:J1003,Calculated_Fields!C4:C1003,A4,Calculated_Fields!K4:K1003,"&gt;0"),0)</f>
        <v/>
      </c>
      <c r="H4" s="8">
        <f>SUMIF(Calculated_Fields!C4:C1003,A4,Calculated_Fields!M4:M1003)</f>
        <v/>
      </c>
      <c r="I4" s="9">
        <f>IFERROR(D4/SUM($D$4:$D$18),0)</f>
        <v/>
      </c>
      <c r="J4" s="2">
        <f>IF(E4&gt;=PERCENTILE($E$4:$E$18,0.75),"High",IF(E4&gt;=PERCENTILE($E$4:$E$18,0.5),"Medium","Low"))</f>
        <v/>
      </c>
    </row>
    <row r="5">
      <c r="A5" s="2" t="inlineStr">
        <is>
          <t>Amazon Web Services</t>
        </is>
      </c>
      <c r="B5" s="2">
        <f>COUNTIF(Calculated_Fields!C4:C1003,A5)</f>
        <v/>
      </c>
      <c r="C5" s="8">
        <f>SUMIF(Calculated_Fields!C4:C1003,A5,Calculated_Fields!E4:E1003)</f>
        <v/>
      </c>
      <c r="D5" s="8">
        <f>SUMIF(Calculated_Fields!C4:C1003,A5,Calculated_Fields!K4:K1003)</f>
        <v/>
      </c>
      <c r="E5" s="8">
        <f>SUMIFS(Calculated_Fields!K4:K1003,Calculated_Fields!C4:C1003,A5,Calculated_Fields!J4:J1003,"&gt;0")</f>
        <v/>
      </c>
      <c r="F5" s="2">
        <f>COUNTIFS(Calculated_Fields!C4:C1003,A5,Calculated_Fields!J4:J1003,"&gt;0",Calculated_Fields!K4:K1003,"&gt;0")</f>
        <v/>
      </c>
      <c r="G5" s="2">
        <f>IFERROR(AVERAGEIFS(Calculated_Fields!J4:J1003,Calculated_Fields!C4:C1003,A5,Calculated_Fields!K4:K1003,"&gt;0"),0)</f>
        <v/>
      </c>
      <c r="H5" s="8">
        <f>SUMIF(Calculated_Fields!C4:C1003,A5,Calculated_Fields!M4:M1003)</f>
        <v/>
      </c>
      <c r="I5" s="9">
        <f>IFERROR(D5/SUM($D$4:$D$18),0)</f>
        <v/>
      </c>
      <c r="J5" s="2">
        <f>IF(E5&gt;=PERCENTILE($E$4:$E$18,0.75),"High",IF(E5&gt;=PERCENTILE($E$4:$E$18,0.5),"Medium","Low"))</f>
        <v/>
      </c>
    </row>
    <row r="6">
      <c r="A6" s="2" t="inlineStr">
        <is>
          <t>Deloitte</t>
        </is>
      </c>
      <c r="B6" s="2">
        <f>COUNTIF(Calculated_Fields!C4:C1003,A6)</f>
        <v/>
      </c>
      <c r="C6" s="8">
        <f>SUMIF(Calculated_Fields!C4:C1003,A6,Calculated_Fields!E4:E1003)</f>
        <v/>
      </c>
      <c r="D6" s="8">
        <f>SUMIF(Calculated_Fields!C4:C1003,A6,Calculated_Fields!K4:K1003)</f>
        <v/>
      </c>
      <c r="E6" s="8">
        <f>SUMIFS(Calculated_Fields!K4:K1003,Calculated_Fields!C4:C1003,A6,Calculated_Fields!J4:J1003,"&gt;0")</f>
        <v/>
      </c>
      <c r="F6" s="2">
        <f>COUNTIFS(Calculated_Fields!C4:C1003,A6,Calculated_Fields!J4:J1003,"&gt;0",Calculated_Fields!K4:K1003,"&gt;0")</f>
        <v/>
      </c>
      <c r="G6" s="2">
        <f>IFERROR(AVERAGEIFS(Calculated_Fields!J4:J1003,Calculated_Fields!C4:C1003,A6,Calculated_Fields!K4:K1003,"&gt;0"),0)</f>
        <v/>
      </c>
      <c r="H6" s="8">
        <f>SUMIF(Calculated_Fields!C4:C1003,A6,Calculated_Fields!M4:M1003)</f>
        <v/>
      </c>
      <c r="I6" s="9">
        <f>IFERROR(D6/SUM($D$4:$D$18),0)</f>
        <v/>
      </c>
      <c r="J6" s="2">
        <f>IF(E6&gt;=PERCENTILE($E$4:$E$18,0.75),"High",IF(E6&gt;=PERCENTILE($E$4:$E$18,0.5),"Medium","Low"))</f>
        <v/>
      </c>
    </row>
    <row r="7">
      <c r="A7" s="2" t="inlineStr">
        <is>
          <t>TCS</t>
        </is>
      </c>
      <c r="B7" s="2">
        <f>COUNTIF(Calculated_Fields!C4:C1003,A7)</f>
        <v/>
      </c>
      <c r="C7" s="8">
        <f>SUMIF(Calculated_Fields!C4:C1003,A7,Calculated_Fields!E4:E1003)</f>
        <v/>
      </c>
      <c r="D7" s="8">
        <f>SUMIF(Calculated_Fields!C4:C1003,A7,Calculated_Fields!K4:K1003)</f>
        <v/>
      </c>
      <c r="E7" s="8">
        <f>SUMIFS(Calculated_Fields!K4:K1003,Calculated_Fields!C4:C1003,A7,Calculated_Fields!J4:J1003,"&gt;0")</f>
        <v/>
      </c>
      <c r="F7" s="2">
        <f>COUNTIFS(Calculated_Fields!C4:C1003,A7,Calculated_Fields!J4:J1003,"&gt;0",Calculated_Fields!K4:K1003,"&gt;0")</f>
        <v/>
      </c>
      <c r="G7" s="2">
        <f>IFERROR(AVERAGEIFS(Calculated_Fields!J4:J1003,Calculated_Fields!C4:C1003,A7,Calculated_Fields!K4:K1003,"&gt;0"),0)</f>
        <v/>
      </c>
      <c r="H7" s="8">
        <f>SUMIF(Calculated_Fields!C4:C1003,A7,Calculated_Fields!M4:M1003)</f>
        <v/>
      </c>
      <c r="I7" s="9">
        <f>IFERROR(D7/SUM($D$4:$D$18),0)</f>
        <v/>
      </c>
      <c r="J7" s="2">
        <f>IF(E7&gt;=PERCENTILE($E$4:$E$18,0.75),"High",IF(E7&gt;=PERCENTILE($E$4:$E$18,0.5),"Medium","Low"))</f>
        <v/>
      </c>
    </row>
    <row r="8">
      <c r="A8" s="2" t="inlineStr">
        <is>
          <t>Infosys</t>
        </is>
      </c>
      <c r="B8" s="2">
        <f>COUNTIF(Calculated_Fields!C4:C1003,A8)</f>
        <v/>
      </c>
      <c r="C8" s="8">
        <f>SUMIF(Calculated_Fields!C4:C1003,A8,Calculated_Fields!E4:E1003)</f>
        <v/>
      </c>
      <c r="D8" s="8">
        <f>SUMIF(Calculated_Fields!C4:C1003,A8,Calculated_Fields!K4:K1003)</f>
        <v/>
      </c>
      <c r="E8" s="8">
        <f>SUMIFS(Calculated_Fields!K4:K1003,Calculated_Fields!C4:C1003,A8,Calculated_Fields!J4:J1003,"&gt;0")</f>
        <v/>
      </c>
      <c r="F8" s="2">
        <f>COUNTIFS(Calculated_Fields!C4:C1003,A8,Calculated_Fields!J4:J1003,"&gt;0",Calculated_Fields!K4:K1003,"&gt;0")</f>
        <v/>
      </c>
      <c r="G8" s="2">
        <f>IFERROR(AVERAGEIFS(Calculated_Fields!J4:J1003,Calculated_Fields!C4:C1003,A8,Calculated_Fields!K4:K1003,"&gt;0"),0)</f>
        <v/>
      </c>
      <c r="H8" s="8">
        <f>SUMIF(Calculated_Fields!C4:C1003,A8,Calculated_Fields!M4:M1003)</f>
        <v/>
      </c>
      <c r="I8" s="9">
        <f>IFERROR(D8/SUM($D$4:$D$18),0)</f>
        <v/>
      </c>
      <c r="J8" s="2">
        <f>IF(E8&gt;=PERCENTILE($E$4:$E$18,0.75),"High",IF(E8&gt;=PERCENTILE($E$4:$E$18,0.5),"Medium","Low"))</f>
        <v/>
      </c>
    </row>
    <row r="9">
      <c r="A9" s="2" t="inlineStr">
        <is>
          <t>Oracle</t>
        </is>
      </c>
      <c r="B9" s="2">
        <f>COUNTIF(Calculated_Fields!C4:C1003,A9)</f>
        <v/>
      </c>
      <c r="C9" s="8">
        <f>SUMIF(Calculated_Fields!C4:C1003,A9,Calculated_Fields!E4:E1003)</f>
        <v/>
      </c>
      <c r="D9" s="8">
        <f>SUMIF(Calculated_Fields!C4:C1003,A9,Calculated_Fields!K4:K1003)</f>
        <v/>
      </c>
      <c r="E9" s="8">
        <f>SUMIFS(Calculated_Fields!K4:K1003,Calculated_Fields!C4:C1003,A9,Calculated_Fields!J4:J1003,"&gt;0")</f>
        <v/>
      </c>
      <c r="F9" s="2">
        <f>COUNTIFS(Calculated_Fields!C4:C1003,A9,Calculated_Fields!J4:J1003,"&gt;0",Calculated_Fields!K4:K1003,"&gt;0")</f>
        <v/>
      </c>
      <c r="G9" s="2">
        <f>IFERROR(AVERAGEIFS(Calculated_Fields!J4:J1003,Calculated_Fields!C4:C1003,A9,Calculated_Fields!K4:K1003,"&gt;0"),0)</f>
        <v/>
      </c>
      <c r="H9" s="8">
        <f>SUMIF(Calculated_Fields!C4:C1003,A9,Calculated_Fields!M4:M1003)</f>
        <v/>
      </c>
      <c r="I9" s="9">
        <f>IFERROR(D9/SUM($D$4:$D$18),0)</f>
        <v/>
      </c>
      <c r="J9" s="2">
        <f>IF(E9&gt;=PERCENTILE($E$4:$E$18,0.75),"High",IF(E9&gt;=PERCENTILE($E$4:$E$18,0.5),"Medium","Low"))</f>
        <v/>
      </c>
    </row>
    <row r="10">
      <c r="A10" s="2" t="inlineStr">
        <is>
          <t>Adobe</t>
        </is>
      </c>
      <c r="B10" s="2">
        <f>COUNTIF(Calculated_Fields!C4:C1003,A10)</f>
        <v/>
      </c>
      <c r="C10" s="8">
        <f>SUMIF(Calculated_Fields!C4:C1003,A10,Calculated_Fields!E4:E1003)</f>
        <v/>
      </c>
      <c r="D10" s="8">
        <f>SUMIF(Calculated_Fields!C4:C1003,A10,Calculated_Fields!K4:K1003)</f>
        <v/>
      </c>
      <c r="E10" s="8">
        <f>SUMIFS(Calculated_Fields!K4:K1003,Calculated_Fields!C4:C1003,A10,Calculated_Fields!J4:J1003,"&gt;0")</f>
        <v/>
      </c>
      <c r="F10" s="2">
        <f>COUNTIFS(Calculated_Fields!C4:C1003,A10,Calculated_Fields!J4:J1003,"&gt;0",Calculated_Fields!K4:K1003,"&gt;0")</f>
        <v/>
      </c>
      <c r="G10" s="2">
        <f>IFERROR(AVERAGEIFS(Calculated_Fields!J4:J1003,Calculated_Fields!C4:C1003,A10,Calculated_Fields!K4:K1003,"&gt;0"),0)</f>
        <v/>
      </c>
      <c r="H10" s="8">
        <f>SUMIF(Calculated_Fields!C4:C1003,A10,Calculated_Fields!M4:M1003)</f>
        <v/>
      </c>
      <c r="I10" s="9">
        <f>IFERROR(D10/SUM($D$4:$D$18),0)</f>
        <v/>
      </c>
      <c r="J10" s="2">
        <f>IF(E10&gt;=PERCENTILE($E$4:$E$18,0.75),"High",IF(E10&gt;=PERCENTILE($E$4:$E$18,0.5),"Medium","Low"))</f>
        <v/>
      </c>
    </row>
    <row r="11">
      <c r="A11" s="2" t="inlineStr">
        <is>
          <t>IBM</t>
        </is>
      </c>
      <c r="B11" s="2">
        <f>COUNTIF(Calculated_Fields!C4:C1003,A11)</f>
        <v/>
      </c>
      <c r="C11" s="8">
        <f>SUMIF(Calculated_Fields!C4:C1003,A11,Calculated_Fields!E4:E1003)</f>
        <v/>
      </c>
      <c r="D11" s="8">
        <f>SUMIF(Calculated_Fields!C4:C1003,A11,Calculated_Fields!K4:K1003)</f>
        <v/>
      </c>
      <c r="E11" s="8">
        <f>SUMIFS(Calculated_Fields!K4:K1003,Calculated_Fields!C4:C1003,A11,Calculated_Fields!J4:J1003,"&gt;0")</f>
        <v/>
      </c>
      <c r="F11" s="2">
        <f>COUNTIFS(Calculated_Fields!C4:C1003,A11,Calculated_Fields!J4:J1003,"&gt;0",Calculated_Fields!K4:K1003,"&gt;0")</f>
        <v/>
      </c>
      <c r="G11" s="2">
        <f>IFERROR(AVERAGEIFS(Calculated_Fields!J4:J1003,Calculated_Fields!C4:C1003,A11,Calculated_Fields!K4:K1003,"&gt;0"),0)</f>
        <v/>
      </c>
      <c r="H11" s="8">
        <f>SUMIF(Calculated_Fields!C4:C1003,A11,Calculated_Fields!M4:M1003)</f>
        <v/>
      </c>
      <c r="I11" s="9">
        <f>IFERROR(D11/SUM($D$4:$D$18),0)</f>
        <v/>
      </c>
      <c r="J11" s="2">
        <f>IF(E11&gt;=PERCENTILE($E$4:$E$18,0.75),"High",IF(E11&gt;=PERCENTILE($E$4:$E$18,0.5),"Medium","Low"))</f>
        <v/>
      </c>
    </row>
    <row r="12">
      <c r="A12" s="2" t="inlineStr">
        <is>
          <t>Google Cloud</t>
        </is>
      </c>
      <c r="B12" s="2">
        <f>COUNTIF(Calculated_Fields!C4:C1003,A12)</f>
        <v/>
      </c>
      <c r="C12" s="8">
        <f>SUMIF(Calculated_Fields!C4:C1003,A12,Calculated_Fields!E4:E1003)</f>
        <v/>
      </c>
      <c r="D12" s="8">
        <f>SUMIF(Calculated_Fields!C4:C1003,A12,Calculated_Fields!K4:K1003)</f>
        <v/>
      </c>
      <c r="E12" s="8">
        <f>SUMIFS(Calculated_Fields!K4:K1003,Calculated_Fields!C4:C1003,A12,Calculated_Fields!J4:J1003,"&gt;0")</f>
        <v/>
      </c>
      <c r="F12" s="2">
        <f>COUNTIFS(Calculated_Fields!C4:C1003,A12,Calculated_Fields!J4:J1003,"&gt;0",Calculated_Fields!K4:K1003,"&gt;0")</f>
        <v/>
      </c>
      <c r="G12" s="2">
        <f>IFERROR(AVERAGEIFS(Calculated_Fields!J4:J1003,Calculated_Fields!C4:C1003,A12,Calculated_Fields!K4:K1003,"&gt;0"),0)</f>
        <v/>
      </c>
      <c r="H12" s="8">
        <f>SUMIF(Calculated_Fields!C4:C1003,A12,Calculated_Fields!M4:M1003)</f>
        <v/>
      </c>
      <c r="I12" s="9">
        <f>IFERROR(D12/SUM($D$4:$D$18),0)</f>
        <v/>
      </c>
      <c r="J12" s="2">
        <f>IF(E12&gt;=PERCENTILE($E$4:$E$18,0.75),"High",IF(E12&gt;=PERCENTILE($E$4:$E$18,0.5),"Medium","Low"))</f>
        <v/>
      </c>
    </row>
    <row r="13">
      <c r="A13" s="2" t="inlineStr">
        <is>
          <t>Accenture</t>
        </is>
      </c>
      <c r="B13" s="2">
        <f>COUNTIF(Calculated_Fields!C4:C1003,A13)</f>
        <v/>
      </c>
      <c r="C13" s="8">
        <f>SUMIF(Calculated_Fields!C4:C1003,A13,Calculated_Fields!E4:E1003)</f>
        <v/>
      </c>
      <c r="D13" s="8">
        <f>SUMIF(Calculated_Fields!C4:C1003,A13,Calculated_Fields!K4:K1003)</f>
        <v/>
      </c>
      <c r="E13" s="8">
        <f>SUMIFS(Calculated_Fields!K4:K1003,Calculated_Fields!C4:C1003,A13,Calculated_Fields!J4:J1003,"&gt;0")</f>
        <v/>
      </c>
      <c r="F13" s="2">
        <f>COUNTIFS(Calculated_Fields!C4:C1003,A13,Calculated_Fields!J4:J1003,"&gt;0",Calculated_Fields!K4:K1003,"&gt;0")</f>
        <v/>
      </c>
      <c r="G13" s="2">
        <f>IFERROR(AVERAGEIFS(Calculated_Fields!J4:J1003,Calculated_Fields!C4:C1003,A13,Calculated_Fields!K4:K1003,"&gt;0"),0)</f>
        <v/>
      </c>
      <c r="H13" s="8">
        <f>SUMIF(Calculated_Fields!C4:C1003,A13,Calculated_Fields!M4:M1003)</f>
        <v/>
      </c>
      <c r="I13" s="9">
        <f>IFERROR(D13/SUM($D$4:$D$18),0)</f>
        <v/>
      </c>
      <c r="J13" s="2">
        <f>IF(E13&gt;=PERCENTILE($E$4:$E$18,0.75),"High",IF(E13&gt;=PERCENTILE($E$4:$E$18,0.5),"Medium","Low"))</f>
        <v/>
      </c>
    </row>
    <row r="14">
      <c r="A14" s="2" t="inlineStr">
        <is>
          <t>SAP</t>
        </is>
      </c>
      <c r="B14" s="2">
        <f>COUNTIF(Calculated_Fields!C4:C1003,A14)</f>
        <v/>
      </c>
      <c r="C14" s="8">
        <f>SUMIF(Calculated_Fields!C4:C1003,A14,Calculated_Fields!E4:E1003)</f>
        <v/>
      </c>
      <c r="D14" s="8">
        <f>SUMIF(Calculated_Fields!C4:C1003,A14,Calculated_Fields!K4:K1003)</f>
        <v/>
      </c>
      <c r="E14" s="8">
        <f>SUMIFS(Calculated_Fields!K4:K1003,Calculated_Fields!C4:C1003,A14,Calculated_Fields!J4:J1003,"&gt;0")</f>
        <v/>
      </c>
      <c r="F14" s="2">
        <f>COUNTIFS(Calculated_Fields!C4:C1003,A14,Calculated_Fields!J4:J1003,"&gt;0",Calculated_Fields!K4:K1003,"&gt;0")</f>
        <v/>
      </c>
      <c r="G14" s="2">
        <f>IFERROR(AVERAGEIFS(Calculated_Fields!J4:J1003,Calculated_Fields!C4:C1003,A14,Calculated_Fields!K4:K1003,"&gt;0"),0)</f>
        <v/>
      </c>
      <c r="H14" s="8">
        <f>SUMIF(Calculated_Fields!C4:C1003,A14,Calculated_Fields!M4:M1003)</f>
        <v/>
      </c>
      <c r="I14" s="9">
        <f>IFERROR(D14/SUM($D$4:$D$18),0)</f>
        <v/>
      </c>
      <c r="J14" s="2">
        <f>IF(E14&gt;=PERCENTILE($E$4:$E$18,0.75),"High",IF(E14&gt;=PERCENTILE($E$4:$E$18,0.5),"Medium","Low"))</f>
        <v/>
      </c>
    </row>
    <row r="15">
      <c r="A15" s="2" t="inlineStr">
        <is>
          <t>Wipro</t>
        </is>
      </c>
      <c r="B15" s="2">
        <f>COUNTIF(Calculated_Fields!C4:C1003,A15)</f>
        <v/>
      </c>
      <c r="C15" s="8">
        <f>SUMIF(Calculated_Fields!C4:C1003,A15,Calculated_Fields!E4:E1003)</f>
        <v/>
      </c>
      <c r="D15" s="8">
        <f>SUMIF(Calculated_Fields!C4:C1003,A15,Calculated_Fields!K4:K1003)</f>
        <v/>
      </c>
      <c r="E15" s="8">
        <f>SUMIFS(Calculated_Fields!K4:K1003,Calculated_Fields!C4:C1003,A15,Calculated_Fields!J4:J1003,"&gt;0")</f>
        <v/>
      </c>
      <c r="F15" s="2">
        <f>COUNTIFS(Calculated_Fields!C4:C1003,A15,Calculated_Fields!J4:J1003,"&gt;0",Calculated_Fields!K4:K1003,"&gt;0")</f>
        <v/>
      </c>
      <c r="G15" s="2">
        <f>IFERROR(AVERAGEIFS(Calculated_Fields!J4:J1003,Calculated_Fields!C4:C1003,A15,Calculated_Fields!K4:K1003,"&gt;0"),0)</f>
        <v/>
      </c>
      <c r="H15" s="8">
        <f>SUMIF(Calculated_Fields!C4:C1003,A15,Calculated_Fields!M4:M1003)</f>
        <v/>
      </c>
      <c r="I15" s="9">
        <f>IFERROR(D15/SUM($D$4:$D$18),0)</f>
        <v/>
      </c>
      <c r="J15" s="2">
        <f>IF(E15&gt;=PERCENTILE($E$4:$E$18,0.75),"High",IF(E15&gt;=PERCENTILE($E$4:$E$18,0.5),"Medium","Low"))</f>
        <v/>
      </c>
    </row>
    <row r="16">
      <c r="A16" s="2" t="inlineStr">
        <is>
          <t>Cognizant</t>
        </is>
      </c>
      <c r="B16" s="2">
        <f>COUNTIF(Calculated_Fields!C4:C1003,A16)</f>
        <v/>
      </c>
      <c r="C16" s="8">
        <f>SUMIF(Calculated_Fields!C4:C1003,A16,Calculated_Fields!E4:E1003)</f>
        <v/>
      </c>
      <c r="D16" s="8">
        <f>SUMIF(Calculated_Fields!C4:C1003,A16,Calculated_Fields!K4:K1003)</f>
        <v/>
      </c>
      <c r="E16" s="8">
        <f>SUMIFS(Calculated_Fields!K4:K1003,Calculated_Fields!C4:C1003,A16,Calculated_Fields!J4:J1003,"&gt;0")</f>
        <v/>
      </c>
      <c r="F16" s="2">
        <f>COUNTIFS(Calculated_Fields!C4:C1003,A16,Calculated_Fields!J4:J1003,"&gt;0",Calculated_Fields!K4:K1003,"&gt;0")</f>
        <v/>
      </c>
      <c r="G16" s="2">
        <f>IFERROR(AVERAGEIFS(Calculated_Fields!J4:J1003,Calculated_Fields!C4:C1003,A16,Calculated_Fields!K4:K1003,"&gt;0"),0)</f>
        <v/>
      </c>
      <c r="H16" s="8">
        <f>SUMIF(Calculated_Fields!C4:C1003,A16,Calculated_Fields!M4:M1003)</f>
        <v/>
      </c>
      <c r="I16" s="9">
        <f>IFERROR(D16/SUM($D$4:$D$18),0)</f>
        <v/>
      </c>
      <c r="J16" s="2">
        <f>IF(E16&gt;=PERCENTILE($E$4:$E$18,0.75),"High",IF(E16&gt;=PERCENTILE($E$4:$E$18,0.5),"Medium","Low"))</f>
        <v/>
      </c>
    </row>
    <row r="17">
      <c r="A17" s="2" t="inlineStr">
        <is>
          <t>HCLTech</t>
        </is>
      </c>
      <c r="B17" s="2">
        <f>COUNTIF(Calculated_Fields!C4:C1003,A17)</f>
        <v/>
      </c>
      <c r="C17" s="8">
        <f>SUMIF(Calculated_Fields!C4:C1003,A17,Calculated_Fields!E4:E1003)</f>
        <v/>
      </c>
      <c r="D17" s="8">
        <f>SUMIF(Calculated_Fields!C4:C1003,A17,Calculated_Fields!K4:K1003)</f>
        <v/>
      </c>
      <c r="E17" s="8">
        <f>SUMIFS(Calculated_Fields!K4:K1003,Calculated_Fields!C4:C1003,A17,Calculated_Fields!J4:J1003,"&gt;0")</f>
        <v/>
      </c>
      <c r="F17" s="2">
        <f>COUNTIFS(Calculated_Fields!C4:C1003,A17,Calculated_Fields!J4:J1003,"&gt;0",Calculated_Fields!K4:K1003,"&gt;0")</f>
        <v/>
      </c>
      <c r="G17" s="2">
        <f>IFERROR(AVERAGEIFS(Calculated_Fields!J4:J1003,Calculated_Fields!C4:C1003,A17,Calculated_Fields!K4:K1003,"&gt;0"),0)</f>
        <v/>
      </c>
      <c r="H17" s="8">
        <f>SUMIF(Calculated_Fields!C4:C1003,A17,Calculated_Fields!M4:M1003)</f>
        <v/>
      </c>
      <c r="I17" s="9">
        <f>IFERROR(D17/SUM($D$4:$D$18),0)</f>
        <v/>
      </c>
      <c r="J17" s="2">
        <f>IF(E17&gt;=PERCENTILE($E$4:$E$18,0.75),"High",IF(E17&gt;=PERCENTILE($E$4:$E$18,0.5),"Medium","Low"))</f>
        <v/>
      </c>
    </row>
    <row r="18">
      <c r="A18" s="2" t="inlineStr">
        <is>
          <t>Zoho</t>
        </is>
      </c>
      <c r="B18" s="2">
        <f>COUNTIF(Calculated_Fields!C4:C1003,A18)</f>
        <v/>
      </c>
      <c r="C18" s="8">
        <f>SUMIF(Calculated_Fields!C4:C1003,A18,Calculated_Fields!E4:E1003)</f>
        <v/>
      </c>
      <c r="D18" s="8">
        <f>SUMIF(Calculated_Fields!C4:C1003,A18,Calculated_Fields!K4:K1003)</f>
        <v/>
      </c>
      <c r="E18" s="8">
        <f>SUMIFS(Calculated_Fields!K4:K1003,Calculated_Fields!C4:C1003,A18,Calculated_Fields!J4:J1003,"&gt;0")</f>
        <v/>
      </c>
      <c r="F18" s="2">
        <f>COUNTIFS(Calculated_Fields!C4:C1003,A18,Calculated_Fields!J4:J1003,"&gt;0",Calculated_Fields!K4:K1003,"&gt;0")</f>
        <v/>
      </c>
      <c r="G18" s="2">
        <f>IFERROR(AVERAGEIFS(Calculated_Fields!J4:J1003,Calculated_Fields!C4:C1003,A18,Calculated_Fields!K4:K1003,"&gt;0"),0)</f>
        <v/>
      </c>
      <c r="H18" s="8">
        <f>SUMIF(Calculated_Fields!C4:C1003,A18,Calculated_Fields!M4:M1003)</f>
        <v/>
      </c>
      <c r="I18" s="9">
        <f>IFERROR(D18/SUM($D$4:$D$18),0)</f>
        <v/>
      </c>
      <c r="J18" s="2">
        <f>IF(E18&gt;=PERCENTILE($E$4:$E$18,0.75),"High",IF(E18&gt;=PERCENTILE($E$4:$E$18,0.5),"Medium","Low"))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Department AP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6" t="inlineStr">
        <is>
          <t>Department</t>
        </is>
      </c>
      <c r="B3" s="6" t="inlineStr">
        <is>
          <t>Invoice_Count</t>
        </is>
      </c>
      <c r="C3" s="6" t="inlineStr">
        <is>
          <t>Total_Invoice_Value</t>
        </is>
      </c>
      <c r="D3" s="6" t="inlineStr">
        <is>
          <t>Outstanding_AP</t>
        </is>
      </c>
      <c r="E3" s="6" t="inlineStr">
        <is>
          <t>Overdue_AP</t>
        </is>
      </c>
      <c r="F3" s="6" t="inlineStr">
        <is>
          <t>Overdue_%</t>
        </is>
      </c>
      <c r="G3" s="6" t="inlineStr">
        <is>
          <t>Avg_Payment_Days</t>
        </is>
      </c>
      <c r="H3" s="6" t="inlineStr">
        <is>
          <t>Avg_Days_Past_Due</t>
        </is>
      </c>
      <c r="I3" s="6" t="inlineStr">
        <is>
          <t>Discount_Opportunity</t>
        </is>
      </c>
    </row>
    <row r="4">
      <c r="A4" s="2" t="inlineStr">
        <is>
          <t>IT</t>
        </is>
      </c>
      <c r="B4" s="2">
        <f>COUNTIF(Calculated_Fields!D4:D1003,A4)</f>
        <v/>
      </c>
      <c r="C4" s="8">
        <f>SUMIF(Calculated_Fields!D4:D1003,A4,Calculated_Fields!E4:E1003)</f>
        <v/>
      </c>
      <c r="D4" s="8">
        <f>SUMIF(Calculated_Fields!D4:D1003,A4,Calculated_Fields!K4:K1003)</f>
        <v/>
      </c>
      <c r="E4" s="8">
        <f>SUMIFS(Calculated_Fields!K4:K1003,Calculated_Fields!D4:D1003,A4,Calculated_Fields!J4:J1003,"&gt;0")</f>
        <v/>
      </c>
      <c r="F4" s="9">
        <f>IFERROR(E4/D4,0)</f>
        <v/>
      </c>
      <c r="G4" s="2">
        <f>IFERROR(AVERAGEIFS(Calculated_Fields!I4:I1003,Calculated_Fields!D4:D1003,A4,Calculated_Fields!I4:I1003,"&gt;0"),0)</f>
        <v/>
      </c>
      <c r="H4" s="2">
        <f>IFERROR(AVERAGEIFS(Calculated_Fields!J4:J1003,Calculated_Fields!D4:D1003,A4,Calculated_Fields!J4:J1003,"&gt;0"),0)</f>
        <v/>
      </c>
      <c r="I4" s="8">
        <f>SUMIFS(Calculated_Fields!M4:M1003,Calculated_Fields!D4:D1003,A4)</f>
        <v/>
      </c>
    </row>
    <row r="5">
      <c r="A5" s="2" t="inlineStr">
        <is>
          <t>Finance</t>
        </is>
      </c>
      <c r="B5" s="2">
        <f>COUNTIF(Calculated_Fields!D4:D1003,A5)</f>
        <v/>
      </c>
      <c r="C5" s="8">
        <f>SUMIF(Calculated_Fields!D4:D1003,A5,Calculated_Fields!E4:E1003)</f>
        <v/>
      </c>
      <c r="D5" s="8">
        <f>SUMIF(Calculated_Fields!D4:D1003,A5,Calculated_Fields!K4:K1003)</f>
        <v/>
      </c>
      <c r="E5" s="8">
        <f>SUMIFS(Calculated_Fields!K4:K1003,Calculated_Fields!D4:D1003,A5,Calculated_Fields!J4:J1003,"&gt;0")</f>
        <v/>
      </c>
      <c r="F5" s="9">
        <f>IFERROR(E5/D5,0)</f>
        <v/>
      </c>
      <c r="G5" s="2">
        <f>IFERROR(AVERAGEIFS(Calculated_Fields!I4:I1003,Calculated_Fields!D4:D1003,A5,Calculated_Fields!I4:I1003,"&gt;0"),0)</f>
        <v/>
      </c>
      <c r="H5" s="2">
        <f>IFERROR(AVERAGEIFS(Calculated_Fields!J4:J1003,Calculated_Fields!D4:D1003,A5,Calculated_Fields!J4:J1003,"&gt;0"),0)</f>
        <v/>
      </c>
      <c r="I5" s="8">
        <f>SUMIFS(Calculated_Fields!M4:M1003,Calculated_Fields!D4:D1003,A5)</f>
        <v/>
      </c>
    </row>
    <row r="6">
      <c r="A6" s="2" t="inlineStr">
        <is>
          <t>HR</t>
        </is>
      </c>
      <c r="B6" s="2">
        <f>COUNTIF(Calculated_Fields!D4:D1003,A6)</f>
        <v/>
      </c>
      <c r="C6" s="8">
        <f>SUMIF(Calculated_Fields!D4:D1003,A6,Calculated_Fields!E4:E1003)</f>
        <v/>
      </c>
      <c r="D6" s="8">
        <f>SUMIF(Calculated_Fields!D4:D1003,A6,Calculated_Fields!K4:K1003)</f>
        <v/>
      </c>
      <c r="E6" s="8">
        <f>SUMIFS(Calculated_Fields!K4:K1003,Calculated_Fields!D4:D1003,A6,Calculated_Fields!J4:J1003,"&gt;0")</f>
        <v/>
      </c>
      <c r="F6" s="9">
        <f>IFERROR(E6/D6,0)</f>
        <v/>
      </c>
      <c r="G6" s="2">
        <f>IFERROR(AVERAGEIFS(Calculated_Fields!I4:I1003,Calculated_Fields!D4:D1003,A6,Calculated_Fields!I4:I1003,"&gt;0"),0)</f>
        <v/>
      </c>
      <c r="H6" s="2">
        <f>IFERROR(AVERAGEIFS(Calculated_Fields!J4:J1003,Calculated_Fields!D4:D1003,A6,Calculated_Fields!J4:J1003,"&gt;0"),0)</f>
        <v/>
      </c>
      <c r="I6" s="8">
        <f>SUMIFS(Calculated_Fields!M4:M1003,Calculated_Fields!D4:D1003,A6)</f>
        <v/>
      </c>
    </row>
    <row r="7">
      <c r="A7" s="2" t="inlineStr">
        <is>
          <t>Operations</t>
        </is>
      </c>
      <c r="B7" s="2">
        <f>COUNTIF(Calculated_Fields!D4:D1003,A7)</f>
        <v/>
      </c>
      <c r="C7" s="8">
        <f>SUMIF(Calculated_Fields!D4:D1003,A7,Calculated_Fields!E4:E1003)</f>
        <v/>
      </c>
      <c r="D7" s="8">
        <f>SUMIF(Calculated_Fields!D4:D1003,A7,Calculated_Fields!K4:K1003)</f>
        <v/>
      </c>
      <c r="E7" s="8">
        <f>SUMIFS(Calculated_Fields!K4:K1003,Calculated_Fields!D4:D1003,A7,Calculated_Fields!J4:J1003,"&gt;0")</f>
        <v/>
      </c>
      <c r="F7" s="9">
        <f>IFERROR(E7/D7,0)</f>
        <v/>
      </c>
      <c r="G7" s="2">
        <f>IFERROR(AVERAGEIFS(Calculated_Fields!I4:I1003,Calculated_Fields!D4:D1003,A7,Calculated_Fields!I4:I1003,"&gt;0"),0)</f>
        <v/>
      </c>
      <c r="H7" s="2">
        <f>IFERROR(AVERAGEIFS(Calculated_Fields!J4:J1003,Calculated_Fields!D4:D1003,A7,Calculated_Fields!J4:J1003,"&gt;0"),0)</f>
        <v/>
      </c>
      <c r="I7" s="8">
        <f>SUMIFS(Calculated_Fields!M4:M1003,Calculated_Fields!D4:D1003,A7)</f>
        <v/>
      </c>
    </row>
    <row r="8">
      <c r="A8" s="2" t="inlineStr">
        <is>
          <t>Marketing</t>
        </is>
      </c>
      <c r="B8" s="2">
        <f>COUNTIF(Calculated_Fields!D4:D1003,A8)</f>
        <v/>
      </c>
      <c r="C8" s="8">
        <f>SUMIF(Calculated_Fields!D4:D1003,A8,Calculated_Fields!E4:E1003)</f>
        <v/>
      </c>
      <c r="D8" s="8">
        <f>SUMIF(Calculated_Fields!D4:D1003,A8,Calculated_Fields!K4:K1003)</f>
        <v/>
      </c>
      <c r="E8" s="8">
        <f>SUMIFS(Calculated_Fields!K4:K1003,Calculated_Fields!D4:D1003,A8,Calculated_Fields!J4:J1003,"&gt;0")</f>
        <v/>
      </c>
      <c r="F8" s="9">
        <f>IFERROR(E8/D8,0)</f>
        <v/>
      </c>
      <c r="G8" s="2">
        <f>IFERROR(AVERAGEIFS(Calculated_Fields!I4:I1003,Calculated_Fields!D4:D1003,A8,Calculated_Fields!I4:I1003,"&gt;0"),0)</f>
        <v/>
      </c>
      <c r="H8" s="2">
        <f>IFERROR(AVERAGEIFS(Calculated_Fields!J4:J1003,Calculated_Fields!D4:D1003,A8,Calculated_Fields!J4:J1003,"&gt;0"),0)</f>
        <v/>
      </c>
      <c r="I8" s="8">
        <f>SUMIFS(Calculated_Fields!M4:M1003,Calculated_Fields!D4:D1003,A8)</f>
        <v/>
      </c>
    </row>
    <row r="9">
      <c r="A9" s="2" t="inlineStr">
        <is>
          <t>Sales</t>
        </is>
      </c>
      <c r="B9" s="2">
        <f>COUNTIF(Calculated_Fields!D4:D1003,A9)</f>
        <v/>
      </c>
      <c r="C9" s="8">
        <f>SUMIF(Calculated_Fields!D4:D1003,A9,Calculated_Fields!E4:E1003)</f>
        <v/>
      </c>
      <c r="D9" s="8">
        <f>SUMIF(Calculated_Fields!D4:D1003,A9,Calculated_Fields!K4:K1003)</f>
        <v/>
      </c>
      <c r="E9" s="8">
        <f>SUMIFS(Calculated_Fields!K4:K1003,Calculated_Fields!D4:D1003,A9,Calculated_Fields!J4:J1003,"&gt;0")</f>
        <v/>
      </c>
      <c r="F9" s="9">
        <f>IFERROR(E9/D9,0)</f>
        <v/>
      </c>
      <c r="G9" s="2">
        <f>IFERROR(AVERAGEIFS(Calculated_Fields!I4:I1003,Calculated_Fields!D4:D1003,A9,Calculated_Fields!I4:I1003,"&gt;0"),0)</f>
        <v/>
      </c>
      <c r="H9" s="2">
        <f>IFERROR(AVERAGEIFS(Calculated_Fields!J4:J1003,Calculated_Fields!D4:D1003,A9,Calculated_Fields!J4:J1003,"&gt;0"),0)</f>
        <v/>
      </c>
      <c r="I9" s="8">
        <f>SUMIFS(Calculated_Fields!M4:M1003,Calculated_Fields!D4:D1003,A9)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8" customWidth="1" min="3" max="3"/>
    <col width="55" customWidth="1" min="4" max="4"/>
  </cols>
  <sheetData>
    <row r="1">
      <c r="A1" s="1" t="inlineStr">
        <is>
          <t>Working Capital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Formula / Method</t>
        </is>
      </c>
      <c r="D3" s="6" t="inlineStr">
        <is>
          <t>Interpretation</t>
        </is>
      </c>
      <c r="E3" s="2" t="n"/>
      <c r="F3" s="2" t="n"/>
      <c r="G3" s="2" t="n"/>
      <c r="H3" s="2" t="n"/>
    </row>
    <row r="4">
      <c r="A4" s="2" t="inlineStr">
        <is>
          <t>Total Invoice Value</t>
        </is>
      </c>
      <c r="B4" s="8">
        <f>SUM(Calculated_Fields!E4:E1003)</f>
        <v/>
      </c>
      <c r="C4" s="4" t="inlineStr">
        <is>
          <t>Sum of all invoice amounts</t>
        </is>
      </c>
      <c r="D4" s="4" t="inlineStr">
        <is>
          <t>Total AP activity represented by dataset.</t>
        </is>
      </c>
      <c r="E4" s="2" t="n"/>
      <c r="F4" s="2" t="n"/>
      <c r="G4" s="2" t="n"/>
      <c r="H4" s="2" t="n"/>
    </row>
    <row r="5">
      <c r="A5" s="2" t="inlineStr">
        <is>
          <t>Outstanding AP</t>
        </is>
      </c>
      <c r="B5" s="8">
        <f>SUM(Calculated_Fields!K4:K1003)</f>
        <v/>
      </c>
      <c r="C5" s="4" t="inlineStr">
        <is>
          <t>Sum of unpaid invoice balances</t>
        </is>
      </c>
      <c r="D5" s="4" t="inlineStr">
        <is>
          <t>Cash still payable to suppliers.</t>
        </is>
      </c>
      <c r="E5" s="2" t="n"/>
      <c r="F5" s="2" t="n"/>
      <c r="G5" s="2" t="n"/>
      <c r="H5" s="2" t="n"/>
    </row>
    <row r="6">
      <c r="A6" s="2" t="inlineStr">
        <is>
          <t>Overdue AP</t>
        </is>
      </c>
      <c r="B6" s="8">
        <f>SUMIFS(Calculated_Fields!K4:K1003,Calculated_Fields!J4:J1003,"&gt;0")</f>
        <v/>
      </c>
      <c r="C6" s="4" t="inlineStr">
        <is>
          <t>Outstanding balance with days past due &gt; 0</t>
        </is>
      </c>
      <c r="D6" s="4" t="inlineStr">
        <is>
          <t>Potential payment bottleneck / supplier-management issue.</t>
        </is>
      </c>
      <c r="E6" s="2" t="n"/>
      <c r="F6" s="2" t="n"/>
      <c r="G6" s="2" t="n"/>
      <c r="H6" s="2" t="n"/>
    </row>
    <row r="7">
      <c r="A7" s="2" t="inlineStr">
        <is>
          <t>Overdue %</t>
        </is>
      </c>
      <c r="B7" s="9">
        <f>IFERROR(B6/B5,0)</f>
        <v/>
      </c>
      <c r="C7" s="4" t="inlineStr">
        <is>
          <t>Overdue AP / Outstanding AP</t>
        </is>
      </c>
      <c r="D7" s="4" t="inlineStr">
        <is>
          <t>Share of outstanding AP that is overdue.</t>
        </is>
      </c>
      <c r="E7" s="2" t="n"/>
      <c r="F7" s="2" t="n"/>
      <c r="G7" s="2" t="n"/>
      <c r="H7" s="2" t="n"/>
    </row>
    <row r="8">
      <c r="A8" s="2" t="inlineStr">
        <is>
          <t>Average Payment Days</t>
        </is>
      </c>
      <c r="B8" s="2">
        <f>AVERAGEIFS(Calculated_Fields!I4:I1003,Calculated_Fields!I4:I1003,"&gt;0")</f>
        <v/>
      </c>
      <c r="C8" s="4" t="inlineStr">
        <is>
          <t>Average invoice-to-payment days for paid invoices</t>
        </is>
      </c>
      <c r="D8" s="4" t="inlineStr">
        <is>
          <t>Describes payment timing.</t>
        </is>
      </c>
      <c r="E8" s="2" t="n"/>
      <c r="F8" s="2" t="n"/>
      <c r="G8" s="2" t="n"/>
      <c r="H8" s="2" t="n"/>
    </row>
    <row r="9">
      <c r="A9" s="2" t="inlineStr">
        <is>
          <t>Discount Opportunity</t>
        </is>
      </c>
      <c r="B9" s="8">
        <f>SUM(Calculated_Fields!M4:M1003)</f>
        <v/>
      </c>
      <c r="C9" s="4" t="inlineStr">
        <is>
          <t>Invoice value × discount % where available</t>
        </is>
      </c>
      <c r="D9" s="4" t="inlineStr">
        <is>
          <t>Potential value from early-payment discounts.</t>
        </is>
      </c>
      <c r="E9" s="2" t="n"/>
      <c r="F9" s="2" t="n"/>
      <c r="G9" s="2" t="n"/>
      <c r="H9" s="2" t="n"/>
    </row>
    <row r="10">
      <c r="A10" s="2" t="inlineStr">
        <is>
          <t>Illustrative Annual Purchases</t>
        </is>
      </c>
      <c r="B10" s="8">
        <f>B5*12</f>
        <v/>
      </c>
      <c r="C10" s="4" t="inlineStr">
        <is>
          <t>Assumption: monthly AP run-rate × 12</t>
        </is>
      </c>
      <c r="D10" s="4" t="inlineStr">
        <is>
          <t>Portfolio assumption only; replace with actual annual purchases/COGS.</t>
        </is>
      </c>
      <c r="E10" s="2" t="n"/>
      <c r="F10" s="2" t="n"/>
      <c r="G10" s="2" t="n"/>
      <c r="H10" s="2" t="n"/>
    </row>
    <row r="11">
      <c r="A11" s="2" t="inlineStr">
        <is>
          <t>Illustrative DPO</t>
        </is>
      </c>
      <c r="B11" s="10">
        <f>IFERROR((B5/B10)*365,0)</f>
        <v/>
      </c>
      <c r="C11" s="4" t="inlineStr">
        <is>
          <t>Outstanding AP / annualized purchases × 365</t>
        </is>
      </c>
      <c r="D11" s="4" t="inlineStr">
        <is>
          <t>Simplified DPO proxy; not a substitute for company-specific DPO methodology.</t>
        </is>
      </c>
      <c r="E11" s="2" t="n"/>
      <c r="F11" s="2" t="n"/>
      <c r="G11" s="2" t="n"/>
      <c r="H11" s="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AP &amp; Working Capital Management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1" t="inlineStr">
        <is>
          <t>Total AP</t>
        </is>
      </c>
      <c r="B3" s="2" t="n"/>
      <c r="C3" s="2" t="n"/>
      <c r="D3" s="2" t="n"/>
      <c r="E3" s="11" t="inlineStr">
        <is>
          <t>Outstanding AP</t>
        </is>
      </c>
      <c r="F3" s="2" t="n"/>
      <c r="G3" s="2" t="n"/>
      <c r="H3" s="2" t="n"/>
      <c r="I3" s="11" t="inlineStr">
        <is>
          <t>Overdue AP</t>
        </is>
      </c>
      <c r="J3" s="2" t="n"/>
      <c r="K3" s="2" t="n"/>
      <c r="L3" s="2" t="n"/>
    </row>
    <row r="4">
      <c r="A4" s="12">
        <f>Working_Capital!B4</f>
        <v/>
      </c>
      <c r="B4" s="2" t="n"/>
      <c r="C4" s="2" t="n"/>
      <c r="D4" s="2" t="n"/>
      <c r="E4" s="12">
        <f>Working_Capital!B5</f>
        <v/>
      </c>
      <c r="F4" s="2" t="n"/>
      <c r="G4" s="2" t="n"/>
      <c r="H4" s="2" t="n"/>
      <c r="I4" s="12">
        <f>Working_Capital!B6</f>
        <v/>
      </c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11" t="inlineStr">
        <is>
          <t>Overdue %</t>
        </is>
      </c>
      <c r="B7" s="2" t="n"/>
      <c r="C7" s="2" t="n"/>
      <c r="D7" s="2" t="n"/>
      <c r="E7" s="11" t="inlineStr">
        <is>
          <t>Avg Payment Days</t>
        </is>
      </c>
      <c r="F7" s="2" t="n"/>
      <c r="G7" s="2" t="n"/>
      <c r="H7" s="2" t="n"/>
      <c r="I7" s="11" t="inlineStr">
        <is>
          <t>Discount Opportunity</t>
        </is>
      </c>
      <c r="J7" s="2" t="n"/>
      <c r="K7" s="2" t="n"/>
      <c r="L7" s="2" t="n"/>
    </row>
    <row r="8">
      <c r="A8" s="13">
        <f>Working_Capital!B7</f>
        <v/>
      </c>
      <c r="B8" s="2" t="n"/>
      <c r="C8" s="2" t="n"/>
      <c r="D8" s="2" t="n"/>
      <c r="E8" s="14">
        <f>Working_Capital!B8</f>
        <v/>
      </c>
      <c r="F8" s="2" t="n"/>
      <c r="G8" s="2" t="n"/>
      <c r="H8" s="2" t="n"/>
      <c r="I8" s="12">
        <f>Working_Capital!B9</f>
        <v/>
      </c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Aging Bucket</t>
        </is>
      </c>
      <c r="B12" s="2" t="inlineStr">
        <is>
          <t>Current</t>
        </is>
      </c>
      <c r="C12" s="2" t="inlineStr">
        <is>
          <t>1-30 Days</t>
        </is>
      </c>
      <c r="D12" s="2" t="inlineStr">
        <is>
          <t>31-60 Days</t>
        </is>
      </c>
      <c r="E12" s="2" t="inlineStr">
        <is>
          <t>61-90 Days</t>
        </is>
      </c>
      <c r="F12" s="2" t="inlineStr">
        <is>
          <t>90+ Days</t>
        </is>
      </c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Outstanding AP</t>
        </is>
      </c>
      <c r="B13" s="2">
        <f>Aging_Analysis!C4</f>
        <v/>
      </c>
      <c r="C13" s="2">
        <f>Aging_Analysis!C5</f>
        <v/>
      </c>
      <c r="D13" s="2">
        <f>Aging_Analysis!C6</f>
        <v/>
      </c>
      <c r="E13" s="2">
        <f>Aging_Analysis!C7</f>
        <v/>
      </c>
      <c r="F13" s="2">
        <f>Aging_Analysis!C8</f>
        <v/>
      </c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Vendor</t>
        </is>
      </c>
      <c r="B25" s="2" t="inlineStr">
        <is>
          <t>Outstanding AP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>
        <f>Vendor_Analysis!A4</f>
        <v/>
      </c>
      <c r="B26" s="2">
        <f>Vendor_Analysis!D4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>
        <f>Vendor_Analysis!A5</f>
        <v/>
      </c>
      <c r="B27" s="2">
        <f>Vendor_Analysis!D5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>
        <f>Vendor_Analysis!A6</f>
        <v/>
      </c>
      <c r="B28" s="2">
        <f>Vendor_Analysis!D6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>
        <f>Vendor_Analysis!A7</f>
        <v/>
      </c>
      <c r="B29" s="2">
        <f>Vendor_Analysis!D7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>
        <f>Vendor_Analysis!A8</f>
        <v/>
      </c>
      <c r="B30" s="2">
        <f>Vendor_Analysis!D8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>
        <f>Vendor_Analysis!A9</f>
        <v/>
      </c>
      <c r="B31" s="2">
        <f>Vendor_Analysis!D9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>
        <f>Vendor_Analysis!A10</f>
        <v/>
      </c>
      <c r="B32" s="2">
        <f>Vendor_Analysis!D10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>
        <f>Vendor_Analysis!A11</f>
        <v/>
      </c>
      <c r="B33" s="2">
        <f>Vendor_Analysis!D11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>
        <f>Vendor_Analysis!A12</f>
        <v/>
      </c>
      <c r="B34" s="2">
        <f>Vendor_Analysis!D12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>
        <f>Vendor_Analysis!A13</f>
        <v/>
      </c>
      <c r="B35" s="2">
        <f>Vendor_Analysis!D13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>
        <f>Vendor_Analysis!A14</f>
        <v/>
      </c>
      <c r="B36" s="2">
        <f>Vendor_Analysis!D14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>
        <f>Vendor_Analysis!A15</f>
        <v/>
      </c>
      <c r="B37" s="2">
        <f>Vendor_Analysis!D15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>
        <f>Vendor_Analysis!A16</f>
        <v/>
      </c>
      <c r="B38" s="2">
        <f>Vendor_Analysis!D16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>
        <f>Vendor_Analysis!A17</f>
        <v/>
      </c>
      <c r="B39" s="2">
        <f>Vendor_Analysis!D17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>
        <f>Vendor_Analysis!A18</f>
        <v/>
      </c>
      <c r="B40" s="2">
        <f>Vendor_Analysis!D18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</sheetData>
  <mergeCells count="13">
    <mergeCell ref="A8:C8"/>
    <mergeCell ref="A1:L1"/>
    <mergeCell ref="E8:G8"/>
    <mergeCell ref="I8:K8"/>
    <mergeCell ref="E4:G4"/>
    <mergeCell ref="A3:C3"/>
    <mergeCell ref="E3:G3"/>
    <mergeCell ref="I4:K4"/>
    <mergeCell ref="I3:K3"/>
    <mergeCell ref="A4:C4"/>
    <mergeCell ref="A7:C7"/>
    <mergeCell ref="E7:G7"/>
    <mergeCell ref="I7:K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Analyst Insights Framework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1. AP exposure</t>
        </is>
      </c>
      <c r="B3" s="4" t="inlineStr">
        <is>
          <t>Identify the total outstanding balance and quantify how much is overdue.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2. Aging</t>
        </is>
      </c>
      <c r="B4" s="4" t="inlineStr">
        <is>
          <t>Focus management attention on 61–90 and 90+ day balances rather than treating all overdue invoices equally.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3. Vendor concentration</t>
        </is>
      </c>
      <c r="B5" s="4" t="inlineStr">
        <is>
          <t>Review whether a small number of vendors account for a large share of outstanding AP.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4. Process bottlenecks</t>
        </is>
      </c>
      <c r="B6" s="4" t="inlineStr">
        <is>
          <t>Use department-level overdue % and days past due to investigate approval, GRN or invoice-processing delays.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5. Cash management</t>
        </is>
      </c>
      <c r="B7" s="4" t="inlineStr">
        <is>
          <t>Later payment within agreed terms can preserve cash, while missed early-payment discounts can represent a measurable opportunity cost.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6. Data limitation</t>
        </is>
      </c>
      <c r="B8" s="4" t="inlineStr">
        <is>
          <t>The dataset is synthetic. The findings demonstrate the analytical method, not actual company performance.</t>
        </is>
      </c>
      <c r="C8" s="2" t="n"/>
      <c r="D8" s="2" t="n"/>
      <c r="E8" s="2" t="n"/>
      <c r="F8" s="2" t="n"/>
      <c r="G8" s="2" t="n"/>
      <c r="H8" s="2" t="n"/>
    </row>
  </sheetData>
  <mergeCells count="7"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Sources &amp; Methodology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Dataset</t>
        </is>
      </c>
      <c r="B3" s="2" t="inlineStr">
        <is>
          <t>Synthetic portfolio dataset</t>
        </is>
      </c>
      <c r="C3" s="4" t="inlineStr">
        <is>
          <t>Generated for learning; not company data.</t>
        </is>
      </c>
      <c r="D3" s="2" t="n"/>
      <c r="E3" s="2" t="n"/>
      <c r="F3" s="2" t="n"/>
      <c r="G3" s="2" t="n"/>
      <c r="H3" s="2" t="n"/>
    </row>
    <row r="4">
      <c r="A4" s="2" t="inlineStr">
        <is>
          <t>Aging as-of date</t>
        </is>
      </c>
      <c r="B4" s="2" t="inlineStr">
        <is>
          <t>31-Dec-2026</t>
        </is>
      </c>
      <c r="C4" s="4" t="inlineStr">
        <is>
          <t>Used for unpaid invoice aging.</t>
        </is>
      </c>
      <c r="D4" s="2" t="n"/>
      <c r="E4" s="2" t="n"/>
      <c r="F4" s="2" t="n"/>
      <c r="G4" s="2" t="n"/>
      <c r="H4" s="2" t="n"/>
    </row>
    <row r="5">
      <c r="A5" s="2" t="inlineStr">
        <is>
          <t>Payment days</t>
        </is>
      </c>
      <c r="B5" s="2" t="inlineStr">
        <is>
          <t>Payment Date − Invoice Date</t>
        </is>
      </c>
      <c r="C5" s="4" t="inlineStr">
        <is>
          <t>Paid invoices only.</t>
        </is>
      </c>
      <c r="D5" s="2" t="n"/>
      <c r="E5" s="2" t="n"/>
      <c r="F5" s="2" t="n"/>
      <c r="G5" s="2" t="n"/>
      <c r="H5" s="2" t="n"/>
    </row>
    <row r="6">
      <c r="A6" s="2" t="inlineStr">
        <is>
          <t>Days past due</t>
        </is>
      </c>
      <c r="B6" s="2" t="inlineStr">
        <is>
          <t>MAX(0, Payment Date − Due Date) for paid; As-of Date − Due Date for unpaid</t>
        </is>
      </c>
      <c r="C6" s="4" t="inlineStr">
        <is>
          <t>Simplified portfolio methodology.</t>
        </is>
      </c>
      <c r="D6" s="2" t="n"/>
      <c r="E6" s="2" t="n"/>
      <c r="F6" s="2" t="n"/>
      <c r="G6" s="2" t="n"/>
      <c r="H6" s="2" t="n"/>
    </row>
    <row r="7">
      <c r="A7" s="2" t="inlineStr">
        <is>
          <t>DPO</t>
        </is>
      </c>
      <c r="B7" s="2" t="inlineStr">
        <is>
          <t>Outstanding AP / annualized purchases × 365</t>
        </is>
      </c>
      <c r="C7" s="4" t="inlineStr">
        <is>
          <t>Illustrative proxy. Replace with actual average AP and annual COGS/purchases in a real company model.</t>
        </is>
      </c>
      <c r="D7" s="2" t="n"/>
      <c r="E7" s="2" t="n"/>
      <c r="F7" s="2" t="n"/>
      <c r="G7" s="2" t="n"/>
      <c r="H7" s="2" t="n"/>
    </row>
    <row r="8">
      <c r="A8" s="2" t="inlineStr">
        <is>
          <t>Discount opportunity</t>
        </is>
      </c>
      <c r="B8" s="2" t="inlineStr">
        <is>
          <t>Invoice amount × discount % when discount is available</t>
        </is>
      </c>
      <c r="C8" s="4" t="inlineStr">
        <is>
          <t>Potential discount value, not realized savings.</t>
        </is>
      </c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Recommended real-data sources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Company ERP / AP subledger</t>
        </is>
      </c>
      <c r="B13" s="2" t="inlineStr">
        <is>
          <t>Primary source for invoice, vendor, payment and due-date data.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Purchase Orders / GRNs</t>
        </is>
      </c>
      <c r="B14" s="2" t="inlineStr">
        <is>
          <t>Validate three-way match and receiving bottlenecks.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General Ledger</t>
        </is>
      </c>
      <c r="B15" s="2" t="inlineStr">
        <is>
          <t>Reconcile AP subledger totals to the financial statements.</t>
        </is>
      </c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8" customWidth="1" min="3" max="3"/>
    <col width="45" customWidth="1" min="4" max="4"/>
  </cols>
  <sheetData>
    <row r="1">
      <c r="A1" s="1" t="inlineStr">
        <is>
          <t>Reverse Engineering Guide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Step</t>
        </is>
      </c>
      <c r="B3" s="6" t="inlineStr">
        <is>
          <t>Sheet</t>
        </is>
      </c>
      <c r="C3" s="6" t="inlineStr">
        <is>
          <t>What to inspect</t>
        </is>
      </c>
      <c r="D3" s="6" t="inlineStr">
        <is>
          <t>Why it matters</t>
        </is>
      </c>
      <c r="E3" s="2" t="n"/>
      <c r="F3" s="2" t="n"/>
      <c r="G3" s="2" t="n"/>
      <c r="H3" s="2" t="n"/>
    </row>
    <row r="4">
      <c r="A4" s="2" t="inlineStr">
        <is>
          <t>1</t>
        </is>
      </c>
      <c r="B4" s="2" t="inlineStr">
        <is>
          <t>Raw_Data</t>
        </is>
      </c>
      <c r="C4" s="4" t="inlineStr">
        <is>
          <t>Understand invoice-level fields, dates, statuses and amounts.</t>
        </is>
      </c>
      <c r="D4" s="4" t="inlineStr">
        <is>
          <t>Every analysis begins with transaction-level data.</t>
        </is>
      </c>
      <c r="E4" s="2" t="n"/>
      <c r="F4" s="2" t="n"/>
      <c r="G4" s="2" t="n"/>
      <c r="H4" s="2" t="n"/>
    </row>
    <row r="5">
      <c r="A5" s="2" t="inlineStr">
        <is>
          <t>2</t>
        </is>
      </c>
      <c r="B5" s="2" t="inlineStr">
        <is>
          <t>Calculated_Fields</t>
        </is>
      </c>
      <c r="C5" s="4" t="inlineStr">
        <is>
          <t>Trace Payment Days, Days Past Due, Outstanding Amount and Aging Bucket formulas.</t>
        </is>
      </c>
      <c r="D5" s="4" t="inlineStr">
        <is>
          <t>This converts raw transactions into analytical variables.</t>
        </is>
      </c>
      <c r="E5" s="2" t="n"/>
      <c r="F5" s="2" t="n"/>
      <c r="G5" s="2" t="n"/>
      <c r="H5" s="2" t="n"/>
    </row>
    <row r="6">
      <c r="A6" s="2" t="inlineStr">
        <is>
          <t>3</t>
        </is>
      </c>
      <c r="B6" s="2" t="inlineStr">
        <is>
          <t>Aging_Analysis</t>
        </is>
      </c>
      <c r="C6" s="4" t="inlineStr">
        <is>
          <t>Follow COUNTIF/SUMIF aggregation by aging bucket.</t>
        </is>
      </c>
      <c r="D6" s="4" t="inlineStr">
        <is>
          <t>Shows where overdue cash obligations are concentrated.</t>
        </is>
      </c>
      <c r="E6" s="2" t="n"/>
      <c r="F6" s="2" t="n"/>
      <c r="G6" s="2" t="n"/>
      <c r="H6" s="2" t="n"/>
    </row>
    <row r="7">
      <c r="A7" s="2" t="inlineStr">
        <is>
          <t>4</t>
        </is>
      </c>
      <c r="B7" s="2" t="inlineStr">
        <is>
          <t>Vendor_Analysis</t>
        </is>
      </c>
      <c r="C7" s="4" t="inlineStr">
        <is>
          <t>Trace vendor-level SUMIF/SUMIFS and priority logic.</t>
        </is>
      </c>
      <c r="D7" s="4" t="inlineStr">
        <is>
          <t>Identifies supplier concentration and payment-risk areas.</t>
        </is>
      </c>
      <c r="E7" s="2" t="n"/>
      <c r="F7" s="2" t="n"/>
      <c r="G7" s="2" t="n"/>
      <c r="H7" s="2" t="n"/>
    </row>
    <row r="8">
      <c r="A8" s="2" t="inlineStr">
        <is>
          <t>5</t>
        </is>
      </c>
      <c r="B8" s="2" t="inlineStr">
        <is>
          <t>Department_Analysis</t>
        </is>
      </c>
      <c r="C8" s="4" t="inlineStr">
        <is>
          <t>Compare overdue %, payment days and discount opportunity by department.</t>
        </is>
      </c>
      <c r="D8" s="4" t="inlineStr">
        <is>
          <t>Helps locate process bottlenecks.</t>
        </is>
      </c>
      <c r="E8" s="2" t="n"/>
      <c r="F8" s="2" t="n"/>
      <c r="G8" s="2" t="n"/>
      <c r="H8" s="2" t="n"/>
    </row>
    <row r="9">
      <c r="A9" s="2" t="inlineStr">
        <is>
          <t>6</t>
        </is>
      </c>
      <c r="B9" s="2" t="inlineStr">
        <is>
          <t>Working_Capital</t>
        </is>
      </c>
      <c r="C9" s="4" t="inlineStr">
        <is>
          <t>Understand AP, overdue AP, payment timing and the simplified DPO proxy.</t>
        </is>
      </c>
      <c r="D9" s="4" t="inlineStr">
        <is>
          <t>Connects operational AP activity to working-capital management.</t>
        </is>
      </c>
      <c r="E9" s="2" t="n"/>
      <c r="F9" s="2" t="n"/>
      <c r="G9" s="2" t="n"/>
      <c r="H9" s="2" t="n"/>
    </row>
    <row r="10">
      <c r="A10" s="2" t="inlineStr">
        <is>
          <t>7</t>
        </is>
      </c>
      <c r="B10" s="2" t="inlineStr">
        <is>
          <t>Dashboard</t>
        </is>
      </c>
      <c r="C10" s="4" t="inlineStr">
        <is>
          <t>Trace each KPI and chart back to the underlying sheet.</t>
        </is>
      </c>
      <c r="D10" s="4" t="inlineStr">
        <is>
          <t>Shows how analysts communicate results to management.</t>
        </is>
      </c>
      <c r="E10" s="2" t="n"/>
      <c r="F10" s="2" t="n"/>
      <c r="G10" s="2" t="n"/>
      <c r="H10" s="2" t="n"/>
    </row>
    <row r="11">
      <c r="A11" s="2" t="inlineStr">
        <is>
          <t>8</t>
        </is>
      </c>
      <c r="B11" s="2" t="inlineStr">
        <is>
          <t>Insights</t>
        </is>
      </c>
      <c r="C11" s="4" t="inlineStr">
        <is>
          <t>Turn numerical patterns into questions and actions.</t>
        </is>
      </c>
      <c r="D11" s="4" t="inlineStr">
        <is>
          <t>Financial analysts do not stop at reporting numbers.</t>
        </is>
      </c>
      <c r="E11" s="2" t="n"/>
      <c r="F11" s="2" t="n"/>
      <c r="G11" s="2" t="n"/>
      <c r="H11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2026-10-02T05:23:20Z</dcterms:created>
  <dcterms:modified xmlns:dcterms="http://purl.org/dc/terms/" xmlns:xsi="http://www.w3.org/2001/XMLSchema-instance" xsi:type="dcterms:W3CDTF">2026-10-02T05:23:20Z</dcterms:modified>
</cp:coreProperties>
</file>