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dithiya/"/>
    </mc:Choice>
  </mc:AlternateContent>
  <xr:revisionPtr revIDLastSave="0" documentId="13_ncr:1_{F8E61B1A-E4A8-674A-B4FD-8B5A7C3652F5}" xr6:coauthVersionLast="47" xr6:coauthVersionMax="47" xr10:uidLastSave="{00000000-0000-0000-0000-000000000000}"/>
  <bookViews>
    <workbookView xWindow="760" yWindow="620" windowWidth="32840" windowHeight="20380" activeTab="8" xr2:uid="{00000000-000D-0000-FFFF-FFFF00000000}"/>
  </bookViews>
  <sheets>
    <sheet name="README" sheetId="1" r:id="rId1"/>
    <sheet name="Historical_Data" sheetId="2" r:id="rId2"/>
    <sheet name="Calculations" sheetId="3" r:id="rId3"/>
    <sheet name="Ratio_Analysis" sheetId="4" r:id="rId4"/>
    <sheet name="Dashboard" sheetId="5" r:id="rId5"/>
    <sheet name="Source_Log" sheetId="6" r:id="rId6"/>
    <sheet name="Insights" sheetId="7" r:id="rId7"/>
    <sheet name="Interview_Story" sheetId="8" r:id="rId8"/>
    <sheet name="Reverse_Engineering" sheetId="9" r:id="rId9"/>
  </sheets>
  <definedNames>
    <definedName name="_xlnm._FilterDatabase" localSheetId="1" hidden="1">Historical_Data!$A$3:$H$25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5" l="1"/>
  <c r="E28" i="5"/>
  <c r="D28" i="5"/>
  <c r="C28" i="5"/>
  <c r="B28" i="5"/>
  <c r="F27" i="5"/>
  <c r="E27" i="5"/>
  <c r="D27" i="5"/>
  <c r="C27" i="5"/>
  <c r="B27" i="5"/>
  <c r="F13" i="5"/>
  <c r="E13" i="5"/>
  <c r="D13" i="5"/>
  <c r="C13" i="5"/>
  <c r="B13" i="5"/>
  <c r="F12" i="5"/>
  <c r="E12" i="5"/>
  <c r="D12" i="5"/>
  <c r="C12" i="5"/>
  <c r="B12" i="5"/>
  <c r="J8" i="5"/>
  <c r="G8" i="5"/>
  <c r="D8" i="5"/>
  <c r="A8" i="5"/>
  <c r="J5" i="5"/>
  <c r="G5" i="5"/>
  <c r="D5" i="5"/>
  <c r="A5" i="5"/>
  <c r="G13" i="4"/>
  <c r="F13" i="4"/>
  <c r="E13" i="4"/>
  <c r="D13" i="4"/>
  <c r="C13" i="4"/>
  <c r="G12" i="4"/>
  <c r="F12" i="4"/>
  <c r="E12" i="4"/>
  <c r="D12" i="4"/>
  <c r="C12" i="4"/>
  <c r="G11" i="4"/>
  <c r="F11" i="4"/>
  <c r="E11" i="4"/>
  <c r="D11" i="4"/>
  <c r="C11" i="4"/>
  <c r="G10" i="4"/>
  <c r="F10" i="4"/>
  <c r="E10" i="4"/>
  <c r="D10" i="4"/>
  <c r="C10" i="4"/>
  <c r="G9" i="4"/>
  <c r="F9" i="4"/>
  <c r="E9" i="4"/>
  <c r="D9" i="4"/>
  <c r="C9" i="4"/>
  <c r="G8" i="4"/>
  <c r="F8" i="4"/>
  <c r="E8" i="4"/>
  <c r="D8" i="4"/>
  <c r="C8" i="4"/>
  <c r="G7" i="4"/>
  <c r="F7" i="4"/>
  <c r="E7" i="4"/>
  <c r="D7" i="4"/>
  <c r="C7" i="4"/>
  <c r="G6" i="4"/>
  <c r="F6" i="4"/>
  <c r="E6" i="4"/>
  <c r="D6" i="4"/>
  <c r="C6" i="4"/>
  <c r="G5" i="4"/>
  <c r="F5" i="4"/>
  <c r="E5" i="4"/>
  <c r="D5" i="4"/>
  <c r="C5" i="4"/>
  <c r="G4" i="4"/>
  <c r="F4" i="4"/>
  <c r="E4" i="4"/>
  <c r="D4" i="4"/>
  <c r="C4" i="4"/>
  <c r="D23" i="3"/>
  <c r="C23" i="3"/>
  <c r="E23" i="3" s="1"/>
  <c r="E22" i="3"/>
  <c r="D22" i="3"/>
  <c r="C22" i="3"/>
  <c r="D21" i="3"/>
  <c r="C21" i="3"/>
  <c r="E21" i="3" s="1"/>
  <c r="D20" i="3"/>
  <c r="E20" i="3" s="1"/>
  <c r="C20" i="3"/>
  <c r="D19" i="3"/>
  <c r="E19" i="3" s="1"/>
  <c r="C19" i="3"/>
  <c r="D18" i="3"/>
  <c r="E18" i="3" s="1"/>
  <c r="C18" i="3"/>
  <c r="D17" i="3"/>
  <c r="E17" i="3" s="1"/>
  <c r="C17" i="3"/>
  <c r="D16" i="3"/>
  <c r="E16" i="3" s="1"/>
  <c r="C16" i="3"/>
  <c r="G13" i="3"/>
  <c r="I13" i="3" s="1"/>
  <c r="F13" i="3"/>
  <c r="E13" i="3"/>
  <c r="D13" i="3"/>
  <c r="C13" i="3"/>
  <c r="I12" i="3"/>
  <c r="G12" i="3"/>
  <c r="H12" i="3" s="1"/>
  <c r="F12" i="3"/>
  <c r="E12" i="3"/>
  <c r="D12" i="3"/>
  <c r="C12" i="3"/>
  <c r="I11" i="3"/>
  <c r="H11" i="3"/>
  <c r="G11" i="3"/>
  <c r="F11" i="3"/>
  <c r="E11" i="3"/>
  <c r="D11" i="3"/>
  <c r="C11" i="3"/>
  <c r="G10" i="3"/>
  <c r="H10" i="3" s="1"/>
  <c r="F10" i="3"/>
  <c r="E10" i="3"/>
  <c r="D10" i="3"/>
  <c r="C10" i="3"/>
  <c r="G9" i="3"/>
  <c r="I9" i="3" s="1"/>
  <c r="F9" i="3"/>
  <c r="E9" i="3"/>
  <c r="D9" i="3"/>
  <c r="C9" i="3"/>
  <c r="G8" i="3"/>
  <c r="I8" i="3" s="1"/>
  <c r="F8" i="3"/>
  <c r="E8" i="3"/>
  <c r="D8" i="3"/>
  <c r="C8" i="3"/>
  <c r="I7" i="3"/>
  <c r="G7" i="3"/>
  <c r="H7" i="3" s="1"/>
  <c r="F7" i="3"/>
  <c r="E7" i="3"/>
  <c r="D7" i="3"/>
  <c r="C7" i="3"/>
  <c r="H6" i="3"/>
  <c r="G6" i="3"/>
  <c r="F6" i="3"/>
  <c r="E6" i="3"/>
  <c r="D6" i="3"/>
  <c r="C6" i="3"/>
  <c r="I6" i="3" s="1"/>
  <c r="G5" i="3"/>
  <c r="I5" i="3" s="1"/>
  <c r="F5" i="3"/>
  <c r="E5" i="3"/>
  <c r="D5" i="3"/>
  <c r="C5" i="3"/>
  <c r="I4" i="3"/>
  <c r="G4" i="3"/>
  <c r="H4" i="3" s="1"/>
  <c r="F4" i="3"/>
  <c r="E4" i="3"/>
  <c r="D4" i="3"/>
  <c r="C4" i="3"/>
  <c r="H5" i="3" l="1"/>
  <c r="H13" i="3"/>
  <c r="I10" i="3"/>
  <c r="H9" i="3"/>
  <c r="H8" i="3"/>
</calcChain>
</file>

<file path=xl/sharedStrings.xml><?xml version="1.0" encoding="utf-8"?>
<sst xmlns="http://schemas.openxmlformats.org/spreadsheetml/2006/main" count="344" uniqueCount="173">
  <si>
    <t>Project 3 — Canara Bank vs Axis Bank Financial Statement Analysis</t>
  </si>
  <si>
    <t>Objective</t>
  </si>
  <si>
    <t>Analyze five years of bank financial performance using profitability, growth, balance-sheet scale and asset-quality indicators.</t>
  </si>
  <si>
    <t>Period</t>
  </si>
  <si>
    <t>FY2020-21 to FY2024-25 (FY2021–FY2025).</t>
  </si>
  <si>
    <t>Units</t>
  </si>
  <si>
    <t>₹ crore for monetary figures; percentages for ratios.</t>
  </si>
  <si>
    <t>Banks</t>
  </si>
  <si>
    <t>Canara Bank and Axis Bank.</t>
  </si>
  <si>
    <t>Core question</t>
  </si>
  <si>
    <t>How did growth, profitability and asset quality change over five years, and what are the major drivers?</t>
  </si>
  <si>
    <t>Workflow</t>
  </si>
  <si>
    <t>Source → Extract → Standardize → Calculate → Compare → Interpret → Present.</t>
  </si>
  <si>
    <t>Important</t>
  </si>
  <si>
    <t>Bank analysis is different from industrial-company analysis. NII, NIM, NPA, ROA and ROE are key banking metrics.</t>
  </si>
  <si>
    <t>Cost-to-income</t>
  </si>
  <si>
    <t>Canara Bank has a reported five-year-compatible series in the project dataset. Axis Bank's annual-report KPI disclosure uses cost-to-assets; therefore Axis cost-to-income is intentionally not forced into the comparable dataset.</t>
  </si>
  <si>
    <t>Project structure</t>
  </si>
  <si>
    <t>• Historical_Data — source-level five-year dataset</t>
  </si>
  <si>
    <t>• Calculations — growth, CAGR, changes and comparison formulas</t>
  </si>
  <si>
    <t>• Ratio_Analysis — banking ratios and interpretation fields</t>
  </si>
  <si>
    <t>• Dashboard — management-style charts and KPIs</t>
  </si>
  <si>
    <t>• Source_Log — source, page/section and extraction notes</t>
  </si>
  <si>
    <t>• Insights — final analyst observations</t>
  </si>
  <si>
    <t>• Interview_Story — explain the project in an interview</t>
  </si>
  <si>
    <t>• Reverse_Engineering — what each section is doing and why</t>
  </si>
  <si>
    <t>Historical Bank Data — FY2021 to FY2025</t>
  </si>
  <si>
    <t>Bank</t>
  </si>
  <si>
    <t>Metric</t>
  </si>
  <si>
    <t>FY2021</t>
  </si>
  <si>
    <t>FY2022</t>
  </si>
  <si>
    <t>FY2023</t>
  </si>
  <si>
    <t>FY2024</t>
  </si>
  <si>
    <t>FY2025</t>
  </si>
  <si>
    <t>Unit</t>
  </si>
  <si>
    <t>Canara Bank</t>
  </si>
  <si>
    <t>Net Interest Income</t>
  </si>
  <si>
    <t>₹ crore</t>
  </si>
  <si>
    <t>Net Profit</t>
  </si>
  <si>
    <t>Total Assets</t>
  </si>
  <si>
    <t>Total Deposits</t>
  </si>
  <si>
    <t>Advances</t>
  </si>
  <si>
    <t>Gross NPA</t>
  </si>
  <si>
    <t>%</t>
  </si>
  <si>
    <t>Net NPA</t>
  </si>
  <si>
    <t>ROA</t>
  </si>
  <si>
    <t>ROE</t>
  </si>
  <si>
    <t>Cost-to-Income</t>
  </si>
  <si>
    <t>NIM</t>
  </si>
  <si>
    <t>Axis Bank</t>
  </si>
  <si>
    <t>% — not forced</t>
  </si>
  <si>
    <t>Growth &amp; Trend Calculations</t>
  </si>
  <si>
    <t>5Y Change</t>
  </si>
  <si>
    <t>5Y CAGR</t>
  </si>
  <si>
    <t>Interpretation</t>
  </si>
  <si>
    <t>5-year growth trend</t>
  </si>
  <si>
    <t>Absolute Change</t>
  </si>
  <si>
    <t>Banking Ratio Analysis</t>
  </si>
  <si>
    <t>Ratio</t>
  </si>
  <si>
    <t>What it tells an analyst</t>
  </si>
  <si>
    <t>Asset quality; higher NPA indicates greater stressed assets</t>
  </si>
  <si>
    <t>Net stressed assets after provisions</t>
  </si>
  <si>
    <t>Interest spread generated from banking assets</t>
  </si>
  <si>
    <t>Profitability relative to assets</t>
  </si>
  <si>
    <t>Profitability relative to shareholders' equity</t>
  </si>
  <si>
    <t>Canara Bank vs Axis Bank — Management Dashboard</t>
  </si>
  <si>
    <t>FY2025 Snapshot</t>
  </si>
  <si>
    <t>Canara NII</t>
  </si>
  <si>
    <t>Axis NII</t>
  </si>
  <si>
    <t>Canara Profit</t>
  </si>
  <si>
    <t>Axis Profit</t>
  </si>
  <si>
    <t>Canara ROA</t>
  </si>
  <si>
    <t>Axis ROA</t>
  </si>
  <si>
    <t>Canara Gross NPA</t>
  </si>
  <si>
    <t>Axis Gross NPA</t>
  </si>
  <si>
    <t>FY</t>
  </si>
  <si>
    <t>Source &amp; Extraction Log</t>
  </si>
  <si>
    <t>Fiscal Year</t>
  </si>
  <si>
    <t>Metric Group</t>
  </si>
  <si>
    <t>Primary Source</t>
  </si>
  <si>
    <t>Location / Section</t>
  </si>
  <si>
    <t>Status</t>
  </si>
  <si>
    <t>Notes</t>
  </si>
  <si>
    <t>FY2024-25</t>
  </si>
  <si>
    <t>Key financial ratios</t>
  </si>
  <si>
    <t>Canara Bank FY2024-25 Annual Report</t>
  </si>
  <si>
    <t>Key Financial Ratios / Chairman's Statement</t>
  </si>
  <si>
    <t>₹ crore / %</t>
  </si>
  <si>
    <t>Primary</t>
  </si>
  <si>
    <t>Annual report includes FY2024 and FY2025 ratio disclosures.</t>
  </si>
  <si>
    <t>FY2020-21 to FY2024-25</t>
  </si>
  <si>
    <t>Five-year financial data</t>
  </si>
  <si>
    <t>Canara Bank Annual Reports</t>
  </si>
  <si>
    <t>Five-year summaries / financial highlights</t>
  </si>
  <si>
    <t>Primary annual-report series</t>
  </si>
  <si>
    <t>Use the relevant year's annual report to trace each historical point.</t>
  </si>
  <si>
    <t>ROA/ROE/NPA</t>
  </si>
  <si>
    <t>Axis Bank FY2024-25 Integrated Annual Report</t>
  </si>
  <si>
    <t>Business Performance Review / Key Ratios</t>
  </si>
  <si>
    <t>Five-year ratio series is explicitly disclosed.</t>
  </si>
  <si>
    <t>Axis Bank FY2024-25 Statutory Reports</t>
  </si>
  <si>
    <t>Key Performance Indicators</t>
  </si>
  <si>
    <t>FY2025 NIM = 3.98%.</t>
  </si>
  <si>
    <t>NII/profit/assets/deposits/advances</t>
  </si>
  <si>
    <t>Axis Bank annual reports</t>
  </si>
  <si>
    <t>Financial highlights / financial statements</t>
  </si>
  <si>
    <t>Trace historical values to the corresponding annual-report disclosures before publication.</t>
  </si>
  <si>
    <t>Official links</t>
  </si>
  <si>
    <t>Axis FY2024-25 Annual Report</t>
  </si>
  <si>
    <t>https://www.axisbank.com/docs/default-source/annual-reports/for-axis-bank/annual-report-for-the-year-2024-2025.pdf</t>
  </si>
  <si>
    <t>Axis FY2024-25 Statutory Reports</t>
  </si>
  <si>
    <t>https://www.axisbank.com/annual-reports/2024-2025/pdf/Statutory%20reports.pdf</t>
  </si>
  <si>
    <t>Canara FY2024-25 Annual Report</t>
  </si>
  <si>
    <t>https://canarabank.com/UploadedFiles/Pdf/Annual%20Report%20%E2%80%93%202024-25.pdf</t>
  </si>
  <si>
    <t>Management Insights — Example Analyst Output</t>
  </si>
  <si>
    <t>Use these as a model for how to write observations. Replace with your own wording after reverse-engineering the calculations.</t>
  </si>
  <si>
    <t>1. Growth</t>
  </si>
  <si>
    <t>Compare five-year NII, deposits and advances growth to understand balance-sheet expansion and core interest-income growth.</t>
  </si>
  <si>
    <t>2. Profitability</t>
  </si>
  <si>
    <t>Track net profit together with ROA and ROE. Profit growth alone can be misleading if the asset/equity base is also expanding.</t>
  </si>
  <si>
    <t>3. Asset quality</t>
  </si>
  <si>
    <t>Gross and net NPA trends indicate changes in stressed assets and credit-quality conditions.</t>
  </si>
  <si>
    <t>4. Efficiency</t>
  </si>
  <si>
    <t>Use cost-to-income only when the numerator and denominator are defined consistently across banks. Do not mix a bank's cost-to-assets ratio with another bank's cost-to-income ratio.</t>
  </si>
  <si>
    <t>5. Overall interpretation</t>
  </si>
  <si>
    <t>The final conclusion should combine growth, profitability, asset quality and efficiency rather than selecting a bank from one metric alone.</t>
  </si>
  <si>
    <t>Interview Story — Canara Bank vs Axis Bank</t>
  </si>
  <si>
    <t>Project</t>
  </si>
  <si>
    <t>Five-Year Financial Statement Analysis — Canara Bank vs Axis Bank</t>
  </si>
  <si>
    <t>Analyze growth, profitability, asset quality and banking efficiency using five years of reported financial data.</t>
  </si>
  <si>
    <t>Data</t>
  </si>
  <si>
    <t>Annual reports and statutory disclosures; monetary values standardized to ₹ crore and ratios to percentages.</t>
  </si>
  <si>
    <t>Process</t>
  </si>
  <si>
    <t>I collected historical NII, profit, deposits, advances, assets and banking ratios; standardized the units; calculated growth and five-year changes; then built a dashboard.</t>
  </si>
  <si>
    <t>Analysis</t>
  </si>
  <si>
    <t>I compared NII and profit growth, deposit and advance expansion, ROA/ROE trends, and Gross/Net NPA trends.</t>
  </si>
  <si>
    <t>Key learning</t>
  </si>
  <si>
    <t>Bank financial analysis requires sector-specific metrics. Traditional industrial-company metrics such as COGS and gross margin are not the main framework for banks.</t>
  </si>
  <si>
    <t>Business value</t>
  </si>
  <si>
    <t>The model converts reported financial statements into a concise management view of growth, profitability, asset quality and operating efficiency.</t>
  </si>
  <si>
    <t>Reverse Engineering Guide</t>
  </si>
  <si>
    <t>Step</t>
  </si>
  <si>
    <t>Sheet</t>
  </si>
  <si>
    <t>What to reverse-engineer</t>
  </si>
  <si>
    <t>Key question</t>
  </si>
  <si>
    <t>1</t>
  </si>
  <si>
    <t>Historical_Data</t>
  </si>
  <si>
    <t>Understand what each raw metric means and where it came from.</t>
  </si>
  <si>
    <t>Source → metric → year → unit</t>
  </si>
  <si>
    <t>2</t>
  </si>
  <si>
    <t>Calculations</t>
  </si>
  <si>
    <t>Trace FY2021 and FY2025 values, then inspect the change and CAGR formulas.</t>
  </si>
  <si>
    <t>Ending / Beginning - 1; CAGR = (Ending/Beginning)^(1/4)-1</t>
  </si>
  <si>
    <t>3</t>
  </si>
  <si>
    <t>Ratio_Analysis</t>
  </si>
  <si>
    <t>Understand why NPA, NIM, ROA and ROE are relevant to banks.</t>
  </si>
  <si>
    <t>Credit quality + spread + profitability</t>
  </si>
  <si>
    <t>4</t>
  </si>
  <si>
    <t>Dashboard</t>
  </si>
  <si>
    <t>Identify which raw cells feed each KPI card and chart.</t>
  </si>
  <si>
    <t>Raw data → dashboard references</t>
  </si>
  <si>
    <t>5</t>
  </si>
  <si>
    <t>Source_Log</t>
  </si>
  <si>
    <t>Learn professional data provenance.</t>
  </si>
  <si>
    <t>Company report → section → metric → unit</t>
  </si>
  <si>
    <t>6</t>
  </si>
  <si>
    <t>Insights</t>
  </si>
  <si>
    <t>Translate numerical movements into business questions rather than just describing numbers.</t>
  </si>
  <si>
    <t>What changed? Why might it matter? What would I investigate next?</t>
  </si>
  <si>
    <t>7</t>
  </si>
  <si>
    <t>Interview_Story</t>
  </si>
  <si>
    <t>Practice explaining the workflow without memorizing the wording.</t>
  </si>
  <si>
    <t>Source → clean → calculate → analyze → communicate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</si>
</sst>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3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horizontal="center" vertical="top"/>
    </xf>
    <xf numFmtId="3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0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4" fillId="2" borderId="0" xfId="0" applyFont="1" applyFill="1" applyAlignment="1">
      <alignment vertical="top"/>
    </xf>
    <xf numFmtId="10" fontId="6" fillId="0" borderId="0" xfId="0" applyNumberFormat="1" applyFont="1" applyAlignment="1">
      <alignment vertical="top"/>
    </xf>
    <xf numFmtId="4" fontId="6" fillId="0" borderId="0" xfId="0" applyNumberFormat="1" applyFont="1" applyAlignment="1">
      <alignment vertical="top"/>
    </xf>
    <xf numFmtId="3" fontId="0" fillId="0" borderId="0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Net Profit Trend (₹ crore)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Dashboard!$A$12</c:f>
              <c:strCache>
                <c:ptCount val="1"/>
                <c:pt idx="0">
                  <c:v>Canara Bank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Dashboard!$B$11:$F$11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Dashboard!$B$12:$F$12</c:f>
              <c:numCache>
                <c:formatCode>General</c:formatCode>
                <c:ptCount val="5"/>
                <c:pt idx="0">
                  <c:v>2558</c:v>
                </c:pt>
                <c:pt idx="1">
                  <c:v>5678</c:v>
                </c:pt>
                <c:pt idx="2">
                  <c:v>10604</c:v>
                </c:pt>
                <c:pt idx="3">
                  <c:v>14554</c:v>
                </c:pt>
                <c:pt idx="4">
                  <c:v>17027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0A-C44F-85AF-3024E34F9E3E}"/>
            </c:ext>
          </c:extLst>
        </c:ser>
        <c:ser>
          <c:idx val="1"/>
          <c:order val="1"/>
          <c:tx>
            <c:strRef>
              <c:f>Dashboard!$A$13</c:f>
              <c:strCache>
                <c:ptCount val="1"/>
                <c:pt idx="0">
                  <c:v>Axis Bank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Dashboard!$B$11:$F$11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Dashboard!$B$13:$F$13</c:f>
              <c:numCache>
                <c:formatCode>General</c:formatCode>
                <c:ptCount val="5"/>
                <c:pt idx="0">
                  <c:v>6589</c:v>
                </c:pt>
                <c:pt idx="1">
                  <c:v>13025</c:v>
                </c:pt>
                <c:pt idx="2">
                  <c:v>21933</c:v>
                </c:pt>
                <c:pt idx="3">
                  <c:v>24861</c:v>
                </c:pt>
                <c:pt idx="4">
                  <c:v>26373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50A-C44F-85AF-3024E34F9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Fiscal 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₹ crore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Gross NPA Trend (%)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Dashboard!$A$27</c:f>
              <c:strCache>
                <c:ptCount val="1"/>
                <c:pt idx="0">
                  <c:v>Canara Bank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Dashboard!$B$26:$F$26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Dashboard!$B$27:$F$27</c:f>
              <c:numCache>
                <c:formatCode>General</c:formatCode>
                <c:ptCount val="5"/>
                <c:pt idx="0">
                  <c:v>8.93</c:v>
                </c:pt>
                <c:pt idx="1">
                  <c:v>7.51</c:v>
                </c:pt>
                <c:pt idx="2">
                  <c:v>5.35</c:v>
                </c:pt>
                <c:pt idx="3">
                  <c:v>4.2300000000000004</c:v>
                </c:pt>
                <c:pt idx="4">
                  <c:v>2.94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8B-714B-A6DC-AB014102692C}"/>
            </c:ext>
          </c:extLst>
        </c:ser>
        <c:ser>
          <c:idx val="1"/>
          <c:order val="1"/>
          <c:tx>
            <c:strRef>
              <c:f>Dashboard!$A$28</c:f>
              <c:strCache>
                <c:ptCount val="1"/>
                <c:pt idx="0">
                  <c:v>Axis Bank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Dashboard!$B$26:$F$26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Dashboard!$B$28:$F$28</c:f>
              <c:numCache>
                <c:formatCode>General</c:formatCode>
                <c:ptCount val="5"/>
                <c:pt idx="0">
                  <c:v>1.05</c:v>
                </c:pt>
                <c:pt idx="1">
                  <c:v>0.73</c:v>
                </c:pt>
                <c:pt idx="2">
                  <c:v>0.39</c:v>
                </c:pt>
                <c:pt idx="3">
                  <c:v>0.31</c:v>
                </c:pt>
                <c:pt idx="4">
                  <c:v>0.33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88B-714B-A6DC-AB0141026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14</xdr:row>
      <xdr:rowOff>0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zoomScale="193" workbookViewId="0">
      <pane ySplit="2" topLeftCell="A9" activePane="bottomLeft" state="frozen"/>
      <selection pane="bottomLeft" sqref="A1:H1"/>
    </sheetView>
  </sheetViews>
  <sheetFormatPr baseColWidth="10" defaultColWidth="8.83203125" defaultRowHeight="15" x14ac:dyDescent="0.2"/>
  <cols>
    <col min="1" max="1" width="22" customWidth="1"/>
    <col min="2" max="8" width="28" customWidth="1"/>
  </cols>
  <sheetData>
    <row r="1" spans="1:8" ht="21" x14ac:dyDescent="0.2">
      <c r="A1" s="14" t="s">
        <v>0</v>
      </c>
      <c r="B1" s="13"/>
      <c r="C1" s="13"/>
      <c r="D1" s="13"/>
      <c r="E1" s="13"/>
      <c r="F1" s="13"/>
      <c r="G1" s="13"/>
      <c r="H1" s="13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12" t="s">
        <v>2</v>
      </c>
      <c r="C3" s="13"/>
      <c r="D3" s="13"/>
      <c r="E3" s="13"/>
      <c r="F3" s="13"/>
      <c r="G3" s="13"/>
      <c r="H3" s="13"/>
    </row>
    <row r="4" spans="1:8" x14ac:dyDescent="0.2">
      <c r="A4" s="2" t="s">
        <v>3</v>
      </c>
      <c r="B4" s="12" t="s">
        <v>4</v>
      </c>
      <c r="C4" s="13"/>
      <c r="D4" s="13"/>
      <c r="E4" s="13"/>
      <c r="F4" s="13"/>
      <c r="G4" s="13"/>
      <c r="H4" s="13"/>
    </row>
    <row r="5" spans="1:8" x14ac:dyDescent="0.2">
      <c r="A5" s="2" t="s">
        <v>5</v>
      </c>
      <c r="B5" s="12" t="s">
        <v>6</v>
      </c>
      <c r="C5" s="13"/>
      <c r="D5" s="13"/>
      <c r="E5" s="13"/>
      <c r="F5" s="13"/>
      <c r="G5" s="13"/>
      <c r="H5" s="13"/>
    </row>
    <row r="6" spans="1:8" x14ac:dyDescent="0.2">
      <c r="A6" s="2" t="s">
        <v>7</v>
      </c>
      <c r="B6" s="12" t="s">
        <v>8</v>
      </c>
      <c r="C6" s="13"/>
      <c r="D6" s="13"/>
      <c r="E6" s="13"/>
      <c r="F6" s="13"/>
      <c r="G6" s="13"/>
      <c r="H6" s="13"/>
    </row>
    <row r="7" spans="1:8" x14ac:dyDescent="0.2">
      <c r="A7" s="2" t="s">
        <v>9</v>
      </c>
      <c r="B7" s="12" t="s">
        <v>10</v>
      </c>
      <c r="C7" s="13"/>
      <c r="D7" s="13"/>
      <c r="E7" s="13"/>
      <c r="F7" s="13"/>
      <c r="G7" s="13"/>
      <c r="H7" s="13"/>
    </row>
    <row r="8" spans="1:8" x14ac:dyDescent="0.2">
      <c r="A8" s="2" t="s">
        <v>11</v>
      </c>
      <c r="B8" s="12" t="s">
        <v>12</v>
      </c>
      <c r="C8" s="13"/>
      <c r="D8" s="13"/>
      <c r="E8" s="13"/>
      <c r="F8" s="13"/>
      <c r="G8" s="13"/>
      <c r="H8" s="13"/>
    </row>
    <row r="9" spans="1:8" x14ac:dyDescent="0.2">
      <c r="A9" s="2" t="s">
        <v>13</v>
      </c>
      <c r="B9" s="12" t="s">
        <v>14</v>
      </c>
      <c r="C9" s="13"/>
      <c r="D9" s="13"/>
      <c r="E9" s="13"/>
      <c r="F9" s="13"/>
      <c r="G9" s="13"/>
      <c r="H9" s="13"/>
    </row>
    <row r="10" spans="1:8" x14ac:dyDescent="0.2">
      <c r="A10" s="2" t="s">
        <v>15</v>
      </c>
      <c r="B10" s="12" t="s">
        <v>16</v>
      </c>
      <c r="C10" s="13"/>
      <c r="D10" s="13"/>
      <c r="E10" s="13"/>
      <c r="F10" s="13"/>
      <c r="G10" s="13"/>
      <c r="H10" s="13"/>
    </row>
    <row r="11" spans="1:8" x14ac:dyDescent="0.2">
      <c r="A11" s="1"/>
      <c r="B11" s="1"/>
      <c r="C11" s="1"/>
      <c r="D11" s="1"/>
      <c r="E11" s="1"/>
      <c r="F11" s="1"/>
      <c r="G11" s="1"/>
      <c r="H11" s="1"/>
    </row>
    <row r="12" spans="1:8" x14ac:dyDescent="0.2">
      <c r="A12" s="1"/>
      <c r="B12" s="1"/>
      <c r="C12" s="1"/>
      <c r="D12" s="1"/>
      <c r="E12" s="1"/>
      <c r="F12" s="1"/>
      <c r="G12" s="1"/>
      <c r="H12" s="1"/>
    </row>
    <row r="13" spans="1:8" ht="16" x14ac:dyDescent="0.2">
      <c r="A13" s="4" t="s">
        <v>17</v>
      </c>
      <c r="B13" s="1"/>
      <c r="C13" s="1"/>
      <c r="D13" s="1"/>
      <c r="E13" s="1"/>
      <c r="F13" s="1"/>
      <c r="G13" s="1"/>
      <c r="H13" s="1"/>
    </row>
    <row r="14" spans="1:8" x14ac:dyDescent="0.2">
      <c r="A14" s="1" t="s">
        <v>18</v>
      </c>
      <c r="B14" s="1"/>
      <c r="C14" s="1"/>
      <c r="D14" s="1"/>
      <c r="E14" s="1"/>
      <c r="F14" s="1"/>
      <c r="G14" s="1"/>
      <c r="H14" s="1"/>
    </row>
    <row r="15" spans="1:8" x14ac:dyDescent="0.2">
      <c r="A15" s="1" t="s">
        <v>19</v>
      </c>
      <c r="B15" s="1"/>
      <c r="C15" s="1"/>
      <c r="D15" s="1"/>
      <c r="E15" s="1"/>
      <c r="F15" s="1"/>
      <c r="G15" s="1"/>
      <c r="H15" s="1"/>
    </row>
    <row r="16" spans="1:8" x14ac:dyDescent="0.2">
      <c r="A16" s="1" t="s">
        <v>20</v>
      </c>
      <c r="B16" s="1"/>
      <c r="C16" s="1"/>
      <c r="D16" s="1"/>
      <c r="E16" s="1"/>
      <c r="F16" s="1"/>
      <c r="G16" s="1"/>
      <c r="H16" s="1"/>
    </row>
    <row r="17" spans="1:8" x14ac:dyDescent="0.2">
      <c r="A17" s="1" t="s">
        <v>21</v>
      </c>
      <c r="B17" s="1"/>
      <c r="C17" s="1"/>
      <c r="D17" s="1"/>
      <c r="E17" s="1"/>
      <c r="F17" s="1"/>
      <c r="G17" s="1"/>
      <c r="H17" s="1"/>
    </row>
    <row r="18" spans="1:8" x14ac:dyDescent="0.2">
      <c r="A18" s="1" t="s">
        <v>22</v>
      </c>
      <c r="B18" s="1"/>
      <c r="C18" s="1"/>
      <c r="D18" s="1"/>
      <c r="E18" s="1"/>
      <c r="F18" s="1"/>
      <c r="G18" s="1"/>
      <c r="H18" s="1"/>
    </row>
    <row r="19" spans="1:8" x14ac:dyDescent="0.2">
      <c r="A19" s="1" t="s">
        <v>23</v>
      </c>
      <c r="B19" s="1"/>
      <c r="C19" s="1"/>
      <c r="D19" s="1"/>
      <c r="E19" s="1"/>
      <c r="F19" s="1"/>
      <c r="G19" s="1"/>
      <c r="H19" s="1"/>
    </row>
    <row r="20" spans="1:8" x14ac:dyDescent="0.2">
      <c r="A20" s="1" t="s">
        <v>24</v>
      </c>
      <c r="B20" s="1"/>
      <c r="C20" s="1"/>
      <c r="D20" s="1"/>
      <c r="E20" s="1"/>
      <c r="F20" s="1"/>
      <c r="G20" s="1"/>
      <c r="H20" s="1"/>
    </row>
    <row r="21" spans="1:8" x14ac:dyDescent="0.2">
      <c r="A21" s="1" t="s">
        <v>25</v>
      </c>
      <c r="B21" s="1"/>
      <c r="C21" s="1"/>
      <c r="D21" s="1"/>
      <c r="E21" s="1"/>
      <c r="F21" s="1"/>
      <c r="G21" s="1"/>
      <c r="H21" s="1"/>
    </row>
  </sheetData>
  <mergeCells count="9">
    <mergeCell ref="A1:H1"/>
    <mergeCell ref="B10:H10"/>
    <mergeCell ref="B3:H3"/>
    <mergeCell ref="B5:H5"/>
    <mergeCell ref="B8:H8"/>
    <mergeCell ref="B9:H9"/>
    <mergeCell ref="B4:H4"/>
    <mergeCell ref="B6:H6"/>
    <mergeCell ref="B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showGridLines="0" zoomScale="118" workbookViewId="0">
      <pane xSplit="2" ySplit="3" topLeftCell="C4" activePane="bottomRight" state="frozen"/>
      <selection pane="topRight"/>
      <selection pane="bottomLeft"/>
      <selection pane="bottomRight" activeCell="E15" sqref="E15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7" width="15" customWidth="1"/>
    <col min="8" max="8" width="18" customWidth="1"/>
  </cols>
  <sheetData>
    <row r="1" spans="1:8" ht="21" x14ac:dyDescent="0.2">
      <c r="A1" s="14" t="s">
        <v>26</v>
      </c>
      <c r="B1" s="13"/>
      <c r="C1" s="13"/>
      <c r="D1" s="13"/>
      <c r="E1" s="13"/>
      <c r="F1" s="13"/>
      <c r="G1" s="13"/>
      <c r="H1" s="13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  <c r="H3" s="5" t="s">
        <v>34</v>
      </c>
    </row>
    <row r="4" spans="1:8" x14ac:dyDescent="0.2">
      <c r="A4" s="1" t="s">
        <v>35</v>
      </c>
      <c r="B4" s="1" t="s">
        <v>36</v>
      </c>
      <c r="C4" s="6">
        <v>24103</v>
      </c>
      <c r="D4" s="6">
        <v>26384</v>
      </c>
      <c r="E4" s="6">
        <v>31435</v>
      </c>
      <c r="F4" s="6">
        <v>36566</v>
      </c>
      <c r="G4" s="6">
        <v>37072</v>
      </c>
      <c r="H4" s="1" t="s">
        <v>37</v>
      </c>
    </row>
    <row r="5" spans="1:8" x14ac:dyDescent="0.2">
      <c r="A5" s="1" t="s">
        <v>35</v>
      </c>
      <c r="B5" s="1" t="s">
        <v>38</v>
      </c>
      <c r="C5" s="6">
        <v>2558</v>
      </c>
      <c r="D5" s="6">
        <v>5678</v>
      </c>
      <c r="E5" s="6">
        <v>10604</v>
      </c>
      <c r="F5" s="6">
        <v>14554</v>
      </c>
      <c r="G5" s="6">
        <v>17027</v>
      </c>
      <c r="H5" s="1" t="s">
        <v>37</v>
      </c>
    </row>
    <row r="6" spans="1:8" x14ac:dyDescent="0.2">
      <c r="A6" s="1" t="s">
        <v>35</v>
      </c>
      <c r="B6" s="1" t="s">
        <v>39</v>
      </c>
      <c r="C6" s="6">
        <v>1153675</v>
      </c>
      <c r="D6" s="6">
        <v>1226980</v>
      </c>
      <c r="E6" s="6">
        <v>1345732</v>
      </c>
      <c r="F6" s="6">
        <v>1491541</v>
      </c>
      <c r="G6" s="6">
        <v>1682850</v>
      </c>
      <c r="H6" s="1" t="s">
        <v>37</v>
      </c>
    </row>
    <row r="7" spans="1:8" x14ac:dyDescent="0.2">
      <c r="A7" s="1" t="s">
        <v>35</v>
      </c>
      <c r="B7" s="1" t="s">
        <v>40</v>
      </c>
      <c r="C7" s="6">
        <v>1010875</v>
      </c>
      <c r="D7" s="6">
        <v>1086409</v>
      </c>
      <c r="E7" s="6">
        <v>1179219</v>
      </c>
      <c r="F7" s="6">
        <v>1312366</v>
      </c>
      <c r="G7" s="6">
        <v>1456883</v>
      </c>
      <c r="H7" s="1" t="s">
        <v>37</v>
      </c>
    </row>
    <row r="8" spans="1:8" x14ac:dyDescent="0.2">
      <c r="A8" s="1" t="s">
        <v>35</v>
      </c>
      <c r="B8" s="1" t="s">
        <v>41</v>
      </c>
      <c r="C8" s="6">
        <v>675155</v>
      </c>
      <c r="D8" s="6">
        <v>741147</v>
      </c>
      <c r="E8" s="6">
        <v>862782</v>
      </c>
      <c r="F8" s="6">
        <v>960602</v>
      </c>
      <c r="G8" s="6">
        <v>1073332</v>
      </c>
      <c r="H8" s="1" t="s">
        <v>37</v>
      </c>
    </row>
    <row r="9" spans="1:8" x14ac:dyDescent="0.2">
      <c r="A9" s="1" t="s">
        <v>35</v>
      </c>
      <c r="B9" s="1" t="s">
        <v>42</v>
      </c>
      <c r="C9" s="7">
        <v>8.93</v>
      </c>
      <c r="D9" s="7">
        <v>7.51</v>
      </c>
      <c r="E9" s="7">
        <v>5.35</v>
      </c>
      <c r="F9" s="7">
        <v>4.2300000000000004</v>
      </c>
      <c r="G9" s="7">
        <v>2.94</v>
      </c>
      <c r="H9" s="1" t="s">
        <v>43</v>
      </c>
    </row>
    <row r="10" spans="1:8" x14ac:dyDescent="0.2">
      <c r="A10" s="1" t="s">
        <v>35</v>
      </c>
      <c r="B10" s="1" t="s">
        <v>44</v>
      </c>
      <c r="C10" s="7">
        <v>3.82</v>
      </c>
      <c r="D10" s="7">
        <v>2.65</v>
      </c>
      <c r="E10" s="7">
        <v>1.73</v>
      </c>
      <c r="F10" s="7">
        <v>1.27</v>
      </c>
      <c r="G10" s="7">
        <v>0.7</v>
      </c>
      <c r="H10" s="1" t="s">
        <v>43</v>
      </c>
    </row>
    <row r="11" spans="1:8" x14ac:dyDescent="0.2">
      <c r="A11" s="1" t="s">
        <v>35</v>
      </c>
      <c r="B11" s="1" t="s">
        <v>45</v>
      </c>
      <c r="C11" s="7">
        <v>0.23</v>
      </c>
      <c r="D11" s="7">
        <v>0.48</v>
      </c>
      <c r="E11" s="7">
        <v>0.81</v>
      </c>
      <c r="F11" s="7">
        <v>1.01</v>
      </c>
      <c r="G11" s="7">
        <v>1.0900000000000001</v>
      </c>
      <c r="H11" s="1" t="s">
        <v>43</v>
      </c>
    </row>
    <row r="12" spans="1:8" x14ac:dyDescent="0.2">
      <c r="A12" s="1" t="s">
        <v>35</v>
      </c>
      <c r="B12" s="1" t="s">
        <v>46</v>
      </c>
      <c r="C12" s="7">
        <v>6.71</v>
      </c>
      <c r="D12" s="7">
        <v>12.82</v>
      </c>
      <c r="E12" s="7">
        <v>19.489999999999998</v>
      </c>
      <c r="F12" s="7">
        <v>22.06</v>
      </c>
      <c r="G12" s="7">
        <v>21.28</v>
      </c>
      <c r="H12" s="1" t="s">
        <v>43</v>
      </c>
    </row>
    <row r="13" spans="1:8" x14ac:dyDescent="0.2">
      <c r="A13" s="1" t="s">
        <v>35</v>
      </c>
      <c r="B13" s="1" t="s">
        <v>47</v>
      </c>
      <c r="C13" s="7">
        <v>49.55</v>
      </c>
      <c r="D13" s="7">
        <v>46.16</v>
      </c>
      <c r="E13" s="7">
        <v>44.79</v>
      </c>
      <c r="F13" s="7">
        <v>47.03</v>
      </c>
      <c r="G13" s="7">
        <v>47.27</v>
      </c>
      <c r="H13" s="1" t="s">
        <v>43</v>
      </c>
    </row>
    <row r="14" spans="1:8" x14ac:dyDescent="0.2">
      <c r="A14" s="1" t="s">
        <v>35</v>
      </c>
      <c r="B14" s="1" t="s">
        <v>48</v>
      </c>
      <c r="C14" s="7">
        <v>2.75</v>
      </c>
      <c r="D14" s="7">
        <v>2.95</v>
      </c>
      <c r="E14" s="7">
        <v>3.02</v>
      </c>
      <c r="F14" s="7">
        <v>3.05</v>
      </c>
      <c r="G14" s="7">
        <v>2.8</v>
      </c>
      <c r="H14" s="1" t="s">
        <v>43</v>
      </c>
    </row>
    <row r="15" spans="1:8" x14ac:dyDescent="0.2">
      <c r="A15" s="1" t="s">
        <v>49</v>
      </c>
      <c r="B15" s="1" t="s">
        <v>36</v>
      </c>
      <c r="C15" s="6">
        <v>29239</v>
      </c>
      <c r="D15" s="6">
        <v>33132</v>
      </c>
      <c r="E15" s="18">
        <v>42946</v>
      </c>
      <c r="F15" s="6">
        <v>49894</v>
      </c>
      <c r="G15" s="6">
        <v>54348</v>
      </c>
      <c r="H15" s="1" t="s">
        <v>37</v>
      </c>
    </row>
    <row r="16" spans="1:8" x14ac:dyDescent="0.2">
      <c r="A16" s="1" t="s">
        <v>49</v>
      </c>
      <c r="B16" s="1" t="s">
        <v>38</v>
      </c>
      <c r="C16" s="6">
        <v>6589</v>
      </c>
      <c r="D16" s="6">
        <v>13025</v>
      </c>
      <c r="E16" s="6">
        <v>21933</v>
      </c>
      <c r="F16" s="6">
        <v>24861</v>
      </c>
      <c r="G16" s="6">
        <v>26373</v>
      </c>
      <c r="H16" s="1" t="s">
        <v>37</v>
      </c>
    </row>
    <row r="17" spans="1:8" x14ac:dyDescent="0.2">
      <c r="A17" s="1" t="s">
        <v>49</v>
      </c>
      <c r="B17" s="1" t="s">
        <v>39</v>
      </c>
      <c r="C17" s="6">
        <v>986798</v>
      </c>
      <c r="D17" s="6">
        <v>1175429</v>
      </c>
      <c r="E17" s="6">
        <v>1317326</v>
      </c>
      <c r="F17" s="6">
        <v>1477209</v>
      </c>
      <c r="G17" s="6">
        <v>1609930</v>
      </c>
      <c r="H17" s="1" t="s">
        <v>37</v>
      </c>
    </row>
    <row r="18" spans="1:8" x14ac:dyDescent="0.2">
      <c r="A18" s="1" t="s">
        <v>49</v>
      </c>
      <c r="B18" s="1" t="s">
        <v>40</v>
      </c>
      <c r="C18" s="6">
        <v>697985</v>
      </c>
      <c r="D18" s="6">
        <v>821721</v>
      </c>
      <c r="E18" s="6">
        <v>946945</v>
      </c>
      <c r="F18" s="6">
        <v>1068641</v>
      </c>
      <c r="G18" s="6">
        <v>1172952</v>
      </c>
      <c r="H18" s="1" t="s">
        <v>37</v>
      </c>
    </row>
    <row r="19" spans="1:8" x14ac:dyDescent="0.2">
      <c r="A19" s="1" t="s">
        <v>49</v>
      </c>
      <c r="B19" s="1" t="s">
        <v>41</v>
      </c>
      <c r="C19" s="6">
        <v>614399</v>
      </c>
      <c r="D19" s="6">
        <v>707947</v>
      </c>
      <c r="E19" s="6">
        <v>845303</v>
      </c>
      <c r="F19" s="6">
        <v>965068</v>
      </c>
      <c r="G19" s="6">
        <v>1040811</v>
      </c>
      <c r="H19" s="1" t="s">
        <v>37</v>
      </c>
    </row>
    <row r="20" spans="1:8" x14ac:dyDescent="0.2">
      <c r="A20" s="1" t="s">
        <v>49</v>
      </c>
      <c r="B20" s="1" t="s">
        <v>42</v>
      </c>
      <c r="C20" s="7">
        <v>3.7</v>
      </c>
      <c r="D20" s="7">
        <v>2.82</v>
      </c>
      <c r="E20" s="7">
        <v>2.02</v>
      </c>
      <c r="F20" s="7">
        <v>1.43</v>
      </c>
      <c r="G20" s="7">
        <v>1.28</v>
      </c>
      <c r="H20" s="1" t="s">
        <v>43</v>
      </c>
    </row>
    <row r="21" spans="1:8" x14ac:dyDescent="0.2">
      <c r="A21" s="1" t="s">
        <v>49</v>
      </c>
      <c r="B21" s="1" t="s">
        <v>44</v>
      </c>
      <c r="C21" s="7">
        <v>1.05</v>
      </c>
      <c r="D21" s="7">
        <v>0.73</v>
      </c>
      <c r="E21" s="7">
        <v>0.39</v>
      </c>
      <c r="F21" s="7">
        <v>0.31</v>
      </c>
      <c r="G21" s="7">
        <v>0.33</v>
      </c>
      <c r="H21" s="1" t="s">
        <v>43</v>
      </c>
    </row>
    <row r="22" spans="1:8" x14ac:dyDescent="0.2">
      <c r="A22" s="1" t="s">
        <v>49</v>
      </c>
      <c r="B22" s="1" t="s">
        <v>45</v>
      </c>
      <c r="C22" s="7">
        <v>0.7</v>
      </c>
      <c r="D22" s="7">
        <v>1.21</v>
      </c>
      <c r="E22" s="7">
        <v>1.82</v>
      </c>
      <c r="F22" s="7">
        <v>1.83</v>
      </c>
      <c r="G22" s="7">
        <v>1.74</v>
      </c>
      <c r="H22" s="1" t="s">
        <v>43</v>
      </c>
    </row>
    <row r="23" spans="1:8" x14ac:dyDescent="0.2">
      <c r="A23" s="1" t="s">
        <v>49</v>
      </c>
      <c r="B23" s="1" t="s">
        <v>46</v>
      </c>
      <c r="C23" s="7">
        <v>7.55</v>
      </c>
      <c r="D23" s="7">
        <v>12.91</v>
      </c>
      <c r="E23" s="7">
        <v>18.38</v>
      </c>
      <c r="F23" s="7">
        <v>18.86</v>
      </c>
      <c r="G23" s="7">
        <v>16.52</v>
      </c>
      <c r="H23" s="1" t="s">
        <v>43</v>
      </c>
    </row>
    <row r="24" spans="1:8" x14ac:dyDescent="0.2">
      <c r="A24" s="1" t="s">
        <v>49</v>
      </c>
      <c r="B24" s="1" t="s">
        <v>47</v>
      </c>
      <c r="C24" s="1"/>
      <c r="D24" s="1"/>
      <c r="E24" s="1"/>
      <c r="F24" s="1"/>
      <c r="G24" s="1"/>
      <c r="H24" s="1" t="s">
        <v>50</v>
      </c>
    </row>
    <row r="25" spans="1:8" x14ac:dyDescent="0.2">
      <c r="A25" s="1" t="s">
        <v>49</v>
      </c>
      <c r="B25" s="1" t="s">
        <v>48</v>
      </c>
      <c r="C25" s="7">
        <v>3.56</v>
      </c>
      <c r="D25" s="7">
        <v>3.54</v>
      </c>
      <c r="E25" s="7">
        <v>4.22</v>
      </c>
      <c r="F25" s="7">
        <v>4.07</v>
      </c>
      <c r="G25" s="7">
        <v>3.98</v>
      </c>
      <c r="H25" s="1" t="s">
        <v>43</v>
      </c>
    </row>
  </sheetData>
  <autoFilter ref="A3:H25" xr:uid="{00000000-0009-0000-0000-000001000000}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showGridLines="0" zoomScale="131" workbookViewId="0">
      <selection sqref="A1:J1"/>
    </sheetView>
  </sheetViews>
  <sheetFormatPr baseColWidth="10" defaultColWidth="8.83203125" defaultRowHeight="15" x14ac:dyDescent="0.2"/>
  <cols>
    <col min="1" max="1" width="18" customWidth="1"/>
    <col min="2" max="2" width="24" customWidth="1"/>
    <col min="3" max="7" width="15" customWidth="1"/>
    <col min="8" max="9" width="16" customWidth="1"/>
    <col min="10" max="10" width="30" customWidth="1"/>
  </cols>
  <sheetData>
    <row r="1" spans="1:10" ht="21" x14ac:dyDescent="0.2">
      <c r="A1" s="14" t="s">
        <v>51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  <c r="H3" s="5" t="s">
        <v>52</v>
      </c>
      <c r="I3" s="5" t="s">
        <v>53</v>
      </c>
      <c r="J3" s="5" t="s">
        <v>54</v>
      </c>
    </row>
    <row r="4" spans="1:10" x14ac:dyDescent="0.2">
      <c r="A4" s="1" t="s">
        <v>35</v>
      </c>
      <c r="B4" s="1" t="s">
        <v>36</v>
      </c>
      <c r="C4" s="1">
        <f>Historical_Data!C4</f>
        <v>24103</v>
      </c>
      <c r="D4" s="1">
        <f>Historical_Data!D4</f>
        <v>26384</v>
      </c>
      <c r="E4" s="1">
        <f>Historical_Data!E4</f>
        <v>31435</v>
      </c>
      <c r="F4" s="1">
        <f>Historical_Data!F4</f>
        <v>36566</v>
      </c>
      <c r="G4" s="1">
        <f>Historical_Data!G4</f>
        <v>37072</v>
      </c>
      <c r="H4" s="8">
        <f t="shared" ref="H4:H13" si="0">G4/C4-1</f>
        <v>0.53806580093764267</v>
      </c>
      <c r="I4" s="8">
        <f t="shared" ref="I4:I13" si="1">(G4/C4)^(1/4)-1</f>
        <v>0.11363719798509653</v>
      </c>
      <c r="J4" s="1" t="s">
        <v>55</v>
      </c>
    </row>
    <row r="5" spans="1:10" x14ac:dyDescent="0.2">
      <c r="A5" s="1" t="s">
        <v>35</v>
      </c>
      <c r="B5" s="1" t="s">
        <v>38</v>
      </c>
      <c r="C5" s="1">
        <f>Historical_Data!C5</f>
        <v>2558</v>
      </c>
      <c r="D5" s="1">
        <f>Historical_Data!D5</f>
        <v>5678</v>
      </c>
      <c r="E5" s="1">
        <f>Historical_Data!E5</f>
        <v>10604</v>
      </c>
      <c r="F5" s="1">
        <f>Historical_Data!F5</f>
        <v>14554</v>
      </c>
      <c r="G5" s="1">
        <f>Historical_Data!G5</f>
        <v>17027</v>
      </c>
      <c r="H5" s="8">
        <f t="shared" si="0"/>
        <v>5.6563721657544956</v>
      </c>
      <c r="I5" s="8">
        <f t="shared" si="1"/>
        <v>0.60623616126668489</v>
      </c>
      <c r="J5" s="1" t="s">
        <v>55</v>
      </c>
    </row>
    <row r="6" spans="1:10" x14ac:dyDescent="0.2">
      <c r="A6" s="1" t="s">
        <v>35</v>
      </c>
      <c r="B6" s="1" t="s">
        <v>40</v>
      </c>
      <c r="C6" s="1">
        <f>Historical_Data!C7</f>
        <v>1010875</v>
      </c>
      <c r="D6" s="1">
        <f>Historical_Data!D7</f>
        <v>1086409</v>
      </c>
      <c r="E6" s="1">
        <f>Historical_Data!E7</f>
        <v>1179219</v>
      </c>
      <c r="F6" s="1">
        <f>Historical_Data!F7</f>
        <v>1312366</v>
      </c>
      <c r="G6" s="1">
        <f>Historical_Data!G7</f>
        <v>1456883</v>
      </c>
      <c r="H6" s="8">
        <f t="shared" si="0"/>
        <v>0.4412098429578335</v>
      </c>
      <c r="I6" s="8">
        <f t="shared" si="1"/>
        <v>9.5675132233256965E-2</v>
      </c>
      <c r="J6" s="1" t="s">
        <v>55</v>
      </c>
    </row>
    <row r="7" spans="1:10" x14ac:dyDescent="0.2">
      <c r="A7" s="1" t="s">
        <v>35</v>
      </c>
      <c r="B7" s="1" t="s">
        <v>41</v>
      </c>
      <c r="C7" s="1">
        <f>Historical_Data!C8</f>
        <v>675155</v>
      </c>
      <c r="D7" s="1">
        <f>Historical_Data!D8</f>
        <v>741147</v>
      </c>
      <c r="E7" s="1">
        <f>Historical_Data!E8</f>
        <v>862782</v>
      </c>
      <c r="F7" s="1">
        <f>Historical_Data!F8</f>
        <v>960602</v>
      </c>
      <c r="G7" s="1">
        <f>Historical_Data!G8</f>
        <v>1073332</v>
      </c>
      <c r="H7" s="8">
        <f t="shared" si="0"/>
        <v>0.58975642630210845</v>
      </c>
      <c r="I7" s="8">
        <f t="shared" si="1"/>
        <v>0.12287819212012852</v>
      </c>
      <c r="J7" s="1" t="s">
        <v>55</v>
      </c>
    </row>
    <row r="8" spans="1:10" x14ac:dyDescent="0.2">
      <c r="A8" s="1" t="s">
        <v>35</v>
      </c>
      <c r="B8" s="1" t="s">
        <v>39</v>
      </c>
      <c r="C8" s="1">
        <f>Historical_Data!C6</f>
        <v>1153675</v>
      </c>
      <c r="D8" s="1">
        <f>Historical_Data!D6</f>
        <v>1226980</v>
      </c>
      <c r="E8" s="1">
        <f>Historical_Data!E6</f>
        <v>1345732</v>
      </c>
      <c r="F8" s="1">
        <f>Historical_Data!F6</f>
        <v>1491541</v>
      </c>
      <c r="G8" s="1">
        <f>Historical_Data!G6</f>
        <v>1682850</v>
      </c>
      <c r="H8" s="8">
        <f t="shared" si="0"/>
        <v>0.45868637181181882</v>
      </c>
      <c r="I8" s="8">
        <f t="shared" si="1"/>
        <v>9.8981752269262424E-2</v>
      </c>
      <c r="J8" s="1" t="s">
        <v>55</v>
      </c>
    </row>
    <row r="9" spans="1:10" x14ac:dyDescent="0.2">
      <c r="A9" s="1" t="s">
        <v>49</v>
      </c>
      <c r="B9" s="1" t="s">
        <v>36</v>
      </c>
      <c r="C9" s="1">
        <f>Historical_Data!C15</f>
        <v>29239</v>
      </c>
      <c r="D9" s="1">
        <f>Historical_Data!D15</f>
        <v>33132</v>
      </c>
      <c r="E9" s="1">
        <f>Historical_Data!E15</f>
        <v>42946</v>
      </c>
      <c r="F9" s="1">
        <f>Historical_Data!F15</f>
        <v>49894</v>
      </c>
      <c r="G9" s="1">
        <f>Historical_Data!G15</f>
        <v>54348</v>
      </c>
      <c r="H9" s="8">
        <f t="shared" si="0"/>
        <v>0.85875029925784063</v>
      </c>
      <c r="I9" s="8">
        <f t="shared" si="1"/>
        <v>0.16763004851439378</v>
      </c>
      <c r="J9" s="1" t="s">
        <v>55</v>
      </c>
    </row>
    <row r="10" spans="1:10" x14ac:dyDescent="0.2">
      <c r="A10" s="1" t="s">
        <v>49</v>
      </c>
      <c r="B10" s="1" t="s">
        <v>38</v>
      </c>
      <c r="C10" s="1">
        <f>Historical_Data!C16</f>
        <v>6589</v>
      </c>
      <c r="D10" s="1">
        <f>Historical_Data!D16</f>
        <v>13025</v>
      </c>
      <c r="E10" s="1">
        <f>Historical_Data!E16</f>
        <v>21933</v>
      </c>
      <c r="F10" s="1">
        <f>Historical_Data!F16</f>
        <v>24861</v>
      </c>
      <c r="G10" s="1">
        <f>Historical_Data!G16</f>
        <v>26373</v>
      </c>
      <c r="H10" s="8">
        <f t="shared" si="0"/>
        <v>3.0025800576718771</v>
      </c>
      <c r="I10" s="8">
        <f t="shared" si="1"/>
        <v>0.41444155426818541</v>
      </c>
      <c r="J10" s="1" t="s">
        <v>55</v>
      </c>
    </row>
    <row r="11" spans="1:10" x14ac:dyDescent="0.2">
      <c r="A11" s="1" t="s">
        <v>49</v>
      </c>
      <c r="B11" s="1" t="s">
        <v>40</v>
      </c>
      <c r="C11" s="1">
        <f>Historical_Data!C18</f>
        <v>697985</v>
      </c>
      <c r="D11" s="1">
        <f>Historical_Data!D18</f>
        <v>821721</v>
      </c>
      <c r="E11" s="1">
        <f>Historical_Data!E18</f>
        <v>946945</v>
      </c>
      <c r="F11" s="1">
        <f>Historical_Data!F18</f>
        <v>1068641</v>
      </c>
      <c r="G11" s="1">
        <f>Historical_Data!G18</f>
        <v>1172952</v>
      </c>
      <c r="H11" s="8">
        <f t="shared" si="0"/>
        <v>0.6804831049377853</v>
      </c>
      <c r="I11" s="8">
        <f t="shared" si="1"/>
        <v>0.13856685708900907</v>
      </c>
      <c r="J11" s="1" t="s">
        <v>55</v>
      </c>
    </row>
    <row r="12" spans="1:10" x14ac:dyDescent="0.2">
      <c r="A12" s="1" t="s">
        <v>49</v>
      </c>
      <c r="B12" s="1" t="s">
        <v>41</v>
      </c>
      <c r="C12" s="1">
        <f>Historical_Data!C19</f>
        <v>614399</v>
      </c>
      <c r="D12" s="1">
        <f>Historical_Data!D19</f>
        <v>707947</v>
      </c>
      <c r="E12" s="1">
        <f>Historical_Data!E19</f>
        <v>845303</v>
      </c>
      <c r="F12" s="1">
        <f>Historical_Data!F19</f>
        <v>965068</v>
      </c>
      <c r="G12" s="1">
        <f>Historical_Data!G19</f>
        <v>1040811</v>
      </c>
      <c r="H12" s="8">
        <f t="shared" si="0"/>
        <v>0.69403107752454019</v>
      </c>
      <c r="I12" s="8">
        <f t="shared" si="1"/>
        <v>0.14085471949799011</v>
      </c>
      <c r="J12" s="1" t="s">
        <v>55</v>
      </c>
    </row>
    <row r="13" spans="1:10" x14ac:dyDescent="0.2">
      <c r="A13" s="1" t="s">
        <v>49</v>
      </c>
      <c r="B13" s="1" t="s">
        <v>39</v>
      </c>
      <c r="C13" s="1">
        <f>Historical_Data!C17</f>
        <v>986798</v>
      </c>
      <c r="D13" s="1">
        <f>Historical_Data!D17</f>
        <v>1175429</v>
      </c>
      <c r="E13" s="1">
        <f>Historical_Data!E17</f>
        <v>1317326</v>
      </c>
      <c r="F13" s="1">
        <f>Historical_Data!F17</f>
        <v>1477209</v>
      </c>
      <c r="G13" s="1">
        <f>Historical_Data!G17</f>
        <v>1609930</v>
      </c>
      <c r="H13" s="8">
        <f t="shared" si="0"/>
        <v>0.63146864910549061</v>
      </c>
      <c r="I13" s="8">
        <f t="shared" si="1"/>
        <v>0.13017236356238482</v>
      </c>
      <c r="J13" s="1" t="s">
        <v>55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">
      <c r="A15" s="5" t="s">
        <v>27</v>
      </c>
      <c r="B15" s="5" t="s">
        <v>28</v>
      </c>
      <c r="C15" s="5" t="s">
        <v>29</v>
      </c>
      <c r="D15" s="5" t="s">
        <v>33</v>
      </c>
      <c r="E15" s="5" t="s">
        <v>56</v>
      </c>
      <c r="F15" s="1"/>
      <c r="G15" s="1"/>
      <c r="H15" s="1"/>
      <c r="I15" s="1"/>
      <c r="J15" s="1"/>
    </row>
    <row r="16" spans="1:10" x14ac:dyDescent="0.2">
      <c r="A16" s="1" t="s">
        <v>35</v>
      </c>
      <c r="B16" s="1" t="s">
        <v>42</v>
      </c>
      <c r="C16" s="1">
        <f>Historical_Data!C9</f>
        <v>8.93</v>
      </c>
      <c r="D16" s="1">
        <f>Historical_Data!G9</f>
        <v>2.94</v>
      </c>
      <c r="E16" s="1">
        <f t="shared" ref="E16:E23" si="2">D16-C16</f>
        <v>-5.99</v>
      </c>
      <c r="F16" s="1"/>
      <c r="G16" s="1"/>
      <c r="H16" s="1"/>
      <c r="I16" s="1"/>
      <c r="J16" s="1"/>
    </row>
    <row r="17" spans="1:10" x14ac:dyDescent="0.2">
      <c r="A17" s="1" t="s">
        <v>35</v>
      </c>
      <c r="B17" s="1" t="s">
        <v>44</v>
      </c>
      <c r="C17" s="9">
        <f>Historical_Data!C10</f>
        <v>3.82</v>
      </c>
      <c r="D17" s="9">
        <f>Historical_Data!G10</f>
        <v>0.7</v>
      </c>
      <c r="E17" s="9">
        <f t="shared" si="2"/>
        <v>-3.12</v>
      </c>
      <c r="F17" s="1"/>
      <c r="G17" s="1"/>
      <c r="H17" s="1"/>
      <c r="I17" s="1"/>
      <c r="J17" s="1"/>
    </row>
    <row r="18" spans="1:10" x14ac:dyDescent="0.2">
      <c r="A18" s="1" t="s">
        <v>35</v>
      </c>
      <c r="B18" s="1" t="s">
        <v>45</v>
      </c>
      <c r="C18" s="9">
        <f>Historical_Data!C11</f>
        <v>0.23</v>
      </c>
      <c r="D18" s="9">
        <f>Historical_Data!G11</f>
        <v>1.0900000000000001</v>
      </c>
      <c r="E18" s="9">
        <f t="shared" si="2"/>
        <v>0.8600000000000001</v>
      </c>
      <c r="F18" s="1"/>
      <c r="G18" s="1"/>
      <c r="H18" s="1"/>
      <c r="I18" s="1"/>
      <c r="J18" s="1"/>
    </row>
    <row r="19" spans="1:10" x14ac:dyDescent="0.2">
      <c r="A19" s="1" t="s">
        <v>35</v>
      </c>
      <c r="B19" s="1" t="s">
        <v>46</v>
      </c>
      <c r="C19" s="9">
        <f>Historical_Data!C12</f>
        <v>6.71</v>
      </c>
      <c r="D19" s="9">
        <f>Historical_Data!G12</f>
        <v>21.28</v>
      </c>
      <c r="E19" s="9">
        <f t="shared" si="2"/>
        <v>14.57</v>
      </c>
      <c r="F19" s="1"/>
      <c r="G19" s="1"/>
      <c r="H19" s="1"/>
      <c r="I19" s="1"/>
      <c r="J19" s="1"/>
    </row>
    <row r="20" spans="1:10" x14ac:dyDescent="0.2">
      <c r="A20" s="1" t="s">
        <v>49</v>
      </c>
      <c r="B20" s="1" t="s">
        <v>42</v>
      </c>
      <c r="C20" s="9">
        <f>Historical_Data!C20</f>
        <v>3.7</v>
      </c>
      <c r="D20" s="9">
        <f>Historical_Data!G20</f>
        <v>1.28</v>
      </c>
      <c r="E20" s="9">
        <f t="shared" si="2"/>
        <v>-2.42</v>
      </c>
      <c r="F20" s="1"/>
      <c r="G20" s="1"/>
      <c r="H20" s="1"/>
      <c r="I20" s="1"/>
      <c r="J20" s="1"/>
    </row>
    <row r="21" spans="1:10" x14ac:dyDescent="0.2">
      <c r="A21" s="1" t="s">
        <v>49</v>
      </c>
      <c r="B21" s="1" t="s">
        <v>44</v>
      </c>
      <c r="C21" s="9">
        <f>Historical_Data!C21</f>
        <v>1.05</v>
      </c>
      <c r="D21" s="9">
        <f>Historical_Data!G21</f>
        <v>0.33</v>
      </c>
      <c r="E21" s="9">
        <f t="shared" si="2"/>
        <v>-0.72</v>
      </c>
      <c r="F21" s="1"/>
      <c r="G21" s="1"/>
      <c r="H21" s="1"/>
      <c r="I21" s="1"/>
      <c r="J21" s="1"/>
    </row>
    <row r="22" spans="1:10" x14ac:dyDescent="0.2">
      <c r="A22" s="1" t="s">
        <v>49</v>
      </c>
      <c r="B22" s="1" t="s">
        <v>45</v>
      </c>
      <c r="C22" s="9">
        <f>Historical_Data!C22</f>
        <v>0.7</v>
      </c>
      <c r="D22" s="9">
        <f>Historical_Data!G22</f>
        <v>1.74</v>
      </c>
      <c r="E22" s="9">
        <f t="shared" si="2"/>
        <v>1.04</v>
      </c>
      <c r="F22" s="1"/>
      <c r="G22" s="1"/>
      <c r="H22" s="1"/>
      <c r="I22" s="1"/>
      <c r="J22" s="1"/>
    </row>
    <row r="23" spans="1:10" x14ac:dyDescent="0.2">
      <c r="A23" s="1" t="s">
        <v>49</v>
      </c>
      <c r="B23" s="1" t="s">
        <v>46</v>
      </c>
      <c r="C23" s="9">
        <f>Historical_Data!C23</f>
        <v>7.55</v>
      </c>
      <c r="D23" s="9">
        <f>Historical_Data!G23</f>
        <v>16.52</v>
      </c>
      <c r="E23" s="9">
        <f t="shared" si="2"/>
        <v>8.9699999999999989</v>
      </c>
      <c r="F23" s="1"/>
      <c r="G23" s="1"/>
      <c r="H23" s="1"/>
      <c r="I23" s="1"/>
      <c r="J23" s="1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showGridLines="0" workbookViewId="0">
      <pane xSplit="2" ySplit="3" topLeftCell="C4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18" customWidth="1"/>
    <col min="2" max="2" width="20" customWidth="1"/>
    <col min="3" max="7" width="15" customWidth="1"/>
    <col min="8" max="8" width="55" customWidth="1"/>
  </cols>
  <sheetData>
    <row r="1" spans="1:8" ht="21" x14ac:dyDescent="0.2">
      <c r="A1" s="14" t="s">
        <v>57</v>
      </c>
      <c r="B1" s="13"/>
      <c r="C1" s="13"/>
      <c r="D1" s="13"/>
      <c r="E1" s="13"/>
      <c r="F1" s="13"/>
      <c r="G1" s="13"/>
      <c r="H1" s="13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5" t="s">
        <v>27</v>
      </c>
      <c r="B3" s="5" t="s">
        <v>58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  <c r="H3" s="5" t="s">
        <v>59</v>
      </c>
    </row>
    <row r="4" spans="1:8" x14ac:dyDescent="0.2">
      <c r="A4" s="1" t="s">
        <v>35</v>
      </c>
      <c r="B4" s="1" t="s">
        <v>42</v>
      </c>
      <c r="C4" s="8">
        <f>Historical_Data!C9</f>
        <v>8.93</v>
      </c>
      <c r="D4" s="8">
        <f>Historical_Data!D9</f>
        <v>7.51</v>
      </c>
      <c r="E4" s="8">
        <f>Historical_Data!E9</f>
        <v>5.35</v>
      </c>
      <c r="F4" s="8">
        <f>Historical_Data!F9</f>
        <v>4.2300000000000004</v>
      </c>
      <c r="G4" s="8">
        <f>Historical_Data!G9</f>
        <v>2.94</v>
      </c>
      <c r="H4" s="1" t="s">
        <v>60</v>
      </c>
    </row>
    <row r="5" spans="1:8" x14ac:dyDescent="0.2">
      <c r="A5" s="1" t="s">
        <v>35</v>
      </c>
      <c r="B5" s="1" t="s">
        <v>44</v>
      </c>
      <c r="C5" s="8">
        <f>Historical_Data!C10</f>
        <v>3.82</v>
      </c>
      <c r="D5" s="8">
        <f>Historical_Data!D10</f>
        <v>2.65</v>
      </c>
      <c r="E5" s="8">
        <f>Historical_Data!E10</f>
        <v>1.73</v>
      </c>
      <c r="F5" s="8">
        <f>Historical_Data!F10</f>
        <v>1.27</v>
      </c>
      <c r="G5" s="8">
        <f>Historical_Data!G10</f>
        <v>0.7</v>
      </c>
      <c r="H5" s="1" t="s">
        <v>61</v>
      </c>
    </row>
    <row r="6" spans="1:8" x14ac:dyDescent="0.2">
      <c r="A6" s="1" t="s">
        <v>35</v>
      </c>
      <c r="B6" s="1" t="s">
        <v>48</v>
      </c>
      <c r="C6" s="8">
        <f>Historical_Data!C14</f>
        <v>2.75</v>
      </c>
      <c r="D6" s="8">
        <f>Historical_Data!D14</f>
        <v>2.95</v>
      </c>
      <c r="E6" s="8">
        <f>Historical_Data!E14</f>
        <v>3.02</v>
      </c>
      <c r="F6" s="8">
        <f>Historical_Data!F14</f>
        <v>3.05</v>
      </c>
      <c r="G6" s="8">
        <f>Historical_Data!G14</f>
        <v>2.8</v>
      </c>
      <c r="H6" s="1" t="s">
        <v>62</v>
      </c>
    </row>
    <row r="7" spans="1:8" x14ac:dyDescent="0.2">
      <c r="A7" s="1" t="s">
        <v>35</v>
      </c>
      <c r="B7" s="1" t="s">
        <v>45</v>
      </c>
      <c r="C7" s="8">
        <f>Historical_Data!C11</f>
        <v>0.23</v>
      </c>
      <c r="D7" s="8">
        <f>Historical_Data!D11</f>
        <v>0.48</v>
      </c>
      <c r="E7" s="8">
        <f>Historical_Data!E11</f>
        <v>0.81</v>
      </c>
      <c r="F7" s="8">
        <f>Historical_Data!F11</f>
        <v>1.01</v>
      </c>
      <c r="G7" s="8">
        <f>Historical_Data!G11</f>
        <v>1.0900000000000001</v>
      </c>
      <c r="H7" s="1" t="s">
        <v>63</v>
      </c>
    </row>
    <row r="8" spans="1:8" x14ac:dyDescent="0.2">
      <c r="A8" s="1" t="s">
        <v>35</v>
      </c>
      <c r="B8" s="1" t="s">
        <v>46</v>
      </c>
      <c r="C8" s="8">
        <f>Historical_Data!C12</f>
        <v>6.71</v>
      </c>
      <c r="D8" s="8">
        <f>Historical_Data!D12</f>
        <v>12.82</v>
      </c>
      <c r="E8" s="8">
        <f>Historical_Data!E12</f>
        <v>19.489999999999998</v>
      </c>
      <c r="F8" s="8">
        <f>Historical_Data!F12</f>
        <v>22.06</v>
      </c>
      <c r="G8" s="8">
        <f>Historical_Data!G12</f>
        <v>21.28</v>
      </c>
      <c r="H8" s="1" t="s">
        <v>64</v>
      </c>
    </row>
    <row r="9" spans="1:8" x14ac:dyDescent="0.2">
      <c r="A9" s="1" t="s">
        <v>49</v>
      </c>
      <c r="B9" s="1" t="s">
        <v>42</v>
      </c>
      <c r="C9" s="8">
        <f>Historical_Data!C20</f>
        <v>3.7</v>
      </c>
      <c r="D9" s="8">
        <f>Historical_Data!D20</f>
        <v>2.82</v>
      </c>
      <c r="E9" s="8">
        <f>Historical_Data!E20</f>
        <v>2.02</v>
      </c>
      <c r="F9" s="8">
        <f>Historical_Data!F20</f>
        <v>1.43</v>
      </c>
      <c r="G9" s="8">
        <f>Historical_Data!G20</f>
        <v>1.28</v>
      </c>
      <c r="H9" s="1" t="s">
        <v>60</v>
      </c>
    </row>
    <row r="10" spans="1:8" x14ac:dyDescent="0.2">
      <c r="A10" s="1" t="s">
        <v>49</v>
      </c>
      <c r="B10" s="1" t="s">
        <v>44</v>
      </c>
      <c r="C10" s="8">
        <f>Historical_Data!C21</f>
        <v>1.05</v>
      </c>
      <c r="D10" s="8">
        <f>Historical_Data!D21</f>
        <v>0.73</v>
      </c>
      <c r="E10" s="8">
        <f>Historical_Data!E21</f>
        <v>0.39</v>
      </c>
      <c r="F10" s="8">
        <f>Historical_Data!F21</f>
        <v>0.31</v>
      </c>
      <c r="G10" s="8">
        <f>Historical_Data!G21</f>
        <v>0.33</v>
      </c>
      <c r="H10" s="1" t="s">
        <v>61</v>
      </c>
    </row>
    <row r="11" spans="1:8" x14ac:dyDescent="0.2">
      <c r="A11" s="1" t="s">
        <v>49</v>
      </c>
      <c r="B11" s="1" t="s">
        <v>48</v>
      </c>
      <c r="C11" s="8">
        <f>Historical_Data!C25</f>
        <v>3.56</v>
      </c>
      <c r="D11" s="8">
        <f>Historical_Data!D25</f>
        <v>3.54</v>
      </c>
      <c r="E11" s="8">
        <f>Historical_Data!E25</f>
        <v>4.22</v>
      </c>
      <c r="F11" s="8">
        <f>Historical_Data!F25</f>
        <v>4.07</v>
      </c>
      <c r="G11" s="8">
        <f>Historical_Data!G25</f>
        <v>3.98</v>
      </c>
      <c r="H11" s="1" t="s">
        <v>62</v>
      </c>
    </row>
    <row r="12" spans="1:8" x14ac:dyDescent="0.2">
      <c r="A12" s="1" t="s">
        <v>49</v>
      </c>
      <c r="B12" s="1" t="s">
        <v>45</v>
      </c>
      <c r="C12" s="8">
        <f>Historical_Data!C22</f>
        <v>0.7</v>
      </c>
      <c r="D12" s="8">
        <f>Historical_Data!D22</f>
        <v>1.21</v>
      </c>
      <c r="E12" s="8">
        <f>Historical_Data!E22</f>
        <v>1.82</v>
      </c>
      <c r="F12" s="8">
        <f>Historical_Data!F22</f>
        <v>1.83</v>
      </c>
      <c r="G12" s="8">
        <f>Historical_Data!G22</f>
        <v>1.74</v>
      </c>
      <c r="H12" s="1" t="s">
        <v>63</v>
      </c>
    </row>
    <row r="13" spans="1:8" x14ac:dyDescent="0.2">
      <c r="A13" s="1" t="s">
        <v>49</v>
      </c>
      <c r="B13" s="1" t="s">
        <v>46</v>
      </c>
      <c r="C13" s="8">
        <f>Historical_Data!C23</f>
        <v>7.55</v>
      </c>
      <c r="D13" s="8">
        <f>Historical_Data!D23</f>
        <v>12.91</v>
      </c>
      <c r="E13" s="8">
        <f>Historical_Data!E23</f>
        <v>18.38</v>
      </c>
      <c r="F13" s="8">
        <f>Historical_Data!F23</f>
        <v>18.86</v>
      </c>
      <c r="G13" s="8">
        <f>Historical_Data!G23</f>
        <v>16.52</v>
      </c>
      <c r="H13" s="1" t="s">
        <v>64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8"/>
  <sheetViews>
    <sheetView showGridLines="0" zoomScale="99" workbookViewId="0">
      <selection sqref="A1:L1"/>
    </sheetView>
  </sheetViews>
  <sheetFormatPr baseColWidth="10" defaultColWidth="8.83203125" defaultRowHeight="15" x14ac:dyDescent="0.2"/>
  <cols>
    <col min="1" max="12" width="15" customWidth="1"/>
  </cols>
  <sheetData>
    <row r="1" spans="1:12" ht="21" x14ac:dyDescent="0.2">
      <c r="A1" s="14" t="s">
        <v>65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7" x14ac:dyDescent="0.2">
      <c r="A3" s="10" t="s">
        <v>66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5" t="s">
        <v>67</v>
      </c>
      <c r="B4" s="13"/>
      <c r="C4" s="1"/>
      <c r="D4" s="15" t="s">
        <v>68</v>
      </c>
      <c r="E4" s="13"/>
      <c r="F4" s="1"/>
      <c r="G4" s="15" t="s">
        <v>69</v>
      </c>
      <c r="H4" s="13"/>
      <c r="I4" s="1"/>
      <c r="J4" s="15" t="s">
        <v>70</v>
      </c>
      <c r="K4" s="13"/>
      <c r="L4" s="1"/>
    </row>
    <row r="5" spans="1:12" ht="19" x14ac:dyDescent="0.2">
      <c r="A5" s="17">
        <f>Historical_Data!G4</f>
        <v>37072</v>
      </c>
      <c r="B5" s="13"/>
      <c r="C5" s="1"/>
      <c r="D5" s="17">
        <f>Historical_Data!G15</f>
        <v>54348</v>
      </c>
      <c r="E5" s="13"/>
      <c r="F5" s="1"/>
      <c r="G5" s="17">
        <f>Historical_Data!G5</f>
        <v>17027</v>
      </c>
      <c r="H5" s="13"/>
      <c r="I5" s="1"/>
      <c r="J5" s="17">
        <f>Historical_Data!G16</f>
        <v>26373</v>
      </c>
      <c r="K5" s="13"/>
      <c r="L5" s="1"/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5" t="s">
        <v>71</v>
      </c>
      <c r="B7" s="13"/>
      <c r="C7" s="1"/>
      <c r="D7" s="15" t="s">
        <v>72</v>
      </c>
      <c r="E7" s="13"/>
      <c r="F7" s="1"/>
      <c r="G7" s="15" t="s">
        <v>73</v>
      </c>
      <c r="H7" s="13"/>
      <c r="I7" s="1"/>
      <c r="J7" s="15" t="s">
        <v>74</v>
      </c>
      <c r="K7" s="13"/>
      <c r="L7" s="1"/>
    </row>
    <row r="8" spans="1:12" ht="19" x14ac:dyDescent="0.2">
      <c r="A8" s="16">
        <f>Historical_Data!G11</f>
        <v>1.0900000000000001</v>
      </c>
      <c r="B8" s="13"/>
      <c r="C8" s="1"/>
      <c r="D8" s="16">
        <f>Historical_Data!G20</f>
        <v>1.28</v>
      </c>
      <c r="E8" s="13"/>
      <c r="F8" s="1"/>
      <c r="G8" s="16">
        <f>Historical_Data!G9</f>
        <v>2.94</v>
      </c>
      <c r="H8" s="13"/>
      <c r="I8" s="1"/>
      <c r="J8" s="16">
        <f>Historical_Data!G21</f>
        <v>0.33</v>
      </c>
      <c r="K8" s="13"/>
      <c r="L8" s="1"/>
    </row>
    <row r="9" spans="1:12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">
      <c r="A11" s="1" t="s">
        <v>75</v>
      </c>
      <c r="B11" s="1" t="s">
        <v>29</v>
      </c>
      <c r="C11" s="1" t="s">
        <v>30</v>
      </c>
      <c r="D11" s="1" t="s">
        <v>31</v>
      </c>
      <c r="E11" s="1" t="s">
        <v>32</v>
      </c>
      <c r="F11" s="1" t="s">
        <v>33</v>
      </c>
      <c r="G11" s="1"/>
      <c r="H11" s="1"/>
      <c r="I11" s="1"/>
      <c r="J11" s="1"/>
      <c r="K11" s="1"/>
      <c r="L11" s="1"/>
    </row>
    <row r="12" spans="1:12" x14ac:dyDescent="0.2">
      <c r="A12" s="1" t="s">
        <v>35</v>
      </c>
      <c r="B12" s="1">
        <f>Historical_Data!C5</f>
        <v>2558</v>
      </c>
      <c r="C12" s="1">
        <f>Historical_Data!D5</f>
        <v>5678</v>
      </c>
      <c r="D12" s="1">
        <f>Historical_Data!E5</f>
        <v>10604</v>
      </c>
      <c r="E12" s="1">
        <f>Historical_Data!F5</f>
        <v>14554</v>
      </c>
      <c r="F12" s="1">
        <f>Historical_Data!G5</f>
        <v>17027</v>
      </c>
      <c r="G12" s="1"/>
      <c r="H12" s="1"/>
      <c r="I12" s="1"/>
      <c r="J12" s="1"/>
      <c r="K12" s="1"/>
      <c r="L12" s="1"/>
    </row>
    <row r="13" spans="1:12" x14ac:dyDescent="0.2">
      <c r="A13" s="1" t="s">
        <v>49</v>
      </c>
      <c r="B13" s="1">
        <f>Historical_Data!C16</f>
        <v>6589</v>
      </c>
      <c r="C13" s="1">
        <f>Historical_Data!D16</f>
        <v>13025</v>
      </c>
      <c r="D13" s="1">
        <f>Historical_Data!E16</f>
        <v>21933</v>
      </c>
      <c r="E13" s="1">
        <f>Historical_Data!F16</f>
        <v>24861</v>
      </c>
      <c r="F13" s="1">
        <f>Historical_Data!G16</f>
        <v>26373</v>
      </c>
      <c r="G13" s="1"/>
      <c r="H13" s="1"/>
      <c r="I13" s="1"/>
      <c r="J13" s="1"/>
      <c r="K13" s="1"/>
      <c r="L13" s="1"/>
    </row>
    <row r="14" spans="1:12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">
      <c r="A26" s="1" t="s">
        <v>75</v>
      </c>
      <c r="B26" s="1" t="s">
        <v>29</v>
      </c>
      <c r="C26" s="1" t="s">
        <v>30</v>
      </c>
      <c r="D26" s="1" t="s">
        <v>31</v>
      </c>
      <c r="E26" s="1" t="s">
        <v>32</v>
      </c>
      <c r="F26" s="1" t="s">
        <v>33</v>
      </c>
      <c r="G26" s="1"/>
      <c r="H26" s="1"/>
      <c r="I26" s="1"/>
      <c r="J26" s="1"/>
      <c r="K26" s="1"/>
      <c r="L26" s="1"/>
    </row>
    <row r="27" spans="1:12" x14ac:dyDescent="0.2">
      <c r="A27" s="1" t="s">
        <v>35</v>
      </c>
      <c r="B27" s="1">
        <f>Historical_Data!C9</f>
        <v>8.93</v>
      </c>
      <c r="C27" s="1">
        <f>Historical_Data!D9</f>
        <v>7.51</v>
      </c>
      <c r="D27" s="1">
        <f>Historical_Data!E9</f>
        <v>5.35</v>
      </c>
      <c r="E27" s="1">
        <f>Historical_Data!F9</f>
        <v>4.2300000000000004</v>
      </c>
      <c r="F27" s="1">
        <f>Historical_Data!G9</f>
        <v>2.94</v>
      </c>
      <c r="G27" s="1"/>
      <c r="H27" s="1"/>
      <c r="I27" s="1"/>
      <c r="J27" s="1"/>
      <c r="K27" s="1"/>
      <c r="L27" s="1"/>
    </row>
    <row r="28" spans="1:12" x14ac:dyDescent="0.2">
      <c r="A28" s="1" t="s">
        <v>49</v>
      </c>
      <c r="B28" s="1">
        <f>Historical_Data!C21</f>
        <v>1.05</v>
      </c>
      <c r="C28" s="1">
        <f>Historical_Data!D21</f>
        <v>0.73</v>
      </c>
      <c r="D28" s="1">
        <f>Historical_Data!E21</f>
        <v>0.39</v>
      </c>
      <c r="E28" s="1">
        <f>Historical_Data!F21</f>
        <v>0.31</v>
      </c>
      <c r="F28" s="1">
        <f>Historical_Data!G21</f>
        <v>0.33</v>
      </c>
      <c r="G28" s="1"/>
      <c r="H28" s="1"/>
      <c r="I28" s="1"/>
      <c r="J28" s="1"/>
      <c r="K28" s="1"/>
      <c r="L28" s="1"/>
    </row>
  </sheetData>
  <mergeCells count="17">
    <mergeCell ref="A1:L1"/>
    <mergeCell ref="D5:E5"/>
    <mergeCell ref="A5:B5"/>
    <mergeCell ref="G5:H5"/>
    <mergeCell ref="J7:K7"/>
    <mergeCell ref="D4:E4"/>
    <mergeCell ref="A4:B4"/>
    <mergeCell ref="G4:H4"/>
    <mergeCell ref="D8:E8"/>
    <mergeCell ref="J4:K4"/>
    <mergeCell ref="D7:E7"/>
    <mergeCell ref="A7:B7"/>
    <mergeCell ref="J5:K5"/>
    <mergeCell ref="G7:H7"/>
    <mergeCell ref="J8:K8"/>
    <mergeCell ref="G8:H8"/>
    <mergeCell ref="A8:B8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showGridLines="0" zoomScale="138" workbookViewId="0">
      <selection sqref="A1:H1"/>
    </sheetView>
  </sheetViews>
  <sheetFormatPr baseColWidth="10" defaultColWidth="8.83203125" defaultRowHeight="15" x14ac:dyDescent="0.2"/>
  <cols>
    <col min="1" max="2" width="18" customWidth="1"/>
    <col min="3" max="3" width="28" customWidth="1"/>
    <col min="4" max="4" width="32" customWidth="1"/>
    <col min="5" max="5" width="42" customWidth="1"/>
    <col min="6" max="6" width="18" customWidth="1"/>
    <col min="7" max="7" width="22" customWidth="1"/>
    <col min="8" max="8" width="55" customWidth="1"/>
  </cols>
  <sheetData>
    <row r="1" spans="1:8" ht="21" x14ac:dyDescent="0.2">
      <c r="A1" s="14" t="s">
        <v>76</v>
      </c>
      <c r="B1" s="13"/>
      <c r="C1" s="13"/>
      <c r="D1" s="13"/>
      <c r="E1" s="13"/>
      <c r="F1" s="13"/>
      <c r="G1" s="13"/>
      <c r="H1" s="13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5" t="s">
        <v>27</v>
      </c>
      <c r="B3" s="5" t="s">
        <v>77</v>
      </c>
      <c r="C3" s="5" t="s">
        <v>78</v>
      </c>
      <c r="D3" s="5" t="s">
        <v>79</v>
      </c>
      <c r="E3" s="5" t="s">
        <v>80</v>
      </c>
      <c r="F3" s="5" t="s">
        <v>34</v>
      </c>
      <c r="G3" s="5" t="s">
        <v>81</v>
      </c>
      <c r="H3" s="5" t="s">
        <v>82</v>
      </c>
    </row>
    <row r="4" spans="1:8" ht="16" x14ac:dyDescent="0.2">
      <c r="A4" s="3" t="s">
        <v>35</v>
      </c>
      <c r="B4" s="3" t="s">
        <v>83</v>
      </c>
      <c r="C4" s="3" t="s">
        <v>84</v>
      </c>
      <c r="D4" s="3" t="s">
        <v>85</v>
      </c>
      <c r="E4" s="3" t="s">
        <v>86</v>
      </c>
      <c r="F4" s="3" t="s">
        <v>87</v>
      </c>
      <c r="G4" s="3" t="s">
        <v>88</v>
      </c>
      <c r="H4" s="3" t="s">
        <v>89</v>
      </c>
    </row>
    <row r="5" spans="1:8" ht="32" x14ac:dyDescent="0.2">
      <c r="A5" s="3" t="s">
        <v>35</v>
      </c>
      <c r="B5" s="3" t="s">
        <v>90</v>
      </c>
      <c r="C5" s="3" t="s">
        <v>91</v>
      </c>
      <c r="D5" s="3" t="s">
        <v>92</v>
      </c>
      <c r="E5" s="3" t="s">
        <v>93</v>
      </c>
      <c r="F5" s="3" t="s">
        <v>87</v>
      </c>
      <c r="G5" s="3" t="s">
        <v>94</v>
      </c>
      <c r="H5" s="3" t="s">
        <v>95</v>
      </c>
    </row>
    <row r="6" spans="1:8" ht="32" x14ac:dyDescent="0.2">
      <c r="A6" s="3" t="s">
        <v>49</v>
      </c>
      <c r="B6" s="3" t="s">
        <v>83</v>
      </c>
      <c r="C6" s="3" t="s">
        <v>96</v>
      </c>
      <c r="D6" s="3" t="s">
        <v>97</v>
      </c>
      <c r="E6" s="3" t="s">
        <v>98</v>
      </c>
      <c r="F6" s="3" t="s">
        <v>43</v>
      </c>
      <c r="G6" s="3" t="s">
        <v>88</v>
      </c>
      <c r="H6" s="3" t="s">
        <v>99</v>
      </c>
    </row>
    <row r="7" spans="1:8" ht="16" x14ac:dyDescent="0.2">
      <c r="A7" s="3" t="s">
        <v>49</v>
      </c>
      <c r="B7" s="3" t="s">
        <v>83</v>
      </c>
      <c r="C7" s="3" t="s">
        <v>48</v>
      </c>
      <c r="D7" s="3" t="s">
        <v>100</v>
      </c>
      <c r="E7" s="3" t="s">
        <v>101</v>
      </c>
      <c r="F7" s="3" t="s">
        <v>43</v>
      </c>
      <c r="G7" s="3" t="s">
        <v>88</v>
      </c>
      <c r="H7" s="3" t="s">
        <v>102</v>
      </c>
    </row>
    <row r="8" spans="1:8" ht="32" x14ac:dyDescent="0.2">
      <c r="A8" s="3" t="s">
        <v>49</v>
      </c>
      <c r="B8" s="3" t="s">
        <v>90</v>
      </c>
      <c r="C8" s="3" t="s">
        <v>103</v>
      </c>
      <c r="D8" s="3" t="s">
        <v>104</v>
      </c>
      <c r="E8" s="3" t="s">
        <v>105</v>
      </c>
      <c r="F8" s="3" t="s">
        <v>37</v>
      </c>
      <c r="G8" s="3" t="s">
        <v>94</v>
      </c>
      <c r="H8" s="3" t="s">
        <v>106</v>
      </c>
    </row>
    <row r="9" spans="1:8" x14ac:dyDescent="0.2">
      <c r="A9" s="3"/>
      <c r="B9" s="3"/>
      <c r="C9" s="3"/>
      <c r="D9" s="3"/>
      <c r="E9" s="3"/>
      <c r="F9" s="3"/>
      <c r="G9" s="3"/>
      <c r="H9" s="3"/>
    </row>
    <row r="10" spans="1:8" x14ac:dyDescent="0.2">
      <c r="A10" s="3"/>
      <c r="B10" s="3"/>
      <c r="C10" s="3"/>
      <c r="D10" s="3"/>
      <c r="E10" s="3"/>
      <c r="F10" s="3"/>
      <c r="G10" s="3"/>
      <c r="H10" s="3"/>
    </row>
    <row r="11" spans="1:8" ht="16" x14ac:dyDescent="0.2">
      <c r="A11" s="11" t="s">
        <v>107</v>
      </c>
      <c r="B11" s="3"/>
      <c r="C11" s="3"/>
      <c r="D11" s="3"/>
      <c r="E11" s="3"/>
      <c r="F11" s="3"/>
      <c r="G11" s="3"/>
      <c r="H11" s="3"/>
    </row>
    <row r="12" spans="1:8" ht="112" x14ac:dyDescent="0.2">
      <c r="A12" s="3" t="s">
        <v>108</v>
      </c>
      <c r="B12" s="3" t="s">
        <v>109</v>
      </c>
      <c r="C12" s="3"/>
      <c r="D12" s="3"/>
      <c r="E12" s="3"/>
      <c r="F12" s="3"/>
      <c r="G12" s="3"/>
      <c r="H12" s="3"/>
    </row>
    <row r="13" spans="1:8" ht="80" x14ac:dyDescent="0.2">
      <c r="A13" s="3" t="s">
        <v>110</v>
      </c>
      <c r="B13" s="3" t="s">
        <v>111</v>
      </c>
      <c r="C13" s="3"/>
      <c r="D13" s="3"/>
      <c r="E13" s="3"/>
      <c r="F13" s="3"/>
      <c r="G13" s="3"/>
      <c r="H13" s="3"/>
    </row>
    <row r="14" spans="1:8" ht="80" x14ac:dyDescent="0.2">
      <c r="A14" s="3" t="s">
        <v>112</v>
      </c>
      <c r="B14" s="3" t="s">
        <v>113</v>
      </c>
      <c r="C14" s="3"/>
      <c r="D14" s="3"/>
      <c r="E14" s="3"/>
      <c r="F14" s="3"/>
      <c r="G14" s="3"/>
      <c r="H14" s="3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showGridLines="0" workbookViewId="0">
      <selection sqref="A1:H1"/>
    </sheetView>
  </sheetViews>
  <sheetFormatPr baseColWidth="10" defaultColWidth="8.83203125" defaultRowHeight="15" x14ac:dyDescent="0.2"/>
  <cols>
    <col min="1" max="1" width="22" customWidth="1"/>
    <col min="2" max="2" width="28" customWidth="1"/>
    <col min="3" max="8" width="18" customWidth="1"/>
  </cols>
  <sheetData>
    <row r="1" spans="1:8" ht="21" x14ac:dyDescent="0.2">
      <c r="A1" s="14" t="s">
        <v>114</v>
      </c>
      <c r="B1" s="13"/>
      <c r="C1" s="13"/>
      <c r="D1" s="13"/>
      <c r="E1" s="13"/>
      <c r="F1" s="13"/>
      <c r="G1" s="13"/>
      <c r="H1" s="13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12" t="s">
        <v>115</v>
      </c>
      <c r="B3" s="13"/>
      <c r="C3" s="13"/>
      <c r="D3" s="13"/>
      <c r="E3" s="13"/>
      <c r="F3" s="13"/>
      <c r="G3" s="13"/>
      <c r="H3" s="13"/>
    </row>
    <row r="4" spans="1:8" x14ac:dyDescent="0.2">
      <c r="A4" s="1"/>
      <c r="B4" s="1"/>
      <c r="C4" s="1"/>
      <c r="D4" s="1"/>
      <c r="E4" s="1"/>
      <c r="F4" s="1"/>
      <c r="G4" s="1"/>
      <c r="H4" s="1"/>
    </row>
    <row r="5" spans="1:8" x14ac:dyDescent="0.2">
      <c r="A5" s="2" t="s">
        <v>116</v>
      </c>
      <c r="B5" s="12" t="s">
        <v>117</v>
      </c>
      <c r="C5" s="13"/>
      <c r="D5" s="13"/>
      <c r="E5" s="13"/>
      <c r="F5" s="13"/>
      <c r="G5" s="13"/>
      <c r="H5" s="13"/>
    </row>
    <row r="6" spans="1:8" x14ac:dyDescent="0.2">
      <c r="A6" s="2" t="s">
        <v>118</v>
      </c>
      <c r="B6" s="12" t="s">
        <v>119</v>
      </c>
      <c r="C6" s="13"/>
      <c r="D6" s="13"/>
      <c r="E6" s="13"/>
      <c r="F6" s="13"/>
      <c r="G6" s="13"/>
      <c r="H6" s="13"/>
    </row>
    <row r="7" spans="1:8" x14ac:dyDescent="0.2">
      <c r="A7" s="2" t="s">
        <v>120</v>
      </c>
      <c r="B7" s="12" t="s">
        <v>121</v>
      </c>
      <c r="C7" s="13"/>
      <c r="D7" s="13"/>
      <c r="E7" s="13"/>
      <c r="F7" s="13"/>
      <c r="G7" s="13"/>
      <c r="H7" s="13"/>
    </row>
    <row r="8" spans="1:8" x14ac:dyDescent="0.2">
      <c r="A8" s="2" t="s">
        <v>122</v>
      </c>
      <c r="B8" s="12" t="s">
        <v>123</v>
      </c>
      <c r="C8" s="13"/>
      <c r="D8" s="13"/>
      <c r="E8" s="13"/>
      <c r="F8" s="13"/>
      <c r="G8" s="13"/>
      <c r="H8" s="13"/>
    </row>
    <row r="9" spans="1:8" x14ac:dyDescent="0.2">
      <c r="A9" s="2" t="s">
        <v>124</v>
      </c>
      <c r="B9" s="12" t="s">
        <v>125</v>
      </c>
      <c r="C9" s="13"/>
      <c r="D9" s="13"/>
      <c r="E9" s="13"/>
      <c r="F9" s="13"/>
      <c r="G9" s="13"/>
      <c r="H9" s="13"/>
    </row>
  </sheetData>
  <mergeCells count="7">
    <mergeCell ref="A1:H1"/>
    <mergeCell ref="B5:H5"/>
    <mergeCell ref="B8:H8"/>
    <mergeCell ref="A3:H3"/>
    <mergeCell ref="B9:H9"/>
    <mergeCell ref="B6:H6"/>
    <mergeCell ref="B7:H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"/>
  <sheetViews>
    <sheetView showGridLines="0" workbookViewId="0">
      <selection sqref="A1:H1"/>
    </sheetView>
  </sheetViews>
  <sheetFormatPr baseColWidth="10" defaultColWidth="8.83203125" defaultRowHeight="15" x14ac:dyDescent="0.2"/>
  <cols>
    <col min="1" max="1" width="20" customWidth="1"/>
    <col min="2" max="2" width="28" customWidth="1"/>
    <col min="3" max="8" width="18" customWidth="1"/>
  </cols>
  <sheetData>
    <row r="1" spans="1:8" ht="21" x14ac:dyDescent="0.2">
      <c r="A1" s="14" t="s">
        <v>126</v>
      </c>
      <c r="B1" s="13"/>
      <c r="C1" s="13"/>
      <c r="D1" s="13"/>
      <c r="E1" s="13"/>
      <c r="F1" s="13"/>
      <c r="G1" s="13"/>
      <c r="H1" s="13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127</v>
      </c>
      <c r="B3" s="12" t="s">
        <v>128</v>
      </c>
      <c r="C3" s="13"/>
      <c r="D3" s="13"/>
      <c r="E3" s="13"/>
      <c r="F3" s="13"/>
      <c r="G3" s="13"/>
      <c r="H3" s="13"/>
    </row>
    <row r="4" spans="1:8" x14ac:dyDescent="0.2">
      <c r="A4" s="2" t="s">
        <v>1</v>
      </c>
      <c r="B4" s="12" t="s">
        <v>129</v>
      </c>
      <c r="C4" s="13"/>
      <c r="D4" s="13"/>
      <c r="E4" s="13"/>
      <c r="F4" s="13"/>
      <c r="G4" s="13"/>
      <c r="H4" s="13"/>
    </row>
    <row r="5" spans="1:8" x14ac:dyDescent="0.2">
      <c r="A5" s="2" t="s">
        <v>130</v>
      </c>
      <c r="B5" s="12" t="s">
        <v>131</v>
      </c>
      <c r="C5" s="13"/>
      <c r="D5" s="13"/>
      <c r="E5" s="13"/>
      <c r="F5" s="13"/>
      <c r="G5" s="13"/>
      <c r="H5" s="13"/>
    </row>
    <row r="6" spans="1:8" x14ac:dyDescent="0.2">
      <c r="A6" s="2" t="s">
        <v>132</v>
      </c>
      <c r="B6" s="12" t="s">
        <v>133</v>
      </c>
      <c r="C6" s="13"/>
      <c r="D6" s="13"/>
      <c r="E6" s="13"/>
      <c r="F6" s="13"/>
      <c r="G6" s="13"/>
      <c r="H6" s="13"/>
    </row>
    <row r="7" spans="1:8" x14ac:dyDescent="0.2">
      <c r="A7" s="2" t="s">
        <v>134</v>
      </c>
      <c r="B7" s="12" t="s">
        <v>135</v>
      </c>
      <c r="C7" s="13"/>
      <c r="D7" s="13"/>
      <c r="E7" s="13"/>
      <c r="F7" s="13"/>
      <c r="G7" s="13"/>
      <c r="H7" s="13"/>
    </row>
    <row r="8" spans="1:8" x14ac:dyDescent="0.2">
      <c r="A8" s="2" t="s">
        <v>136</v>
      </c>
      <c r="B8" s="12" t="s">
        <v>137</v>
      </c>
      <c r="C8" s="13"/>
      <c r="D8" s="13"/>
      <c r="E8" s="13"/>
      <c r="F8" s="13"/>
      <c r="G8" s="13"/>
      <c r="H8" s="13"/>
    </row>
    <row r="9" spans="1:8" x14ac:dyDescent="0.2">
      <c r="A9" s="2" t="s">
        <v>138</v>
      </c>
      <c r="B9" s="12" t="s">
        <v>139</v>
      </c>
      <c r="C9" s="13"/>
      <c r="D9" s="13"/>
      <c r="E9" s="13"/>
      <c r="F9" s="13"/>
      <c r="G9" s="13"/>
      <c r="H9" s="13"/>
    </row>
  </sheetData>
  <mergeCells count="8">
    <mergeCell ref="A1:H1"/>
    <mergeCell ref="B3:H3"/>
    <mergeCell ref="B5:H5"/>
    <mergeCell ref="B8:H8"/>
    <mergeCell ref="B9:H9"/>
    <mergeCell ref="B4:H4"/>
    <mergeCell ref="B6:H6"/>
    <mergeCell ref="B7:H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showGridLines="0" tabSelected="1" workbookViewId="0">
      <selection sqref="A1:H1"/>
    </sheetView>
  </sheetViews>
  <sheetFormatPr baseColWidth="10" defaultColWidth="8.83203125" defaultRowHeight="15" x14ac:dyDescent="0.2"/>
  <cols>
    <col min="1" max="1" width="10" customWidth="1"/>
    <col min="2" max="2" width="25" customWidth="1"/>
    <col min="3" max="3" width="55" customWidth="1"/>
    <col min="4" max="4" width="50" customWidth="1"/>
  </cols>
  <sheetData>
    <row r="1" spans="1:8" ht="21" x14ac:dyDescent="0.2">
      <c r="A1" s="14" t="s">
        <v>140</v>
      </c>
      <c r="B1" s="13"/>
      <c r="C1" s="13"/>
      <c r="D1" s="13"/>
      <c r="E1" s="13"/>
      <c r="F1" s="13"/>
      <c r="G1" s="13"/>
      <c r="H1" s="13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5" t="s">
        <v>141</v>
      </c>
      <c r="B3" s="5" t="s">
        <v>142</v>
      </c>
      <c r="C3" s="5" t="s">
        <v>143</v>
      </c>
      <c r="D3" s="5" t="s">
        <v>144</v>
      </c>
      <c r="E3" s="1"/>
      <c r="F3" s="1"/>
      <c r="G3" s="1"/>
      <c r="H3" s="1"/>
    </row>
    <row r="4" spans="1:8" ht="16" x14ac:dyDescent="0.2">
      <c r="A4" s="1" t="s">
        <v>145</v>
      </c>
      <c r="B4" s="1" t="s">
        <v>146</v>
      </c>
      <c r="C4" s="1" t="s">
        <v>147</v>
      </c>
      <c r="D4" s="3" t="s">
        <v>148</v>
      </c>
      <c r="E4" s="1"/>
      <c r="F4" s="1"/>
      <c r="G4" s="1"/>
      <c r="H4" s="1"/>
    </row>
    <row r="5" spans="1:8" ht="16" x14ac:dyDescent="0.2">
      <c r="A5" s="1" t="s">
        <v>149</v>
      </c>
      <c r="B5" s="1" t="s">
        <v>150</v>
      </c>
      <c r="C5" s="1" t="s">
        <v>151</v>
      </c>
      <c r="D5" s="3" t="s">
        <v>152</v>
      </c>
      <c r="E5" s="1"/>
      <c r="F5" s="1"/>
      <c r="G5" s="1"/>
      <c r="H5" s="1"/>
    </row>
    <row r="6" spans="1:8" ht="16" x14ac:dyDescent="0.2">
      <c r="A6" s="1" t="s">
        <v>153</v>
      </c>
      <c r="B6" s="1" t="s">
        <v>154</v>
      </c>
      <c r="C6" s="1" t="s">
        <v>155</v>
      </c>
      <c r="D6" s="3" t="s">
        <v>156</v>
      </c>
      <c r="E6" s="1"/>
      <c r="F6" s="1"/>
      <c r="G6" s="1"/>
      <c r="H6" s="1"/>
    </row>
    <row r="7" spans="1:8" ht="16" x14ac:dyDescent="0.2">
      <c r="A7" s="1" t="s">
        <v>157</v>
      </c>
      <c r="B7" s="1" t="s">
        <v>158</v>
      </c>
      <c r="C7" s="1" t="s">
        <v>159</v>
      </c>
      <c r="D7" s="3" t="s">
        <v>160</v>
      </c>
      <c r="E7" s="1"/>
      <c r="F7" s="1"/>
      <c r="G7" s="1"/>
      <c r="H7" s="1"/>
    </row>
    <row r="8" spans="1:8" ht="16" x14ac:dyDescent="0.2">
      <c r="A8" s="1" t="s">
        <v>161</v>
      </c>
      <c r="B8" s="1" t="s">
        <v>162</v>
      </c>
      <c r="C8" s="1" t="s">
        <v>163</v>
      </c>
      <c r="D8" s="3" t="s">
        <v>164</v>
      </c>
      <c r="E8" s="1"/>
      <c r="F8" s="1"/>
      <c r="G8" s="1"/>
      <c r="H8" s="1"/>
    </row>
    <row r="9" spans="1:8" ht="32" x14ac:dyDescent="0.2">
      <c r="A9" s="1" t="s">
        <v>165</v>
      </c>
      <c r="B9" s="1" t="s">
        <v>166</v>
      </c>
      <c r="C9" s="1" t="s">
        <v>167</v>
      </c>
      <c r="D9" s="3" t="s">
        <v>168</v>
      </c>
      <c r="E9" s="1"/>
      <c r="F9" s="1"/>
      <c r="G9" s="1"/>
      <c r="H9" s="1"/>
    </row>
    <row r="10" spans="1:8" ht="16" x14ac:dyDescent="0.2">
      <c r="A10" s="1" t="s">
        <v>169</v>
      </c>
      <c r="B10" s="1" t="s">
        <v>170</v>
      </c>
      <c r="C10" s="1" t="s">
        <v>171</v>
      </c>
      <c r="D10" s="3" t="s">
        <v>172</v>
      </c>
      <c r="E10" s="1"/>
      <c r="F10" s="1"/>
      <c r="G10" s="1"/>
      <c r="H10" s="1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Historical_Data</vt:lpstr>
      <vt:lpstr>Calculations</vt:lpstr>
      <vt:lpstr>Ratio_Analysis</vt:lpstr>
      <vt:lpstr>Dashboard</vt:lpstr>
      <vt:lpstr>Source_Log</vt:lpstr>
      <vt:lpstr>Insights</vt:lpstr>
      <vt:lpstr>Interview_Story</vt:lpstr>
      <vt:lpstr>Reverse_Engineering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Adithiya R</cp:lastModifiedBy>
  <dcterms:created xsi:type="dcterms:W3CDTF">2026-10-02T05:17:17Z</dcterms:created>
  <dcterms:modified xsi:type="dcterms:W3CDTF">2026-10-02T05:19:42Z</dcterms:modified>
</cp:coreProperties>
</file>