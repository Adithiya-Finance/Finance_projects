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dithiya/FInance_ projects_ /"/>
    </mc:Choice>
  </mc:AlternateContent>
  <xr:revisionPtr revIDLastSave="0" documentId="8_{03067E10-BD2F-8F45-991D-EFA8FF132052}" xr6:coauthVersionLast="47" xr6:coauthVersionMax="47" xr10:uidLastSave="{00000000-0000-0000-0000-000000000000}"/>
  <bookViews>
    <workbookView xWindow="760" yWindow="620" windowWidth="32840" windowHeight="20380" activeTab="2" xr2:uid="{00000000-000D-0000-FFFF-FFFF00000000}"/>
  </bookViews>
  <sheets>
    <sheet name="Raw_Data" sheetId="1" r:id="rId1"/>
    <sheet name="Analysis" sheetId="2" r:id="rId2"/>
    <sheet name="Dashboard" sheetId="3" r:id="rId3"/>
    <sheet name="Formula_Guide" sheetId="4" r:id="rId4"/>
    <sheet name="README" sheetId="5" r:id="rId5"/>
  </sheets>
  <definedNames>
    <definedName name="_xlnm._FilterDatabase" localSheetId="0" hidden="1">Raw_Data!$A$1:$J$1001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3" i="4"/>
  <c r="B2" i="4"/>
  <c r="C49" i="2"/>
  <c r="D49" i="2" s="1"/>
  <c r="E49" i="2" s="1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D38" i="2" s="1"/>
  <c r="E38" i="2" s="1"/>
  <c r="B38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19" i="2"/>
  <c r="B19" i="2"/>
  <c r="C18" i="2"/>
  <c r="B18" i="2"/>
  <c r="C17" i="2"/>
  <c r="B17" i="2"/>
  <c r="C16" i="2"/>
  <c r="B16" i="2"/>
  <c r="C15" i="2"/>
  <c r="B15" i="2"/>
  <c r="C14" i="2"/>
  <c r="B14" i="2"/>
  <c r="B6" i="2"/>
  <c r="D5" i="3" s="1"/>
  <c r="B5" i="2"/>
  <c r="A5" i="3" s="1"/>
  <c r="I1001" i="1"/>
  <c r="J1001" i="1" s="1"/>
  <c r="I1000" i="1"/>
  <c r="J1000" i="1" s="1"/>
  <c r="I999" i="1"/>
  <c r="J999" i="1" s="1"/>
  <c r="I998" i="1"/>
  <c r="J998" i="1" s="1"/>
  <c r="I997" i="1"/>
  <c r="J997" i="1" s="1"/>
  <c r="I996" i="1"/>
  <c r="J996" i="1" s="1"/>
  <c r="I995" i="1"/>
  <c r="J995" i="1" s="1"/>
  <c r="I994" i="1"/>
  <c r="J994" i="1" s="1"/>
  <c r="I993" i="1"/>
  <c r="J993" i="1" s="1"/>
  <c r="I992" i="1"/>
  <c r="J992" i="1" s="1"/>
  <c r="I991" i="1"/>
  <c r="J991" i="1" s="1"/>
  <c r="I990" i="1"/>
  <c r="J990" i="1" s="1"/>
  <c r="I989" i="1"/>
  <c r="J989" i="1" s="1"/>
  <c r="I988" i="1"/>
  <c r="J988" i="1" s="1"/>
  <c r="I987" i="1"/>
  <c r="J987" i="1" s="1"/>
  <c r="I986" i="1"/>
  <c r="J986" i="1" s="1"/>
  <c r="I985" i="1"/>
  <c r="J985" i="1" s="1"/>
  <c r="I984" i="1"/>
  <c r="J984" i="1" s="1"/>
  <c r="I983" i="1"/>
  <c r="J983" i="1" s="1"/>
  <c r="I982" i="1"/>
  <c r="J982" i="1" s="1"/>
  <c r="I981" i="1"/>
  <c r="J981" i="1" s="1"/>
  <c r="I980" i="1"/>
  <c r="J980" i="1" s="1"/>
  <c r="I979" i="1"/>
  <c r="J979" i="1" s="1"/>
  <c r="I978" i="1"/>
  <c r="J978" i="1" s="1"/>
  <c r="I977" i="1"/>
  <c r="J977" i="1" s="1"/>
  <c r="I976" i="1"/>
  <c r="J976" i="1" s="1"/>
  <c r="I975" i="1"/>
  <c r="J975" i="1" s="1"/>
  <c r="I974" i="1"/>
  <c r="J974" i="1" s="1"/>
  <c r="I973" i="1"/>
  <c r="J973" i="1" s="1"/>
  <c r="I972" i="1"/>
  <c r="J972" i="1" s="1"/>
  <c r="I971" i="1"/>
  <c r="J971" i="1" s="1"/>
  <c r="I970" i="1"/>
  <c r="J970" i="1" s="1"/>
  <c r="I969" i="1"/>
  <c r="J969" i="1" s="1"/>
  <c r="I968" i="1"/>
  <c r="J968" i="1" s="1"/>
  <c r="I967" i="1"/>
  <c r="J967" i="1" s="1"/>
  <c r="I966" i="1"/>
  <c r="J966" i="1" s="1"/>
  <c r="I965" i="1"/>
  <c r="J965" i="1" s="1"/>
  <c r="I964" i="1"/>
  <c r="J964" i="1" s="1"/>
  <c r="I963" i="1"/>
  <c r="J963" i="1" s="1"/>
  <c r="I962" i="1"/>
  <c r="J962" i="1" s="1"/>
  <c r="I961" i="1"/>
  <c r="J961" i="1" s="1"/>
  <c r="I960" i="1"/>
  <c r="J960" i="1" s="1"/>
  <c r="I959" i="1"/>
  <c r="J959" i="1" s="1"/>
  <c r="I958" i="1"/>
  <c r="J958" i="1" s="1"/>
  <c r="I957" i="1"/>
  <c r="J957" i="1" s="1"/>
  <c r="I956" i="1"/>
  <c r="J956" i="1" s="1"/>
  <c r="I955" i="1"/>
  <c r="J955" i="1" s="1"/>
  <c r="I954" i="1"/>
  <c r="J954" i="1" s="1"/>
  <c r="I953" i="1"/>
  <c r="J953" i="1" s="1"/>
  <c r="I952" i="1"/>
  <c r="J952" i="1" s="1"/>
  <c r="I951" i="1"/>
  <c r="J951" i="1" s="1"/>
  <c r="I950" i="1"/>
  <c r="J950" i="1" s="1"/>
  <c r="I949" i="1"/>
  <c r="J949" i="1" s="1"/>
  <c r="I948" i="1"/>
  <c r="J948" i="1" s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J941" i="1" s="1"/>
  <c r="I940" i="1"/>
  <c r="J940" i="1" s="1"/>
  <c r="I939" i="1"/>
  <c r="J939" i="1" s="1"/>
  <c r="I938" i="1"/>
  <c r="J938" i="1" s="1"/>
  <c r="I937" i="1"/>
  <c r="J937" i="1" s="1"/>
  <c r="I936" i="1"/>
  <c r="J936" i="1" s="1"/>
  <c r="I935" i="1"/>
  <c r="J935" i="1" s="1"/>
  <c r="I934" i="1"/>
  <c r="J934" i="1" s="1"/>
  <c r="I933" i="1"/>
  <c r="J933" i="1" s="1"/>
  <c r="I932" i="1"/>
  <c r="J932" i="1" s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J926" i="1" s="1"/>
  <c r="I925" i="1"/>
  <c r="J925" i="1" s="1"/>
  <c r="I924" i="1"/>
  <c r="J924" i="1" s="1"/>
  <c r="I923" i="1"/>
  <c r="J923" i="1" s="1"/>
  <c r="I922" i="1"/>
  <c r="J922" i="1" s="1"/>
  <c r="I921" i="1"/>
  <c r="J921" i="1" s="1"/>
  <c r="I920" i="1"/>
  <c r="J920" i="1" s="1"/>
  <c r="I919" i="1"/>
  <c r="J919" i="1" s="1"/>
  <c r="I918" i="1"/>
  <c r="J918" i="1" s="1"/>
  <c r="I917" i="1"/>
  <c r="J917" i="1" s="1"/>
  <c r="I916" i="1"/>
  <c r="J916" i="1" s="1"/>
  <c r="I915" i="1"/>
  <c r="J915" i="1" s="1"/>
  <c r="I914" i="1"/>
  <c r="J914" i="1" s="1"/>
  <c r="I913" i="1"/>
  <c r="J913" i="1" s="1"/>
  <c r="I912" i="1"/>
  <c r="J912" i="1" s="1"/>
  <c r="I911" i="1"/>
  <c r="J911" i="1" s="1"/>
  <c r="I910" i="1"/>
  <c r="J910" i="1" s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I903" i="1"/>
  <c r="J903" i="1" s="1"/>
  <c r="I902" i="1"/>
  <c r="J902" i="1" s="1"/>
  <c r="I901" i="1"/>
  <c r="J901" i="1" s="1"/>
  <c r="I900" i="1"/>
  <c r="J900" i="1" s="1"/>
  <c r="I899" i="1"/>
  <c r="J899" i="1" s="1"/>
  <c r="I898" i="1"/>
  <c r="J898" i="1" s="1"/>
  <c r="I897" i="1"/>
  <c r="J897" i="1" s="1"/>
  <c r="I896" i="1"/>
  <c r="J896" i="1" s="1"/>
  <c r="I895" i="1"/>
  <c r="J895" i="1" s="1"/>
  <c r="I894" i="1"/>
  <c r="J894" i="1" s="1"/>
  <c r="I893" i="1"/>
  <c r="J893" i="1" s="1"/>
  <c r="I892" i="1"/>
  <c r="J892" i="1" s="1"/>
  <c r="I891" i="1"/>
  <c r="J891" i="1" s="1"/>
  <c r="I890" i="1"/>
  <c r="J890" i="1" s="1"/>
  <c r="I889" i="1"/>
  <c r="J889" i="1" s="1"/>
  <c r="I888" i="1"/>
  <c r="J888" i="1" s="1"/>
  <c r="I887" i="1"/>
  <c r="J887" i="1" s="1"/>
  <c r="I886" i="1"/>
  <c r="J886" i="1" s="1"/>
  <c r="I885" i="1"/>
  <c r="J885" i="1" s="1"/>
  <c r="I884" i="1"/>
  <c r="J884" i="1" s="1"/>
  <c r="I883" i="1"/>
  <c r="J883" i="1" s="1"/>
  <c r="I882" i="1"/>
  <c r="J882" i="1" s="1"/>
  <c r="I881" i="1"/>
  <c r="J881" i="1" s="1"/>
  <c r="I880" i="1"/>
  <c r="J880" i="1" s="1"/>
  <c r="I879" i="1"/>
  <c r="J879" i="1" s="1"/>
  <c r="I878" i="1"/>
  <c r="J878" i="1" s="1"/>
  <c r="I877" i="1"/>
  <c r="J877" i="1" s="1"/>
  <c r="I876" i="1"/>
  <c r="J876" i="1" s="1"/>
  <c r="I875" i="1"/>
  <c r="J875" i="1" s="1"/>
  <c r="I874" i="1"/>
  <c r="J874" i="1" s="1"/>
  <c r="I873" i="1"/>
  <c r="J873" i="1" s="1"/>
  <c r="I872" i="1"/>
  <c r="J872" i="1" s="1"/>
  <c r="I871" i="1"/>
  <c r="J871" i="1" s="1"/>
  <c r="I870" i="1"/>
  <c r="J870" i="1" s="1"/>
  <c r="I869" i="1"/>
  <c r="J869" i="1" s="1"/>
  <c r="I868" i="1"/>
  <c r="J868" i="1" s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J861" i="1" s="1"/>
  <c r="I860" i="1"/>
  <c r="J860" i="1" s="1"/>
  <c r="I859" i="1"/>
  <c r="J859" i="1" s="1"/>
  <c r="I858" i="1"/>
  <c r="J858" i="1" s="1"/>
  <c r="I857" i="1"/>
  <c r="J857" i="1" s="1"/>
  <c r="I856" i="1"/>
  <c r="J856" i="1" s="1"/>
  <c r="I855" i="1"/>
  <c r="J855" i="1" s="1"/>
  <c r="I854" i="1"/>
  <c r="J854" i="1" s="1"/>
  <c r="I853" i="1"/>
  <c r="J853" i="1" s="1"/>
  <c r="I852" i="1"/>
  <c r="J852" i="1" s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J846" i="1" s="1"/>
  <c r="I845" i="1"/>
  <c r="J845" i="1" s="1"/>
  <c r="I844" i="1"/>
  <c r="J844" i="1" s="1"/>
  <c r="I843" i="1"/>
  <c r="J843" i="1" s="1"/>
  <c r="I842" i="1"/>
  <c r="J842" i="1" s="1"/>
  <c r="I841" i="1"/>
  <c r="J841" i="1" s="1"/>
  <c r="I840" i="1"/>
  <c r="J840" i="1" s="1"/>
  <c r="I839" i="1"/>
  <c r="J839" i="1" s="1"/>
  <c r="I838" i="1"/>
  <c r="J838" i="1" s="1"/>
  <c r="I837" i="1"/>
  <c r="J837" i="1" s="1"/>
  <c r="I836" i="1"/>
  <c r="J836" i="1" s="1"/>
  <c r="I835" i="1"/>
  <c r="J835" i="1" s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J828" i="1" s="1"/>
  <c r="I827" i="1"/>
  <c r="J827" i="1" s="1"/>
  <c r="I826" i="1"/>
  <c r="J826" i="1" s="1"/>
  <c r="I825" i="1"/>
  <c r="J825" i="1" s="1"/>
  <c r="I824" i="1"/>
  <c r="J824" i="1" s="1"/>
  <c r="I823" i="1"/>
  <c r="J823" i="1" s="1"/>
  <c r="I822" i="1"/>
  <c r="J822" i="1" s="1"/>
  <c r="I821" i="1"/>
  <c r="J821" i="1" s="1"/>
  <c r="I820" i="1"/>
  <c r="J820" i="1" s="1"/>
  <c r="I819" i="1"/>
  <c r="J819" i="1" s="1"/>
  <c r="I818" i="1"/>
  <c r="J818" i="1" s="1"/>
  <c r="I817" i="1"/>
  <c r="J817" i="1" s="1"/>
  <c r="I816" i="1"/>
  <c r="J816" i="1" s="1"/>
  <c r="I815" i="1"/>
  <c r="J815" i="1" s="1"/>
  <c r="I814" i="1"/>
  <c r="J814" i="1" s="1"/>
  <c r="I813" i="1"/>
  <c r="J813" i="1" s="1"/>
  <c r="I812" i="1"/>
  <c r="J812" i="1" s="1"/>
  <c r="I811" i="1"/>
  <c r="J811" i="1" s="1"/>
  <c r="I810" i="1"/>
  <c r="J810" i="1" s="1"/>
  <c r="I809" i="1"/>
  <c r="J809" i="1" s="1"/>
  <c r="I808" i="1"/>
  <c r="J808" i="1" s="1"/>
  <c r="I807" i="1"/>
  <c r="J807" i="1" s="1"/>
  <c r="I806" i="1"/>
  <c r="J806" i="1" s="1"/>
  <c r="I805" i="1"/>
  <c r="J805" i="1" s="1"/>
  <c r="I804" i="1"/>
  <c r="J804" i="1" s="1"/>
  <c r="I803" i="1"/>
  <c r="J803" i="1" s="1"/>
  <c r="I802" i="1"/>
  <c r="J802" i="1" s="1"/>
  <c r="I801" i="1"/>
  <c r="J801" i="1" s="1"/>
  <c r="I800" i="1"/>
  <c r="J800" i="1" s="1"/>
  <c r="I799" i="1"/>
  <c r="J799" i="1" s="1"/>
  <c r="I798" i="1"/>
  <c r="J798" i="1" s="1"/>
  <c r="I797" i="1"/>
  <c r="J797" i="1" s="1"/>
  <c r="I796" i="1"/>
  <c r="J796" i="1" s="1"/>
  <c r="I795" i="1"/>
  <c r="J795" i="1" s="1"/>
  <c r="I794" i="1"/>
  <c r="J794" i="1" s="1"/>
  <c r="I793" i="1"/>
  <c r="J793" i="1" s="1"/>
  <c r="I792" i="1"/>
  <c r="J792" i="1" s="1"/>
  <c r="I791" i="1"/>
  <c r="J791" i="1" s="1"/>
  <c r="I790" i="1"/>
  <c r="J790" i="1" s="1"/>
  <c r="I789" i="1"/>
  <c r="J789" i="1" s="1"/>
  <c r="I788" i="1"/>
  <c r="J788" i="1" s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J781" i="1" s="1"/>
  <c r="I780" i="1"/>
  <c r="J780" i="1" s="1"/>
  <c r="I779" i="1"/>
  <c r="J779" i="1" s="1"/>
  <c r="I778" i="1"/>
  <c r="J778" i="1" s="1"/>
  <c r="I777" i="1"/>
  <c r="J777" i="1" s="1"/>
  <c r="I776" i="1"/>
  <c r="J776" i="1" s="1"/>
  <c r="I775" i="1"/>
  <c r="J775" i="1" s="1"/>
  <c r="I774" i="1"/>
  <c r="J774" i="1" s="1"/>
  <c r="I773" i="1"/>
  <c r="J773" i="1" s="1"/>
  <c r="I772" i="1"/>
  <c r="J772" i="1" s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J766" i="1" s="1"/>
  <c r="I765" i="1"/>
  <c r="J765" i="1" s="1"/>
  <c r="I764" i="1"/>
  <c r="J764" i="1" s="1"/>
  <c r="I763" i="1"/>
  <c r="J763" i="1" s="1"/>
  <c r="I762" i="1"/>
  <c r="J762" i="1" s="1"/>
  <c r="I761" i="1"/>
  <c r="J761" i="1" s="1"/>
  <c r="I760" i="1"/>
  <c r="J760" i="1" s="1"/>
  <c r="I759" i="1"/>
  <c r="J759" i="1" s="1"/>
  <c r="I758" i="1"/>
  <c r="J758" i="1" s="1"/>
  <c r="I757" i="1"/>
  <c r="J757" i="1" s="1"/>
  <c r="I756" i="1"/>
  <c r="J756" i="1" s="1"/>
  <c r="I755" i="1"/>
  <c r="J755" i="1" s="1"/>
  <c r="I754" i="1"/>
  <c r="J754" i="1" s="1"/>
  <c r="I753" i="1"/>
  <c r="J753" i="1" s="1"/>
  <c r="I752" i="1"/>
  <c r="J752" i="1" s="1"/>
  <c r="I751" i="1"/>
  <c r="J751" i="1" s="1"/>
  <c r="I750" i="1"/>
  <c r="J750" i="1" s="1"/>
  <c r="I749" i="1"/>
  <c r="J749" i="1" s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J741" i="1" s="1"/>
  <c r="I740" i="1"/>
  <c r="J740" i="1" s="1"/>
  <c r="I739" i="1"/>
  <c r="J739" i="1" s="1"/>
  <c r="I738" i="1"/>
  <c r="J738" i="1" s="1"/>
  <c r="I737" i="1"/>
  <c r="J737" i="1" s="1"/>
  <c r="I736" i="1"/>
  <c r="J736" i="1" s="1"/>
  <c r="I735" i="1"/>
  <c r="J735" i="1" s="1"/>
  <c r="I734" i="1"/>
  <c r="J734" i="1" s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I721" i="1"/>
  <c r="J721" i="1" s="1"/>
  <c r="I720" i="1"/>
  <c r="J720" i="1" s="1"/>
  <c r="I719" i="1"/>
  <c r="J719" i="1" s="1"/>
  <c r="I718" i="1"/>
  <c r="J718" i="1" s="1"/>
  <c r="I717" i="1"/>
  <c r="J717" i="1" s="1"/>
  <c r="I716" i="1"/>
  <c r="J716" i="1" s="1"/>
  <c r="I715" i="1"/>
  <c r="J715" i="1" s="1"/>
  <c r="I714" i="1"/>
  <c r="J714" i="1" s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J705" i="1" s="1"/>
  <c r="J704" i="1"/>
  <c r="I704" i="1"/>
  <c r="I703" i="1"/>
  <c r="J703" i="1" s="1"/>
  <c r="I702" i="1"/>
  <c r="J702" i="1" s="1"/>
  <c r="I701" i="1"/>
  <c r="J701" i="1" s="1"/>
  <c r="I700" i="1"/>
  <c r="J700" i="1" s="1"/>
  <c r="I699" i="1"/>
  <c r="J699" i="1" s="1"/>
  <c r="I698" i="1"/>
  <c r="J698" i="1" s="1"/>
  <c r="I697" i="1"/>
  <c r="J697" i="1" s="1"/>
  <c r="I696" i="1"/>
  <c r="J696" i="1" s="1"/>
  <c r="I695" i="1"/>
  <c r="J695" i="1" s="1"/>
  <c r="I694" i="1"/>
  <c r="J694" i="1" s="1"/>
  <c r="I693" i="1"/>
  <c r="J693" i="1" s="1"/>
  <c r="I692" i="1"/>
  <c r="J692" i="1" s="1"/>
  <c r="I691" i="1"/>
  <c r="J691" i="1" s="1"/>
  <c r="J690" i="1"/>
  <c r="I690" i="1"/>
  <c r="I689" i="1"/>
  <c r="J689" i="1" s="1"/>
  <c r="I688" i="1"/>
  <c r="J688" i="1" s="1"/>
  <c r="I687" i="1"/>
  <c r="J687" i="1" s="1"/>
  <c r="I686" i="1"/>
  <c r="J686" i="1" s="1"/>
  <c r="I685" i="1"/>
  <c r="J685" i="1" s="1"/>
  <c r="I684" i="1"/>
  <c r="J684" i="1" s="1"/>
  <c r="I683" i="1"/>
  <c r="J683" i="1" s="1"/>
  <c r="J682" i="1"/>
  <c r="I682" i="1"/>
  <c r="I681" i="1"/>
  <c r="J681" i="1" s="1"/>
  <c r="I680" i="1"/>
  <c r="J680" i="1" s="1"/>
  <c r="I679" i="1"/>
  <c r="J679" i="1" s="1"/>
  <c r="I678" i="1"/>
  <c r="J678" i="1" s="1"/>
  <c r="I677" i="1"/>
  <c r="J677" i="1" s="1"/>
  <c r="I676" i="1"/>
  <c r="J676" i="1" s="1"/>
  <c r="I675" i="1"/>
  <c r="J675" i="1" s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J646" i="1" s="1"/>
  <c r="I645" i="1"/>
  <c r="J645" i="1" s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I636" i="1"/>
  <c r="J636" i="1" s="1"/>
  <c r="I635" i="1"/>
  <c r="J635" i="1" s="1"/>
  <c r="I634" i="1"/>
  <c r="J634" i="1" s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J620" i="1" s="1"/>
  <c r="I619" i="1"/>
  <c r="J619" i="1" s="1"/>
  <c r="I618" i="1"/>
  <c r="J618" i="1" s="1"/>
  <c r="I617" i="1"/>
  <c r="J617" i="1" s="1"/>
  <c r="I616" i="1"/>
  <c r="J616" i="1" s="1"/>
  <c r="I615" i="1"/>
  <c r="J615" i="1" s="1"/>
  <c r="I614" i="1"/>
  <c r="J614" i="1" s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J606" i="1" s="1"/>
  <c r="I605" i="1"/>
  <c r="J605" i="1" s="1"/>
  <c r="I604" i="1"/>
  <c r="J604" i="1" s="1"/>
  <c r="I603" i="1"/>
  <c r="J603" i="1" s="1"/>
  <c r="I602" i="1"/>
  <c r="J602" i="1" s="1"/>
  <c r="I601" i="1"/>
  <c r="J601" i="1" s="1"/>
  <c r="I600" i="1"/>
  <c r="J600" i="1" s="1"/>
  <c r="I599" i="1"/>
  <c r="J599" i="1" s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I581" i="1"/>
  <c r="J581" i="1" s="1"/>
  <c r="I580" i="1"/>
  <c r="J580" i="1" s="1"/>
  <c r="I579" i="1"/>
  <c r="J579" i="1" s="1"/>
  <c r="I578" i="1"/>
  <c r="J578" i="1" s="1"/>
  <c r="I577" i="1"/>
  <c r="J577" i="1" s="1"/>
  <c r="I576" i="1"/>
  <c r="J576" i="1" s="1"/>
  <c r="J575" i="1"/>
  <c r="I575" i="1"/>
  <c r="I574" i="1"/>
  <c r="J574" i="1" s="1"/>
  <c r="I573" i="1"/>
  <c r="J573" i="1" s="1"/>
  <c r="I572" i="1"/>
  <c r="J572" i="1" s="1"/>
  <c r="I571" i="1"/>
  <c r="J571" i="1" s="1"/>
  <c r="I570" i="1"/>
  <c r="J570" i="1" s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J562" i="1" s="1"/>
  <c r="I561" i="1"/>
  <c r="J561" i="1" s="1"/>
  <c r="I560" i="1"/>
  <c r="J560" i="1" s="1"/>
  <c r="J559" i="1"/>
  <c r="I559" i="1"/>
  <c r="I558" i="1"/>
  <c r="J558" i="1" s="1"/>
  <c r="I557" i="1"/>
  <c r="J557" i="1" s="1"/>
  <c r="I556" i="1"/>
  <c r="J556" i="1" s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J541" i="1" s="1"/>
  <c r="I540" i="1"/>
  <c r="J540" i="1" s="1"/>
  <c r="I539" i="1"/>
  <c r="J539" i="1" s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J525" i="1" s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J238" i="1"/>
  <c r="I238" i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J124" i="1"/>
  <c r="I124" i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J101" i="1"/>
  <c r="I101" i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  <c r="D28" i="2" l="1"/>
  <c r="E28" i="2" s="1"/>
  <c r="D32" i="2"/>
  <c r="E32" i="2" s="1"/>
  <c r="D41" i="2"/>
  <c r="E41" i="2" s="1"/>
  <c r="D45" i="2"/>
  <c r="E45" i="2" s="1"/>
  <c r="D16" i="2"/>
  <c r="E16" i="2" s="1"/>
  <c r="D42" i="2"/>
  <c r="E42" i="2" s="1"/>
  <c r="D46" i="2"/>
  <c r="E46" i="2" s="1"/>
  <c r="D43" i="2"/>
  <c r="E43" i="2" s="1"/>
  <c r="B7" i="2"/>
  <c r="G5" i="3" s="1"/>
  <c r="D14" i="2"/>
  <c r="E14" i="2" s="1"/>
  <c r="D18" i="2"/>
  <c r="E18" i="2" s="1"/>
  <c r="D27" i="2"/>
  <c r="E27" i="2" s="1"/>
  <c r="D31" i="2"/>
  <c r="E31" i="2" s="1"/>
  <c r="D40" i="2"/>
  <c r="E40" i="2" s="1"/>
  <c r="D44" i="2"/>
  <c r="E44" i="2" s="1"/>
  <c r="D48" i="2"/>
  <c r="E48" i="2" s="1"/>
  <c r="D25" i="2"/>
  <c r="E25" i="2" s="1"/>
  <c r="D30" i="2"/>
  <c r="E30" i="2" s="1"/>
  <c r="D39" i="2"/>
  <c r="E39" i="2" s="1"/>
  <c r="D29" i="2"/>
  <c r="E29" i="2" s="1"/>
  <c r="D17" i="2"/>
  <c r="E17" i="2" s="1"/>
  <c r="B10" i="2"/>
  <c r="B9" i="2"/>
  <c r="D26" i="2"/>
  <c r="E26" i="2" s="1"/>
  <c r="D15" i="2"/>
  <c r="E15" i="2" s="1"/>
  <c r="D19" i="2"/>
  <c r="E19" i="2" s="1"/>
  <c r="D47" i="2"/>
  <c r="E47" i="2" s="1"/>
  <c r="B8" i="2" l="1"/>
  <c r="J5" i="3" s="1"/>
</calcChain>
</file>

<file path=xl/sharedStrings.xml><?xml version="1.0" encoding="utf-8"?>
<sst xmlns="http://schemas.openxmlformats.org/spreadsheetml/2006/main" count="5114" uniqueCount="1102">
  <si>
    <t>Transaction_ID</t>
  </si>
  <si>
    <t>Date</t>
  </si>
  <si>
    <t>Month</t>
  </si>
  <si>
    <t>Department</t>
  </si>
  <si>
    <t>Expense_Category</t>
  </si>
  <si>
    <t>Vendor</t>
  </si>
  <si>
    <t>Budget</t>
  </si>
  <si>
    <t>Actual</t>
  </si>
  <si>
    <t>Variance</t>
  </si>
  <si>
    <t>Variance_%</t>
  </si>
  <si>
    <t>TXN0001</t>
  </si>
  <si>
    <t>Jan</t>
  </si>
  <si>
    <t>IT</t>
  </si>
  <si>
    <t>Marketing</t>
  </si>
  <si>
    <t>Google</t>
  </si>
  <si>
    <t>TXN0002</t>
  </si>
  <si>
    <t>Sales</t>
  </si>
  <si>
    <t>Software</t>
  </si>
  <si>
    <t>IBM</t>
  </si>
  <si>
    <t>TXN0003</t>
  </si>
  <si>
    <t>HR</t>
  </si>
  <si>
    <t>Oracle</t>
  </si>
  <si>
    <t>TXN0004</t>
  </si>
  <si>
    <t>Training</t>
  </si>
  <si>
    <t>TXN0005</t>
  </si>
  <si>
    <t>Finance</t>
  </si>
  <si>
    <t>Travel</t>
  </si>
  <si>
    <t>Infosys</t>
  </si>
  <si>
    <t>TXN0006</t>
  </si>
  <si>
    <t>Deloitte</t>
  </si>
  <si>
    <t>TXN0007</t>
  </si>
  <si>
    <t>Office</t>
  </si>
  <si>
    <t>Microsoft</t>
  </si>
  <si>
    <t>TXN0008</t>
  </si>
  <si>
    <t>TXN0009</t>
  </si>
  <si>
    <t>Salaries</t>
  </si>
  <si>
    <t>TXN0010</t>
  </si>
  <si>
    <t>TXN0011</t>
  </si>
  <si>
    <t>TCS</t>
  </si>
  <si>
    <t>TXN0012</t>
  </si>
  <si>
    <t>TXN0013</t>
  </si>
  <si>
    <t>Adobe</t>
  </si>
  <si>
    <t>TXN0014</t>
  </si>
  <si>
    <t>TXN0015</t>
  </si>
  <si>
    <t>Accenture</t>
  </si>
  <si>
    <t>TXN0016</t>
  </si>
  <si>
    <t>Consulting</t>
  </si>
  <si>
    <t>TXN0017</t>
  </si>
  <si>
    <t>TXN0018</t>
  </si>
  <si>
    <t>Operations</t>
  </si>
  <si>
    <t>TXN0019</t>
  </si>
  <si>
    <t>Amazon Web Services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</si>
  <si>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</si>
  <si>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</si>
  <si>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</si>
  <si>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</si>
  <si>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</si>
  <si>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</si>
  <si>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</si>
  <si>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</si>
  <si>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</si>
  <si>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</si>
  <si>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</si>
  <si>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</si>
  <si>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</si>
  <si>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Utilities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</si>
  <si>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</si>
  <si>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</si>
  <si>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</si>
  <si>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</si>
  <si>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</si>
  <si>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</si>
  <si>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</si>
  <si>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</si>
  <si>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</si>
  <si>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</si>
  <si>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</si>
  <si>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</si>
  <si>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</si>
  <si>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</si>
  <si>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</si>
  <si>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</si>
  <si>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</si>
  <si>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</si>
  <si>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</si>
  <si>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</si>
  <si>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</si>
  <si>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</si>
  <si>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</si>
  <si>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</si>
  <si>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</si>
  <si>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</si>
  <si>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</si>
  <si>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</si>
  <si>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</si>
  <si>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</si>
  <si>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</si>
  <si>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</si>
  <si>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</si>
  <si>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</si>
  <si>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</si>
  <si>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</si>
  <si>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</si>
  <si>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</si>
  <si>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</si>
  <si>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</si>
  <si>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</si>
  <si>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</si>
  <si>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</si>
  <si>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</si>
  <si>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</si>
  <si>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</si>
  <si>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</si>
  <si>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</si>
  <si>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</si>
  <si>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</si>
  <si>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</si>
  <si>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</si>
  <si>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</si>
  <si>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Feb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</si>
  <si>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</si>
  <si>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</si>
  <si>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</si>
  <si>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</si>
  <si>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</si>
  <si>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</si>
  <si>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</si>
  <si>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</si>
  <si>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</si>
  <si>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</si>
  <si>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</si>
  <si>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</si>
  <si>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</si>
  <si>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</si>
  <si>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</si>
  <si>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</si>
  <si>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</si>
  <si>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</si>
  <si>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</si>
  <si>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</si>
  <si>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</si>
  <si>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</si>
  <si>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</si>
  <si>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</si>
  <si>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</si>
  <si>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</si>
  <si>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</si>
  <si>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</si>
  <si>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</si>
  <si>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</si>
  <si>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</si>
  <si>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</si>
  <si>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</si>
  <si>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</si>
  <si>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</si>
  <si>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</si>
  <si>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</si>
  <si>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</si>
  <si>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</si>
  <si>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</si>
  <si>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</si>
  <si>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</si>
  <si>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</si>
  <si>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</si>
  <si>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</si>
  <si>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</si>
  <si>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</si>
  <si>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</si>
  <si>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</si>
  <si>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</si>
  <si>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</si>
  <si>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</si>
  <si>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</si>
  <si>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</si>
  <si>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</si>
  <si>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</si>
  <si>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</si>
  <si>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</si>
  <si>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</si>
  <si>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</si>
  <si>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</si>
  <si>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</si>
  <si>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</si>
  <si>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</si>
  <si>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</si>
  <si>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</si>
  <si>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</si>
  <si>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</si>
  <si>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</si>
  <si>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</si>
  <si>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</si>
  <si>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</si>
  <si>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</si>
  <si>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</si>
  <si>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</si>
  <si>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</si>
  <si>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</si>
  <si>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</si>
  <si>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</si>
  <si>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</si>
  <si>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</si>
  <si>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</si>
  <si>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</si>
  <si>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</si>
  <si>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Mar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</si>
  <si>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</si>
  <si>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</si>
  <si>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</si>
  <si>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</si>
  <si>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</si>
  <si>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</si>
  <si>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</si>
  <si>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</si>
  <si>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</si>
  <si>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</si>
  <si>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</si>
  <si>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</si>
  <si>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</si>
  <si>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</si>
  <si>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</si>
  <si>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</si>
  <si>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</si>
  <si>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</si>
  <si>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</si>
  <si>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</si>
  <si>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</si>
  <si>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</si>
  <si>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</si>
  <si>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</si>
  <si>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</si>
  <si>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</si>
  <si>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</si>
  <si>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</si>
  <si>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</si>
  <si>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</si>
  <si>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</si>
  <si>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</si>
  <si>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</si>
  <si>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</si>
  <si>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</si>
  <si>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</si>
  <si>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</si>
  <si>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</si>
  <si>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</si>
  <si>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</si>
  <si>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</si>
  <si>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</si>
  <si>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</si>
  <si>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</si>
  <si>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</si>
  <si>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</si>
  <si>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</si>
  <si>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</si>
  <si>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</si>
  <si>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</si>
  <si>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</si>
  <si>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</si>
  <si>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</si>
  <si>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</si>
  <si>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</si>
  <si>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</si>
  <si>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</si>
  <si>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</si>
  <si>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</si>
  <si>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</si>
  <si>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</si>
  <si>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</si>
  <si>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</si>
  <si>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</si>
  <si>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</si>
  <si>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</si>
  <si>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</si>
  <si>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</si>
  <si>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</si>
  <si>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</si>
  <si>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</si>
  <si>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</si>
  <si>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</si>
  <si>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</si>
  <si>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</si>
  <si>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</si>
  <si>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</si>
  <si>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</si>
  <si>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</si>
  <si>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</si>
  <si>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</si>
  <si>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</si>
  <si>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</si>
  <si>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</si>
  <si>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Apr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</si>
  <si>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</si>
  <si>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</si>
  <si>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</si>
  <si>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</si>
  <si>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</si>
  <si>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</si>
  <si>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</si>
  <si>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</si>
  <si>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</si>
  <si>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</si>
  <si>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</si>
  <si>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</si>
  <si>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</si>
  <si>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</si>
  <si>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</si>
  <si>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</si>
  <si>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</si>
  <si>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</si>
  <si>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</si>
  <si>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</si>
  <si>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</si>
  <si>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</si>
  <si>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</si>
  <si>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</si>
  <si>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</si>
  <si>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</si>
  <si>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</si>
  <si>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</si>
  <si>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</si>
  <si>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</si>
  <si>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</si>
  <si>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</si>
  <si>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</si>
  <si>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</si>
  <si>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</si>
  <si>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</si>
  <si>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</si>
  <si>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</si>
  <si>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</si>
  <si>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</si>
  <si>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</si>
  <si>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</si>
  <si>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</si>
  <si>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</si>
  <si>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</si>
  <si>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</si>
  <si>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</si>
  <si>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</si>
  <si>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</si>
  <si>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</si>
  <si>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</si>
  <si>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</si>
  <si>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</si>
  <si>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</si>
  <si>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</si>
  <si>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</si>
  <si>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</si>
  <si>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</si>
  <si>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</si>
  <si>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</si>
  <si>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</si>
  <si>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</si>
  <si>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</si>
  <si>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</si>
  <si>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</si>
  <si>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</si>
  <si>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</si>
  <si>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</si>
  <si>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</si>
  <si>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</si>
  <si>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</si>
  <si>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</si>
  <si>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</si>
  <si>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</si>
  <si>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</si>
  <si>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</si>
  <si>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</si>
  <si>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</si>
  <si>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</si>
  <si>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</si>
  <si>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</si>
  <si>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</si>
  <si>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</si>
  <si>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</si>
  <si>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May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</si>
  <si>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</si>
  <si>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</si>
  <si>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</si>
  <si>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</si>
  <si>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</si>
  <si>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</si>
  <si>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</si>
  <si>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</si>
  <si>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</si>
  <si>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</si>
  <si>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</si>
  <si>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</si>
  <si>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</si>
  <si>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</si>
  <si>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</si>
  <si>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</si>
  <si>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</si>
  <si>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</si>
  <si>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</si>
  <si>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</si>
  <si>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</si>
  <si>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</si>
  <si>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</si>
  <si>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</si>
  <si>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</si>
  <si>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</si>
  <si>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</si>
  <si>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</si>
  <si>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</si>
  <si>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</si>
  <si>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</si>
  <si>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</si>
  <si>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</si>
  <si>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</si>
  <si>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</si>
  <si>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</si>
  <si>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</si>
  <si>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</si>
  <si>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</si>
  <si>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</si>
  <si>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</si>
  <si>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</si>
  <si>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</si>
  <si>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</si>
  <si>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</si>
  <si>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</si>
  <si>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</si>
  <si>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</si>
  <si>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</si>
  <si>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</si>
  <si>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</si>
  <si>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</si>
  <si>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</si>
  <si>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</si>
  <si>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</si>
  <si>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</si>
  <si>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</si>
  <si>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</si>
  <si>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</si>
  <si>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</si>
  <si>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</si>
  <si>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</si>
  <si>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</si>
  <si>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</si>
  <si>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</si>
  <si>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</si>
  <si>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</si>
  <si>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</si>
  <si>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</si>
  <si>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</si>
  <si>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</si>
  <si>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</si>
  <si>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</si>
  <si>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</si>
  <si>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</si>
  <si>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</si>
  <si>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</si>
  <si>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</si>
  <si>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</si>
  <si>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</si>
  <si>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</si>
  <si>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</si>
  <si>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</si>
  <si>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Jun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</si>
  <si>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</si>
  <si>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</si>
  <si>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</si>
  <si>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</si>
  <si>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</si>
  <si>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</si>
  <si>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</si>
  <si>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</si>
  <si>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</si>
  <si>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</si>
  <si>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</si>
  <si>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</si>
  <si>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</si>
  <si>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</si>
  <si>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</si>
  <si>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</si>
  <si>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</si>
  <si>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</si>
  <si>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</si>
  <si>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</si>
  <si>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</si>
  <si>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</si>
  <si>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</si>
  <si>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</si>
  <si>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</si>
  <si>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</si>
  <si>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</si>
  <si>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</si>
  <si>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</si>
  <si>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</si>
  <si>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</si>
  <si>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</si>
  <si>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</si>
  <si>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</si>
  <si>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</si>
  <si>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</si>
  <si>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</si>
  <si>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</si>
  <si>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</si>
  <si>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</si>
  <si>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</si>
  <si>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</si>
  <si>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</si>
  <si>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</si>
  <si>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</si>
  <si>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</si>
  <si>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</si>
  <si>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</si>
  <si>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</si>
  <si>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</si>
  <si>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</si>
  <si>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</si>
  <si>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</si>
  <si>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</si>
  <si>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</si>
  <si>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</si>
  <si>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</si>
  <si>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</si>
  <si>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</si>
  <si>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</si>
  <si>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</si>
  <si>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</si>
  <si>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</si>
  <si>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</si>
  <si>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</si>
  <si>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</si>
  <si>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</si>
  <si>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</si>
  <si>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</si>
  <si>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</si>
  <si>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</si>
  <si>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</si>
  <si>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</si>
  <si>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</si>
  <si>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</si>
  <si>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</si>
  <si>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</si>
  <si>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</si>
  <si>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</si>
  <si>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</si>
  <si>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</si>
  <si>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</si>
  <si>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</si>
  <si>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Jul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</si>
  <si>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</si>
  <si>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</si>
  <si>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</si>
  <si>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</si>
  <si>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</si>
  <si>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</si>
  <si>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</si>
  <si>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</si>
  <si>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</si>
  <si>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</si>
  <si>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</si>
  <si>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</si>
  <si>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</si>
  <si>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</si>
  <si>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</si>
  <si>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</si>
  <si>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</si>
  <si>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</si>
  <si>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</si>
  <si>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</si>
  <si>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</si>
  <si>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</si>
  <si>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</si>
  <si>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</si>
  <si>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</si>
  <si>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</si>
  <si>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</si>
  <si>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</si>
  <si>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</si>
  <si>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</si>
  <si>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</si>
  <si>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</si>
  <si>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</si>
  <si>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</si>
  <si>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</si>
  <si>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</si>
  <si>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</si>
  <si>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</si>
  <si>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</si>
  <si>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</si>
  <si>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</si>
  <si>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</si>
  <si>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</si>
  <si>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</si>
  <si>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</si>
  <si>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</si>
  <si>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</si>
  <si>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</si>
  <si>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</si>
  <si>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</si>
  <si>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</si>
  <si>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</si>
  <si>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</si>
  <si>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</si>
  <si>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</si>
  <si>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</si>
  <si>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</si>
  <si>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</si>
  <si>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</si>
  <si>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</si>
  <si>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</si>
  <si>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</si>
  <si>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</si>
  <si>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</si>
  <si>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</si>
  <si>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</si>
  <si>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</si>
  <si>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</si>
  <si>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</si>
  <si>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</si>
  <si>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</si>
  <si>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</si>
  <si>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</si>
  <si>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</si>
  <si>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</si>
  <si>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</si>
  <si>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</si>
  <si>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</si>
  <si>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</si>
  <si>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</si>
  <si>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</si>
  <si>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</si>
  <si>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</si>
  <si>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Aug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</si>
  <si>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</si>
  <si>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</si>
  <si>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</si>
  <si>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</si>
  <si>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</si>
  <si>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</si>
  <si>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</si>
  <si>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</si>
  <si>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</si>
  <si>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</si>
  <si>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</si>
  <si>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</si>
  <si>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</si>
  <si>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</si>
  <si>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</si>
  <si>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</si>
  <si>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</si>
  <si>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</si>
  <si>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</si>
  <si>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</si>
  <si>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</si>
  <si>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</si>
  <si>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</si>
  <si>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</si>
  <si>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</si>
  <si>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</si>
  <si>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</si>
  <si>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</si>
  <si>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</si>
  <si>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</si>
  <si>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</si>
  <si>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</si>
  <si>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</si>
  <si>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</si>
  <si>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</si>
  <si>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</si>
  <si>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</si>
  <si>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</si>
  <si>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</si>
  <si>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</si>
  <si>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</si>
  <si>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</si>
  <si>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</si>
  <si>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</si>
  <si>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</si>
  <si>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</si>
  <si>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</si>
  <si>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</si>
  <si>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</si>
  <si>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</si>
  <si>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</si>
  <si>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</si>
  <si>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</si>
  <si>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</si>
  <si>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</si>
  <si>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</si>
  <si>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</si>
  <si>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</si>
  <si>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</si>
  <si>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</si>
  <si>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</si>
  <si>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</si>
  <si>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</si>
  <si>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</si>
  <si>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</si>
  <si>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</si>
  <si>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</si>
  <si>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</si>
  <si>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</si>
  <si>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</si>
  <si>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</si>
  <si>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</si>
  <si>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</si>
  <si>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</si>
  <si>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</si>
  <si>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</si>
  <si>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</si>
  <si>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</si>
  <si>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</si>
  <si>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</si>
  <si>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</si>
  <si>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</si>
  <si>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</si>
  <si>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Sep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</si>
  <si>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</si>
  <si>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</si>
  <si>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</si>
  <si>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</si>
  <si>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</si>
  <si>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</si>
  <si>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</si>
  <si>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</si>
  <si>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</si>
  <si>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</si>
  <si>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</si>
  <si>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</si>
  <si>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</si>
  <si>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</si>
  <si>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</si>
  <si>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</si>
  <si>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</si>
  <si>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</si>
  <si>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</si>
  <si>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</si>
  <si>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</si>
  <si>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</si>
  <si>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</si>
  <si>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</si>
  <si>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</si>
  <si>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</si>
  <si>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</si>
  <si>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</si>
  <si>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</si>
  <si>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</si>
  <si>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</si>
  <si>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</si>
  <si>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</si>
  <si>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</si>
  <si>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</si>
  <si>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</si>
  <si>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</si>
  <si>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</si>
  <si>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</si>
  <si>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</si>
  <si>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</si>
  <si>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</si>
  <si>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</si>
  <si>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</si>
  <si>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</si>
  <si>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</si>
  <si>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</si>
  <si>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</si>
  <si>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</si>
  <si>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</si>
  <si>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</si>
  <si>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</si>
  <si>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</si>
  <si>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</si>
  <si>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</si>
  <si>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</si>
  <si>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</si>
  <si>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</si>
  <si>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</si>
  <si>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</si>
  <si>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</si>
  <si>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</si>
  <si>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</si>
  <si>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</si>
  <si>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</si>
  <si>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</si>
  <si>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</si>
  <si>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</si>
  <si>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</si>
  <si>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</si>
  <si>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</si>
  <si>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</si>
  <si>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</si>
  <si>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</si>
  <si>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</si>
  <si>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</si>
  <si>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</si>
  <si>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</si>
  <si>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</si>
  <si>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</si>
  <si>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</si>
  <si>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</si>
  <si>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</si>
  <si>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Oct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</si>
  <si>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</si>
  <si>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</si>
  <si>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</si>
  <si>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</si>
  <si>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</si>
  <si>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</si>
  <si>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</si>
  <si>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</si>
  <si>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</si>
  <si>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</si>
  <si>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</si>
  <si>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</si>
  <si>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</si>
  <si>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</si>
  <si>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</si>
  <si>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</si>
  <si>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</si>
  <si>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</si>
  <si>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</si>
  <si>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</si>
  <si>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</si>
  <si>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</si>
  <si>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</si>
  <si>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</si>
  <si>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</si>
  <si>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</si>
  <si>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</si>
  <si>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</si>
  <si>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</si>
  <si>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</si>
  <si>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</si>
  <si>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</si>
  <si>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</si>
  <si>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</si>
  <si>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</si>
  <si>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</si>
  <si>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</si>
  <si>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</si>
  <si>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</si>
  <si>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</si>
  <si>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</si>
  <si>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</si>
  <si>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</si>
  <si>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</si>
  <si>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</si>
  <si>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</si>
  <si>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</si>
  <si>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</si>
  <si>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</si>
  <si>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</si>
  <si>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</si>
  <si>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</si>
  <si>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</si>
  <si>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</si>
  <si>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</si>
  <si>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</si>
  <si>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</si>
  <si>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</si>
  <si>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</si>
  <si>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</si>
  <si>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</si>
  <si>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</si>
  <si>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</si>
  <si>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</si>
  <si>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</si>
  <si>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</si>
  <si>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</si>
  <si>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</si>
  <si>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</si>
  <si>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</si>
  <si>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</si>
  <si>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</si>
  <si>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</si>
  <si>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</si>
  <si>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</si>
  <si>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</si>
  <si>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</si>
  <si>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</si>
  <si>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</si>
  <si>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</si>
  <si>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</si>
  <si>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</si>
  <si>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</si>
  <si>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Nov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</si>
  <si>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</si>
  <si>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</si>
  <si>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</si>
  <si>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</si>
  <si>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</si>
  <si>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</si>
  <si>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</si>
  <si>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</si>
  <si>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</si>
  <si>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</si>
  <si>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</si>
  <si>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</si>
  <si>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</si>
  <si>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</si>
  <si>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</si>
  <si>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</si>
  <si>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</si>
  <si>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</si>
  <si>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</si>
  <si>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</si>
  <si>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</si>
  <si>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</si>
  <si>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</si>
  <si>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</si>
  <si>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</si>
  <si>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</si>
  <si>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</si>
  <si>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</si>
  <si>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</si>
  <si>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</si>
  <si>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</si>
  <si>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</si>
  <si>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</si>
  <si>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</si>
  <si>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</si>
  <si>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</si>
  <si>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</si>
  <si>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</si>
  <si>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</si>
  <si>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</si>
  <si>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</si>
  <si>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</si>
  <si>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</si>
  <si>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</si>
  <si>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</si>
  <si>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</si>
  <si>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</si>
  <si>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</si>
  <si>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</si>
  <si>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</si>
  <si>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</si>
  <si>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</si>
  <si>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</si>
  <si>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</si>
  <si>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</si>
  <si>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</si>
  <si>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</si>
  <si>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</si>
  <si>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</si>
  <si>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</si>
  <si>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</si>
  <si>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</si>
  <si>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</si>
  <si>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</si>
  <si>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</si>
  <si>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</si>
  <si>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</si>
  <si>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</si>
  <si>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</si>
  <si>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</si>
  <si>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</si>
  <si>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</si>
  <si>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</si>
  <si>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</si>
  <si>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</si>
  <si>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</si>
  <si>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</si>
  <si>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</si>
  <si>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</si>
  <si>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</si>
  <si>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</si>
  <si>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</si>
  <si>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</si>
  <si>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Dec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</si>
  <si>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</si>
  <si>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</si>
  <si>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</si>
  <si>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</si>
  <si>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</si>
  <si>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</si>
  <si>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</si>
  <si>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</si>
  <si>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</si>
  <si>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</si>
  <si>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</si>
  <si>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</si>
  <si>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</si>
  <si>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</si>
  <si>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</si>
  <si>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</si>
  <si>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</si>
  <si>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</si>
  <si>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</si>
  <si>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</si>
  <si>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</si>
  <si>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</si>
  <si>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</si>
  <si>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</si>
  <si>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</si>
  <si>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</si>
  <si>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</si>
  <si>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</si>
  <si>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</si>
  <si>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</si>
  <si>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</si>
  <si>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</si>
  <si>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</si>
  <si>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</si>
  <si>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</si>
  <si>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</si>
  <si>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</si>
  <si>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</si>
  <si>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</si>
  <si>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</si>
  <si>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</si>
  <si>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</si>
  <si>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</si>
  <si>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</si>
  <si>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</si>
  <si>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</si>
  <si>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</si>
  <si>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</si>
  <si>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</si>
  <si>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</si>
  <si>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</si>
  <si>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</si>
  <si>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</si>
  <si>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</si>
  <si>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</si>
  <si>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</si>
  <si>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</si>
  <si>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</si>
  <si>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</si>
  <si>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</si>
  <si>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</si>
  <si>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</si>
  <si>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</si>
  <si>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</si>
  <si>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</si>
  <si>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</si>
  <si>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</si>
  <si>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</si>
  <si>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</si>
  <si>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</si>
  <si>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</si>
  <si>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</si>
  <si>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</si>
  <si>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</si>
  <si>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</si>
  <si>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</si>
  <si>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</si>
  <si>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</si>
  <si>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</si>
  <si>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</si>
  <si>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</si>
  <si>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</si>
  <si>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FINANCIAL PERFORMANCE ANALYSIS</t>
  </si>
  <si>
    <t>Executive KPIs</t>
  </si>
  <si>
    <t>Total Budget</t>
  </si>
  <si>
    <t>Total Actual</t>
  </si>
  <si>
    <t>Total Variance</t>
  </si>
  <si>
    <t>Overall Variance %</t>
  </si>
  <si>
    <t>Favorable Transactions</t>
  </si>
  <si>
    <t>Unfavorable Transactions</t>
  </si>
  <si>
    <t>Department Analysis</t>
  </si>
  <si>
    <t>Item</t>
  </si>
  <si>
    <t>Variance %</t>
  </si>
  <si>
    <t>Expense Category Analysis</t>
  </si>
  <si>
    <t>Monthly Analysis</t>
  </si>
  <si>
    <t>BUDGET VS ACTUAL | FINANCIAL PERFORMANCE DASHBOARD</t>
  </si>
  <si>
    <t>Synthetic FY2026 dataset • 1,000 transactions</t>
  </si>
  <si>
    <t>Management Notes</t>
  </si>
  <si>
    <t>• Positive variance = actual spend above budget (unfavorable for expense control).</t>
  </si>
  <si>
    <t>• Negative variance = actual spend below budget (favorable for expense control).</t>
  </si>
  <si>
    <t>• Investigate material variances by department, category, vendor and month.</t>
  </si>
  <si>
    <t>• The workbook uses synthetic data for portfolio/interview demonstration.</t>
  </si>
  <si>
    <t>Formula / Concept</t>
  </si>
  <si>
    <t>Excel Formula</t>
  </si>
  <si>
    <t>Purpose</t>
  </si>
  <si>
    <t>Interview explanation</t>
  </si>
  <si>
    <t>Adds planned spend</t>
  </si>
  <si>
    <t>SUM calculates total budget across transactions.</t>
  </si>
  <si>
    <t>Adds actual spend</t>
  </si>
  <si>
    <t>SUM calculates actual expenditure for the period.</t>
  </si>
  <si>
    <t>Measures budget gap</t>
  </si>
  <si>
    <t>Positive means actual exceeded budget; negative means actual was below budget.</t>
  </si>
  <si>
    <t>Normalizes variance</t>
  </si>
  <si>
    <t>Dividing variance by budget makes performance comparable across units.</t>
  </si>
  <si>
    <t>SUMIF</t>
  </si>
  <si>
    <t>Aggregates by one condition</t>
  </si>
  <si>
    <t>I used SUMIF to summarize budget and actual by department, category and month.</t>
  </si>
  <si>
    <t>COUNTIF</t>
  </si>
  <si>
    <t>Counts matching records</t>
  </si>
  <si>
    <t>I used COUNTIF to count favorable and unfavorable transactions.</t>
  </si>
  <si>
    <t>IFERROR</t>
  </si>
  <si>
    <t>Handles divide-by-zero</t>
  </si>
  <si>
    <t>It prevents errors when a budget is zero.</t>
  </si>
  <si>
    <t>SUMIFS</t>
  </si>
  <si>
    <t>Multi-condition aggregation</t>
  </si>
  <si>
    <t>I would use SUMIFS when I need to filter by multiple dimensions, such as department and month.</t>
  </si>
  <si>
    <t>PROJECT README — BUDGET VS ACTUAL FINANCIAL ANALYSIS</t>
  </si>
  <si>
    <t>Business Problem</t>
  </si>
  <si>
    <t>Analyze planned versus actual expenditure and identify the drivers of material variances.</t>
  </si>
  <si>
    <t>Dataset</t>
  </si>
  <si>
    <t>1,000 synthetic FY2026 transactions across 6 departments, 8 expense categories and 10 vendors.</t>
  </si>
  <si>
    <t>Tools</t>
  </si>
  <si>
    <t>Excel formulas, conditional formatting, charts and dashboarding.</t>
  </si>
  <si>
    <t>Methodology</t>
  </si>
  <si>
    <t>Calculate Actual − Budget and Variance %, summarize by department/category/month, then identify material drivers.</t>
  </si>
  <si>
    <t>Interview Summary</t>
  </si>
  <si>
    <t>I built a budget-versus-actual model, analyzed variances across business dimensions, and created a management dashboard to support cost analysis.</t>
  </si>
  <si>
    <t>Data Note</t>
  </si>
  <si>
    <t>All transaction data in this workbook is synthetic and intended for learning, portfolio and interview demonstration.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</si>
</sst>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8"/>
      <color rgb="FFFFFFFF"/>
      <name val="Calibri"/>
      <family val="2"/>
    </font>
    <font>
      <i/>
      <sz val="11"/>
      <color rgb="FF666666"/>
      <name val="Calibri"/>
      <family val="2"/>
    </font>
    <font>
      <b/>
      <sz val="1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6" fontId="0" fillId="0" borderId="0" xfId="0" applyNumberFormat="1"/>
    <xf numFmtId="10" fontId="0" fillId="0" borderId="0" xfId="0" applyNumberFormat="1"/>
    <xf numFmtId="0" fontId="1" fillId="3" borderId="0" xfId="0" applyFont="1" applyFill="1"/>
    <xf numFmtId="0" fontId="3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/>
    <xf numFmtId="0" fontId="0" fillId="0" borderId="0" xfId="0"/>
    <xf numFmtId="0" fontId="2" fillId="2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166" fontId="6" fillId="3" borderId="0" xfId="0" applyNumberFormat="1" applyFont="1" applyFill="1" applyAlignment="1">
      <alignment horizontal="center"/>
    </xf>
    <xf numFmtId="0" fontId="4" fillId="2" borderId="0" xfId="0" applyFont="1" applyFill="1"/>
    <xf numFmtId="0" fontId="1" fillId="3" borderId="0" xfId="0" applyFont="1" applyFill="1" applyAlignment="1">
      <alignment horizontal="center"/>
    </xf>
    <xf numFmtId="10" fontId="6" fillId="3" borderId="0" xfId="0" applyNumberFormat="1" applyFont="1" applyFill="1" applyAlignment="1">
      <alignment horizontal="center"/>
    </xf>
    <xf numFmtId="0" fontId="1" fillId="2" borderId="0" xfId="0" applyFont="1" applyFill="1" applyBorder="1"/>
    <xf numFmtId="0" fontId="0" fillId="0" borderId="0" xfId="0" applyBorder="1"/>
    <xf numFmtId="165" fontId="0" fillId="0" borderId="0" xfId="0" applyNumberFormat="1" applyBorder="1"/>
    <xf numFmtId="166" fontId="0" fillId="0" borderId="0" xfId="0" applyNumberFormat="1" applyBorder="1"/>
    <xf numFmtId="10" fontId="0" fillId="0" borderId="0" xfId="0" applyNumberFormat="1" applyBorder="1"/>
    <xf numFmtId="0" fontId="1" fillId="3" borderId="0" xfId="0" applyFont="1" applyFill="1" applyBorder="1"/>
    <xf numFmtId="0" fontId="0" fillId="0" borderId="0" xfId="0" applyBorder="1"/>
  </cellXfs>
  <cellStyles count="1">
    <cellStyle name="Normal" xfId="0" builtinId="0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Budget vs Actual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Analysis!$B$13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Analysis!$A$14:$A$19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Analysis!$B$14:$B$19</c:f>
              <c:numCache>
                <c:formatCode>\₹#,##0</c:formatCode>
                <c:ptCount val="6"/>
                <c:pt idx="0">
                  <c:v>18868433</c:v>
                </c:pt>
                <c:pt idx="1">
                  <c:v>20254704</c:v>
                </c:pt>
                <c:pt idx="2">
                  <c:v>19424756</c:v>
                </c:pt>
                <c:pt idx="3">
                  <c:v>18129987</c:v>
                </c:pt>
                <c:pt idx="4">
                  <c:v>17668634</c:v>
                </c:pt>
                <c:pt idx="5">
                  <c:v>18828366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B-7948-A7CD-F6045189D85F}"/>
            </c:ext>
          </c:extLst>
        </c:ser>
        <c:ser>
          <c:idx val="1"/>
          <c:order val="1"/>
          <c:tx>
            <c:strRef>
              <c:f>Analysis!$C$13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Analysis!$A$14:$A$19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Analysis!$C$14:$C$19</c:f>
              <c:numCache>
                <c:formatCode>\₹#,##0</c:formatCode>
                <c:ptCount val="6"/>
                <c:pt idx="0">
                  <c:v>20183700</c:v>
                </c:pt>
                <c:pt idx="1">
                  <c:v>21281700</c:v>
                </c:pt>
                <c:pt idx="2">
                  <c:v>20610700</c:v>
                </c:pt>
                <c:pt idx="3">
                  <c:v>19245100</c:v>
                </c:pt>
                <c:pt idx="4">
                  <c:v>18419500</c:v>
                </c:pt>
                <c:pt idx="5">
                  <c:v>19733000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B-7948-A7CD-F6045189D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Budget vs Actual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Analysis!$B$37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Analysis!$A$38:$A$51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Analysis!$B$38:$B$51</c:f>
              <c:numCache>
                <c:formatCode>\₹#,##0</c:formatCode>
                <c:ptCount val="14"/>
                <c:pt idx="0">
                  <c:v>9078540</c:v>
                </c:pt>
                <c:pt idx="1">
                  <c:v>9233322</c:v>
                </c:pt>
                <c:pt idx="2">
                  <c:v>9338942</c:v>
                </c:pt>
                <c:pt idx="3">
                  <c:v>9554799</c:v>
                </c:pt>
                <c:pt idx="4">
                  <c:v>9631806</c:v>
                </c:pt>
                <c:pt idx="5">
                  <c:v>8910827</c:v>
                </c:pt>
                <c:pt idx="6">
                  <c:v>9149487</c:v>
                </c:pt>
                <c:pt idx="7">
                  <c:v>9498907</c:v>
                </c:pt>
                <c:pt idx="8">
                  <c:v>9910492</c:v>
                </c:pt>
                <c:pt idx="9">
                  <c:v>9711348</c:v>
                </c:pt>
                <c:pt idx="10">
                  <c:v>9941885</c:v>
                </c:pt>
                <c:pt idx="11">
                  <c:v>9214525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B6-2846-9F67-AAB7C2BC01DB}"/>
            </c:ext>
          </c:extLst>
        </c:ser>
        <c:ser>
          <c:idx val="1"/>
          <c:order val="1"/>
          <c:tx>
            <c:strRef>
              <c:f>Analysis!$C$37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Analysis!$A$38:$A$51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Analysis!$C$38:$C$51</c:f>
              <c:numCache>
                <c:formatCode>\₹#,##0</c:formatCode>
                <c:ptCount val="14"/>
                <c:pt idx="0">
                  <c:v>9298600</c:v>
                </c:pt>
                <c:pt idx="1">
                  <c:v>9817500</c:v>
                </c:pt>
                <c:pt idx="2">
                  <c:v>10035000</c:v>
                </c:pt>
                <c:pt idx="3">
                  <c:v>10116900</c:v>
                </c:pt>
                <c:pt idx="4">
                  <c:v>10075700</c:v>
                </c:pt>
                <c:pt idx="5">
                  <c:v>9444200</c:v>
                </c:pt>
                <c:pt idx="6">
                  <c:v>9724600</c:v>
                </c:pt>
                <c:pt idx="7">
                  <c:v>9900900</c:v>
                </c:pt>
                <c:pt idx="8">
                  <c:v>10586500</c:v>
                </c:pt>
                <c:pt idx="9">
                  <c:v>10119400</c:v>
                </c:pt>
                <c:pt idx="10">
                  <c:v>10582500</c:v>
                </c:pt>
                <c:pt idx="11">
                  <c:v>9771900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B6-2846-9F67-AAB7C2BC0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Variance by Expense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Analysis!$D$24</c:f>
              <c:strCache>
                <c:ptCount val="1"/>
                <c:pt idx="0">
                  <c:v>Variance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Analysis!$A$25:$A$34</c:f>
              <c:strCache>
                <c:ptCount val="8"/>
                <c:pt idx="0">
                  <c:v>Salaries</c:v>
                </c:pt>
                <c:pt idx="1">
                  <c:v>Software</c:v>
                </c:pt>
                <c:pt idx="2">
                  <c:v>Travel</c:v>
                </c:pt>
                <c:pt idx="3">
                  <c:v>Marketing</c:v>
                </c:pt>
                <c:pt idx="4">
                  <c:v>Office</c:v>
                </c:pt>
                <c:pt idx="5">
                  <c:v>Consulting</c:v>
                </c:pt>
                <c:pt idx="6">
                  <c:v>Training</c:v>
                </c:pt>
                <c:pt idx="7">
                  <c:v>Utilities</c:v>
                </c:pt>
              </c:strCache>
            </c:strRef>
          </c:cat>
          <c:val>
            <c:numRef>
              <c:f>Analysis!$D$25:$D$34</c:f>
              <c:numCache>
                <c:formatCode>\₹#,##0</c:formatCode>
                <c:ptCount val="10"/>
                <c:pt idx="0">
                  <c:v>908475</c:v>
                </c:pt>
                <c:pt idx="1">
                  <c:v>455530</c:v>
                </c:pt>
                <c:pt idx="2">
                  <c:v>692297</c:v>
                </c:pt>
                <c:pt idx="3">
                  <c:v>926529</c:v>
                </c:pt>
                <c:pt idx="4">
                  <c:v>642257</c:v>
                </c:pt>
                <c:pt idx="5">
                  <c:v>884160</c:v>
                </c:pt>
                <c:pt idx="6">
                  <c:v>1046718</c:v>
                </c:pt>
                <c:pt idx="7">
                  <c:v>742854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4-6D4F-AC25-88EDBD4C7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7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pane ySplit="1" topLeftCell="A2" activePane="bottomLeft" state="frozen"/>
      <selection pane="bottomLeft" activeCell="I1" sqref="I1"/>
    </sheetView>
  </sheetViews>
  <sheetFormatPr baseColWidth="10" defaultColWidth="8.83203125" defaultRowHeight="15" x14ac:dyDescent="0.2"/>
  <cols>
    <col min="1" max="1" width="15" customWidth="1"/>
    <col min="2" max="2" width="13" customWidth="1"/>
    <col min="3" max="3" width="10" customWidth="1"/>
    <col min="4" max="4" width="15" customWidth="1"/>
    <col min="5" max="5" width="19" customWidth="1"/>
    <col min="6" max="6" width="22" customWidth="1"/>
    <col min="7" max="9" width="15" customWidth="1"/>
    <col min="10" max="10" width="14" customWidth="1"/>
  </cols>
  <sheetData>
    <row r="1" spans="1:10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2">
      <c r="A2" s="17" t="s">
        <v>10</v>
      </c>
      <c r="B2" s="18">
        <v>46046</v>
      </c>
      <c r="C2" s="17" t="s">
        <v>11</v>
      </c>
      <c r="D2" s="17" t="s">
        <v>12</v>
      </c>
      <c r="E2" s="17" t="s">
        <v>13</v>
      </c>
      <c r="F2" s="17" t="s">
        <v>14</v>
      </c>
      <c r="G2" s="19">
        <v>187621</v>
      </c>
      <c r="H2" s="19">
        <v>167800</v>
      </c>
      <c r="I2" s="19">
        <f t="shared" ref="I2:I65" si="0">H2-G2</f>
        <v>-19821</v>
      </c>
      <c r="J2" s="20">
        <f t="shared" ref="J2:J65" si="1">IFERROR(I2/G2,0)</f>
        <v>-0.10564382451857735</v>
      </c>
    </row>
    <row r="3" spans="1:10" x14ac:dyDescent="0.2">
      <c r="A3" s="17" t="s">
        <v>15</v>
      </c>
      <c r="B3" s="18">
        <v>46044</v>
      </c>
      <c r="C3" s="17" t="s">
        <v>11</v>
      </c>
      <c r="D3" s="17" t="s">
        <v>16</v>
      </c>
      <c r="E3" s="17" t="s">
        <v>17</v>
      </c>
      <c r="F3" s="17" t="s">
        <v>18</v>
      </c>
      <c r="G3" s="19">
        <v>56579</v>
      </c>
      <c r="H3" s="19">
        <v>64800</v>
      </c>
      <c r="I3" s="19">
        <f t="shared" si="0"/>
        <v>8221</v>
      </c>
      <c r="J3" s="20">
        <f t="shared" si="1"/>
        <v>0.14530126018487424</v>
      </c>
    </row>
    <row r="4" spans="1:10" x14ac:dyDescent="0.2">
      <c r="A4" s="17" t="s">
        <v>19</v>
      </c>
      <c r="B4" s="18">
        <v>46025</v>
      </c>
      <c r="C4" s="17" t="s">
        <v>11</v>
      </c>
      <c r="D4" s="17" t="s">
        <v>20</v>
      </c>
      <c r="E4" s="17" t="s">
        <v>13</v>
      </c>
      <c r="F4" s="17" t="s">
        <v>21</v>
      </c>
      <c r="G4" s="19">
        <v>130604</v>
      </c>
      <c r="H4" s="19">
        <v>112700</v>
      </c>
      <c r="I4" s="19">
        <f t="shared" si="0"/>
        <v>-17904</v>
      </c>
      <c r="J4" s="20">
        <f t="shared" si="1"/>
        <v>-0.1370861535634437</v>
      </c>
    </row>
    <row r="5" spans="1:10" x14ac:dyDescent="0.2">
      <c r="A5" s="17" t="s">
        <v>22</v>
      </c>
      <c r="B5" s="18">
        <v>46029</v>
      </c>
      <c r="C5" s="17" t="s">
        <v>11</v>
      </c>
      <c r="D5" s="17" t="s">
        <v>16</v>
      </c>
      <c r="E5" s="17" t="s">
        <v>23</v>
      </c>
      <c r="F5" s="17" t="s">
        <v>14</v>
      </c>
      <c r="G5" s="19">
        <v>177815</v>
      </c>
      <c r="H5" s="19">
        <v>153000</v>
      </c>
      <c r="I5" s="19">
        <f t="shared" si="0"/>
        <v>-24815</v>
      </c>
      <c r="J5" s="20">
        <f t="shared" si="1"/>
        <v>-0.13955515563928803</v>
      </c>
    </row>
    <row r="6" spans="1:10" x14ac:dyDescent="0.2">
      <c r="A6" s="17" t="s">
        <v>24</v>
      </c>
      <c r="B6" s="18">
        <v>46048</v>
      </c>
      <c r="C6" s="17" t="s">
        <v>11</v>
      </c>
      <c r="D6" s="17" t="s">
        <v>25</v>
      </c>
      <c r="E6" s="17" t="s">
        <v>26</v>
      </c>
      <c r="F6" s="17" t="s">
        <v>27</v>
      </c>
      <c r="G6" s="19">
        <v>137757</v>
      </c>
      <c r="H6" s="19">
        <v>149600</v>
      </c>
      <c r="I6" s="19">
        <f t="shared" si="0"/>
        <v>11843</v>
      </c>
      <c r="J6" s="20">
        <f t="shared" si="1"/>
        <v>8.5970222928780385E-2</v>
      </c>
    </row>
    <row r="7" spans="1:10" x14ac:dyDescent="0.2">
      <c r="A7" s="17" t="s">
        <v>28</v>
      </c>
      <c r="B7" s="18">
        <v>46029</v>
      </c>
      <c r="C7" s="17" t="s">
        <v>11</v>
      </c>
      <c r="D7" s="17" t="s">
        <v>12</v>
      </c>
      <c r="E7" s="17" t="s">
        <v>17</v>
      </c>
      <c r="F7" s="17" t="s">
        <v>29</v>
      </c>
      <c r="G7" s="19">
        <v>109194</v>
      </c>
      <c r="H7" s="19">
        <v>105000</v>
      </c>
      <c r="I7" s="19">
        <f t="shared" si="0"/>
        <v>-4194</v>
      </c>
      <c r="J7" s="20">
        <f t="shared" si="1"/>
        <v>-3.840870377493269E-2</v>
      </c>
    </row>
    <row r="8" spans="1:10" x14ac:dyDescent="0.2">
      <c r="A8" s="17" t="s">
        <v>30</v>
      </c>
      <c r="B8" s="18">
        <v>46050</v>
      </c>
      <c r="C8" s="17" t="s">
        <v>11</v>
      </c>
      <c r="D8" s="17" t="s">
        <v>12</v>
      </c>
      <c r="E8" s="17" t="s">
        <v>31</v>
      </c>
      <c r="F8" s="17" t="s">
        <v>32</v>
      </c>
      <c r="G8" s="19">
        <v>119595</v>
      </c>
      <c r="H8" s="19">
        <v>106300</v>
      </c>
      <c r="I8" s="19">
        <f t="shared" si="0"/>
        <v>-13295</v>
      </c>
      <c r="J8" s="20">
        <f t="shared" si="1"/>
        <v>-0.11116685480162214</v>
      </c>
    </row>
    <row r="9" spans="1:10" x14ac:dyDescent="0.2">
      <c r="A9" s="17" t="s">
        <v>33</v>
      </c>
      <c r="B9" s="18">
        <v>46035</v>
      </c>
      <c r="C9" s="17" t="s">
        <v>11</v>
      </c>
      <c r="D9" s="17" t="s">
        <v>25</v>
      </c>
      <c r="E9" s="17" t="s">
        <v>31</v>
      </c>
      <c r="F9" s="17" t="s">
        <v>18</v>
      </c>
      <c r="G9" s="19">
        <v>140435</v>
      </c>
      <c r="H9" s="19">
        <v>149500</v>
      </c>
      <c r="I9" s="19">
        <f t="shared" si="0"/>
        <v>9065</v>
      </c>
      <c r="J9" s="20">
        <f t="shared" si="1"/>
        <v>6.4549435681988107E-2</v>
      </c>
    </row>
    <row r="10" spans="1:10" x14ac:dyDescent="0.2">
      <c r="A10" s="17" t="s">
        <v>34</v>
      </c>
      <c r="B10" s="18">
        <v>46045</v>
      </c>
      <c r="C10" s="17" t="s">
        <v>11</v>
      </c>
      <c r="D10" s="17" t="s">
        <v>25</v>
      </c>
      <c r="E10" s="17" t="s">
        <v>35</v>
      </c>
      <c r="F10" s="17" t="s">
        <v>14</v>
      </c>
      <c r="G10" s="19">
        <v>114800</v>
      </c>
      <c r="H10" s="19">
        <v>124100</v>
      </c>
      <c r="I10" s="19">
        <f t="shared" si="0"/>
        <v>9300</v>
      </c>
      <c r="J10" s="20">
        <f t="shared" si="1"/>
        <v>8.1010452961672474E-2</v>
      </c>
    </row>
    <row r="11" spans="1:10" x14ac:dyDescent="0.2">
      <c r="A11" s="17" t="s">
        <v>36</v>
      </c>
      <c r="B11" s="18">
        <v>46050</v>
      </c>
      <c r="C11" s="17" t="s">
        <v>11</v>
      </c>
      <c r="D11" s="17" t="s">
        <v>20</v>
      </c>
      <c r="E11" s="17" t="s">
        <v>17</v>
      </c>
      <c r="F11" s="17" t="s">
        <v>27</v>
      </c>
      <c r="G11" s="19">
        <v>95861</v>
      </c>
      <c r="H11" s="19">
        <v>119300</v>
      </c>
      <c r="I11" s="19">
        <f t="shared" si="0"/>
        <v>23439</v>
      </c>
      <c r="J11" s="20">
        <f t="shared" si="1"/>
        <v>0.24451028051032223</v>
      </c>
    </row>
    <row r="12" spans="1:10" x14ac:dyDescent="0.2">
      <c r="A12" s="17" t="s">
        <v>37</v>
      </c>
      <c r="B12" s="18">
        <v>46049</v>
      </c>
      <c r="C12" s="17" t="s">
        <v>11</v>
      </c>
      <c r="D12" s="17" t="s">
        <v>12</v>
      </c>
      <c r="E12" s="17" t="s">
        <v>26</v>
      </c>
      <c r="F12" s="17" t="s">
        <v>38</v>
      </c>
      <c r="G12" s="19">
        <v>92869</v>
      </c>
      <c r="H12" s="19">
        <v>95800</v>
      </c>
      <c r="I12" s="19">
        <f t="shared" si="0"/>
        <v>2931</v>
      </c>
      <c r="J12" s="20">
        <f t="shared" si="1"/>
        <v>3.1560585340641122E-2</v>
      </c>
    </row>
    <row r="13" spans="1:10" x14ac:dyDescent="0.2">
      <c r="A13" s="17" t="s">
        <v>39</v>
      </c>
      <c r="B13" s="18">
        <v>46031</v>
      </c>
      <c r="C13" s="17" t="s">
        <v>11</v>
      </c>
      <c r="D13" s="17" t="s">
        <v>16</v>
      </c>
      <c r="E13" s="17" t="s">
        <v>17</v>
      </c>
      <c r="F13" s="17" t="s">
        <v>18</v>
      </c>
      <c r="G13" s="19">
        <v>113132</v>
      </c>
      <c r="H13" s="19">
        <v>105600</v>
      </c>
      <c r="I13" s="19">
        <f t="shared" si="0"/>
        <v>-7532</v>
      </c>
      <c r="J13" s="20">
        <f t="shared" si="1"/>
        <v>-6.6577095781918463E-2</v>
      </c>
    </row>
    <row r="14" spans="1:10" x14ac:dyDescent="0.2">
      <c r="A14" s="17" t="s">
        <v>40</v>
      </c>
      <c r="B14" s="18">
        <v>46046</v>
      </c>
      <c r="C14" s="17" t="s">
        <v>11</v>
      </c>
      <c r="D14" s="17" t="s">
        <v>20</v>
      </c>
      <c r="E14" s="17" t="s">
        <v>26</v>
      </c>
      <c r="F14" s="17" t="s">
        <v>41</v>
      </c>
      <c r="G14" s="19">
        <v>186455</v>
      </c>
      <c r="H14" s="19">
        <v>171300</v>
      </c>
      <c r="I14" s="19">
        <f t="shared" si="0"/>
        <v>-15155</v>
      </c>
      <c r="J14" s="20">
        <f t="shared" si="1"/>
        <v>-8.1279665334799286E-2</v>
      </c>
    </row>
    <row r="15" spans="1:10" x14ac:dyDescent="0.2">
      <c r="A15" s="17" t="s">
        <v>42</v>
      </c>
      <c r="B15" s="18">
        <v>46043</v>
      </c>
      <c r="C15" s="17" t="s">
        <v>11</v>
      </c>
      <c r="D15" s="17" t="s">
        <v>16</v>
      </c>
      <c r="E15" s="17" t="s">
        <v>13</v>
      </c>
      <c r="F15" s="17" t="s">
        <v>38</v>
      </c>
      <c r="G15" s="19">
        <v>119471</v>
      </c>
      <c r="H15" s="19">
        <v>114500</v>
      </c>
      <c r="I15" s="19">
        <f t="shared" si="0"/>
        <v>-4971</v>
      </c>
      <c r="J15" s="20">
        <f t="shared" si="1"/>
        <v>-4.160842380159202E-2</v>
      </c>
    </row>
    <row r="16" spans="1:10" x14ac:dyDescent="0.2">
      <c r="A16" s="17" t="s">
        <v>43</v>
      </c>
      <c r="B16" s="18">
        <v>46024</v>
      </c>
      <c r="C16" s="17" t="s">
        <v>11</v>
      </c>
      <c r="D16" s="17" t="s">
        <v>12</v>
      </c>
      <c r="E16" s="17" t="s">
        <v>23</v>
      </c>
      <c r="F16" s="17" t="s">
        <v>44</v>
      </c>
      <c r="G16" s="19">
        <v>34663</v>
      </c>
      <c r="H16" s="19">
        <v>32600</v>
      </c>
      <c r="I16" s="19">
        <f t="shared" si="0"/>
        <v>-2063</v>
      </c>
      <c r="J16" s="20">
        <f t="shared" si="1"/>
        <v>-5.9515910336670225E-2</v>
      </c>
    </row>
    <row r="17" spans="1:10" x14ac:dyDescent="0.2">
      <c r="A17" s="17" t="s">
        <v>45</v>
      </c>
      <c r="B17" s="18">
        <v>46041</v>
      </c>
      <c r="C17" s="17" t="s">
        <v>11</v>
      </c>
      <c r="D17" s="17" t="s">
        <v>16</v>
      </c>
      <c r="E17" s="17" t="s">
        <v>46</v>
      </c>
      <c r="F17" s="17" t="s">
        <v>14</v>
      </c>
      <c r="G17" s="19">
        <v>37350</v>
      </c>
      <c r="H17" s="19">
        <v>34900</v>
      </c>
      <c r="I17" s="19">
        <f t="shared" si="0"/>
        <v>-2450</v>
      </c>
      <c r="J17" s="20">
        <f t="shared" si="1"/>
        <v>-6.5595716198125834E-2</v>
      </c>
    </row>
    <row r="18" spans="1:10" x14ac:dyDescent="0.2">
      <c r="A18" s="17" t="s">
        <v>47</v>
      </c>
      <c r="B18" s="18">
        <v>46043</v>
      </c>
      <c r="C18" s="17" t="s">
        <v>11</v>
      </c>
      <c r="D18" s="17" t="s">
        <v>13</v>
      </c>
      <c r="E18" s="17" t="s">
        <v>26</v>
      </c>
      <c r="F18" s="17" t="s">
        <v>44</v>
      </c>
      <c r="G18" s="19">
        <v>191819</v>
      </c>
      <c r="H18" s="19">
        <v>201400</v>
      </c>
      <c r="I18" s="19">
        <f t="shared" si="0"/>
        <v>9581</v>
      </c>
      <c r="J18" s="20">
        <f t="shared" si="1"/>
        <v>4.9948128183339505E-2</v>
      </c>
    </row>
    <row r="19" spans="1:10" x14ac:dyDescent="0.2">
      <c r="A19" s="17" t="s">
        <v>48</v>
      </c>
      <c r="B19" s="18">
        <v>46040</v>
      </c>
      <c r="C19" s="17" t="s">
        <v>11</v>
      </c>
      <c r="D19" s="17" t="s">
        <v>49</v>
      </c>
      <c r="E19" s="17" t="s">
        <v>31</v>
      </c>
      <c r="F19" s="17" t="s">
        <v>18</v>
      </c>
      <c r="G19" s="19">
        <v>56603</v>
      </c>
      <c r="H19" s="19">
        <v>53700</v>
      </c>
      <c r="I19" s="19">
        <f t="shared" si="0"/>
        <v>-2903</v>
      </c>
      <c r="J19" s="20">
        <f t="shared" si="1"/>
        <v>-5.1287034256134831E-2</v>
      </c>
    </row>
    <row r="20" spans="1:10" x14ac:dyDescent="0.2">
      <c r="A20" s="17" t="s">
        <v>50</v>
      </c>
      <c r="B20" s="18">
        <v>46035</v>
      </c>
      <c r="C20" s="17" t="s">
        <v>11</v>
      </c>
      <c r="D20" s="17" t="s">
        <v>12</v>
      </c>
      <c r="E20" s="17" t="s">
        <v>13</v>
      </c>
      <c r="F20" s="17" t="s">
        <v>51</v>
      </c>
      <c r="G20" s="19">
        <v>132311</v>
      </c>
      <c r="H20" s="19">
        <v>160000</v>
      </c>
      <c r="I20" s="19">
        <f t="shared" si="0"/>
        <v>27689</v>
      </c>
      <c r="J20" s="20">
        <f t="shared" si="1"/>
        <v>0.20927209377905087</v>
      </c>
    </row>
    <row r="21" spans="1:10" x14ac:dyDescent="0.2">
      <c r="A21" s="17" t="s">
        <v>52</v>
      </c>
      <c r="B21" s="18">
        <v>46047</v>
      </c>
      <c r="C21" s="17" t="s">
        <v>11</v>
      </c>
      <c r="D21" s="17" t="s">
        <v>25</v>
      </c>
      <c r="E21" s="17" t="s">
        <v>17</v>
      </c>
      <c r="F21" s="17" t="s">
        <v>51</v>
      </c>
      <c r="G21" s="19">
        <v>153569</v>
      </c>
      <c r="H21" s="19">
        <v>160800</v>
      </c>
      <c r="I21" s="19">
        <f t="shared" si="0"/>
        <v>7231</v>
      </c>
      <c r="J21" s="20">
        <f t="shared" si="1"/>
        <v>4.7086326016318396E-2</v>
      </c>
    </row>
    <row r="22" spans="1:10" x14ac:dyDescent="0.2">
      <c r="A22" s="17" t="s">
        <v>53</v>
      </c>
      <c r="B22" s="18">
        <v>46044</v>
      </c>
      <c r="C22" s="17" t="s">
        <v>11</v>
      </c>
      <c r="D22" s="17" t="s">
        <v>13</v>
      </c>
      <c r="E22" s="17" t="s">
        <v>17</v>
      </c>
      <c r="F22" s="17" t="s">
        <v>27</v>
      </c>
      <c r="G22" s="19">
        <v>184481</v>
      </c>
      <c r="H22" s="19">
        <v>168600</v>
      </c>
      <c r="I22" s="19">
        <f t="shared" si="0"/>
        <v>-15881</v>
      </c>
      <c r="J22" s="20">
        <f t="shared" si="1"/>
        <v>-8.6084745854586656E-2</v>
      </c>
    </row>
    <row r="23" spans="1:10" x14ac:dyDescent="0.2">
      <c r="A23" s="17" t="s">
        <v>54</v>
      </c>
      <c r="B23" s="18">
        <v>46037</v>
      </c>
      <c r="C23" s="17" t="s">
        <v>11</v>
      </c>
      <c r="D23" s="17" t="s">
        <v>49</v>
      </c>
      <c r="E23" s="17" t="s">
        <v>31</v>
      </c>
      <c r="F23" s="17" t="s">
        <v>21</v>
      </c>
      <c r="G23" s="19">
        <v>120039</v>
      </c>
      <c r="H23" s="19">
        <v>130600</v>
      </c>
      <c r="I23" s="19">
        <f t="shared" si="0"/>
        <v>10561</v>
      </c>
      <c r="J23" s="20">
        <f t="shared" si="1"/>
        <v>8.7979739917860025E-2</v>
      </c>
    </row>
    <row r="24" spans="1:10" x14ac:dyDescent="0.2">
      <c r="A24" s="17" t="s">
        <v>55</v>
      </c>
      <c r="B24" s="18">
        <v>46026</v>
      </c>
      <c r="C24" s="17" t="s">
        <v>11</v>
      </c>
      <c r="D24" s="17" t="s">
        <v>16</v>
      </c>
      <c r="E24" s="17" t="s">
        <v>31</v>
      </c>
      <c r="F24" s="17" t="s">
        <v>38</v>
      </c>
      <c r="G24" s="19">
        <v>23009</v>
      </c>
      <c r="H24" s="19">
        <v>25800</v>
      </c>
      <c r="I24" s="19">
        <f t="shared" si="0"/>
        <v>2791</v>
      </c>
      <c r="J24" s="20">
        <f t="shared" si="1"/>
        <v>0.12130036072841062</v>
      </c>
    </row>
    <row r="25" spans="1:10" x14ac:dyDescent="0.2">
      <c r="A25" s="17" t="s">
        <v>56</v>
      </c>
      <c r="B25" s="18">
        <v>46028</v>
      </c>
      <c r="C25" s="17" t="s">
        <v>11</v>
      </c>
      <c r="D25" s="17" t="s">
        <v>13</v>
      </c>
      <c r="E25" s="17" t="s">
        <v>35</v>
      </c>
      <c r="F25" s="17" t="s">
        <v>44</v>
      </c>
      <c r="G25" s="19">
        <v>49242</v>
      </c>
      <c r="H25" s="19">
        <v>47600</v>
      </c>
      <c r="I25" s="19">
        <f t="shared" si="0"/>
        <v>-1642</v>
      </c>
      <c r="J25" s="20">
        <f t="shared" si="1"/>
        <v>-3.3345518053693998E-2</v>
      </c>
    </row>
    <row r="26" spans="1:10" x14ac:dyDescent="0.2">
      <c r="A26" s="17" t="s">
        <v>57</v>
      </c>
      <c r="B26" s="18">
        <v>46039</v>
      </c>
      <c r="C26" s="17" t="s">
        <v>11</v>
      </c>
      <c r="D26" s="17" t="s">
        <v>25</v>
      </c>
      <c r="E26" s="17" t="s">
        <v>31</v>
      </c>
      <c r="F26" s="17" t="s">
        <v>21</v>
      </c>
      <c r="G26" s="19">
        <v>151225</v>
      </c>
      <c r="H26" s="19">
        <v>174600</v>
      </c>
      <c r="I26" s="19">
        <f t="shared" si="0"/>
        <v>23375</v>
      </c>
      <c r="J26" s="20">
        <f t="shared" si="1"/>
        <v>0.15457100347164821</v>
      </c>
    </row>
    <row r="27" spans="1:10" x14ac:dyDescent="0.2">
      <c r="A27" s="17" t="s">
        <v>58</v>
      </c>
      <c r="B27" s="18">
        <v>46034</v>
      </c>
      <c r="C27" s="17" t="s">
        <v>11</v>
      </c>
      <c r="D27" s="17" t="s">
        <v>20</v>
      </c>
      <c r="E27" s="17" t="s">
        <v>35</v>
      </c>
      <c r="F27" s="17" t="s">
        <v>18</v>
      </c>
      <c r="G27" s="19">
        <v>179637</v>
      </c>
      <c r="H27" s="19">
        <v>167000</v>
      </c>
      <c r="I27" s="19">
        <f t="shared" si="0"/>
        <v>-12637</v>
      </c>
      <c r="J27" s="20">
        <f t="shared" si="1"/>
        <v>-7.0347422858319839E-2</v>
      </c>
    </row>
    <row r="28" spans="1:10" x14ac:dyDescent="0.2">
      <c r="A28" s="17" t="s">
        <v>59</v>
      </c>
      <c r="B28" s="18">
        <v>46026</v>
      </c>
      <c r="C28" s="17" t="s">
        <v>11</v>
      </c>
      <c r="D28" s="17" t="s">
        <v>12</v>
      </c>
      <c r="E28" s="17" t="s">
        <v>31</v>
      </c>
      <c r="F28" s="17" t="s">
        <v>14</v>
      </c>
      <c r="G28" s="19">
        <v>104975</v>
      </c>
      <c r="H28" s="19">
        <v>109700</v>
      </c>
      <c r="I28" s="19">
        <f t="shared" si="0"/>
        <v>4725</v>
      </c>
      <c r="J28" s="20">
        <f t="shared" si="1"/>
        <v>4.5010716837342223E-2</v>
      </c>
    </row>
    <row r="29" spans="1:10" x14ac:dyDescent="0.2">
      <c r="A29" s="17" t="s">
        <v>60</v>
      </c>
      <c r="B29" s="18">
        <v>46041</v>
      </c>
      <c r="C29" s="17" t="s">
        <v>11</v>
      </c>
      <c r="D29" s="17" t="s">
        <v>25</v>
      </c>
      <c r="E29" s="17" t="s">
        <v>17</v>
      </c>
      <c r="F29" s="17" t="s">
        <v>41</v>
      </c>
      <c r="G29" s="19">
        <v>35184</v>
      </c>
      <c r="H29" s="19">
        <v>33300</v>
      </c>
      <c r="I29" s="19">
        <f t="shared" si="0"/>
        <v>-1884</v>
      </c>
      <c r="J29" s="20">
        <f t="shared" si="1"/>
        <v>-5.3547066848567533E-2</v>
      </c>
    </row>
    <row r="30" spans="1:10" x14ac:dyDescent="0.2">
      <c r="A30" s="17" t="s">
        <v>61</v>
      </c>
      <c r="B30" s="18">
        <v>46040</v>
      </c>
      <c r="C30" s="17" t="s">
        <v>11</v>
      </c>
      <c r="D30" s="17" t="s">
        <v>20</v>
      </c>
      <c r="E30" s="17" t="s">
        <v>26</v>
      </c>
      <c r="F30" s="17" t="s">
        <v>41</v>
      </c>
      <c r="G30" s="19">
        <v>38143</v>
      </c>
      <c r="H30" s="19">
        <v>47300</v>
      </c>
      <c r="I30" s="19">
        <f t="shared" si="0"/>
        <v>9157</v>
      </c>
      <c r="J30" s="20">
        <f t="shared" si="1"/>
        <v>0.24007026190913142</v>
      </c>
    </row>
    <row r="31" spans="1:10" x14ac:dyDescent="0.2">
      <c r="A31" s="17" t="s">
        <v>62</v>
      </c>
      <c r="B31" s="18">
        <v>46039</v>
      </c>
      <c r="C31" s="17" t="s">
        <v>11</v>
      </c>
      <c r="D31" s="17" t="s">
        <v>49</v>
      </c>
      <c r="E31" s="17" t="s">
        <v>23</v>
      </c>
      <c r="F31" s="17" t="s">
        <v>14</v>
      </c>
      <c r="G31" s="19">
        <v>164127</v>
      </c>
      <c r="H31" s="19">
        <v>150300</v>
      </c>
      <c r="I31" s="19">
        <f t="shared" si="0"/>
        <v>-13827</v>
      </c>
      <c r="J31" s="20">
        <f t="shared" si="1"/>
        <v>-8.4245736533294341E-2</v>
      </c>
    </row>
    <row r="32" spans="1:10" x14ac:dyDescent="0.2">
      <c r="A32" s="17" t="s">
        <v>63</v>
      </c>
      <c r="B32" s="18">
        <v>46045</v>
      </c>
      <c r="C32" s="17" t="s">
        <v>11</v>
      </c>
      <c r="D32" s="17" t="s">
        <v>20</v>
      </c>
      <c r="E32" s="17" t="s">
        <v>31</v>
      </c>
      <c r="F32" s="17" t="s">
        <v>27</v>
      </c>
      <c r="G32" s="19">
        <v>161373</v>
      </c>
      <c r="H32" s="19">
        <v>185900</v>
      </c>
      <c r="I32" s="19">
        <f t="shared" si="0"/>
        <v>24527</v>
      </c>
      <c r="J32" s="20">
        <f t="shared" si="1"/>
        <v>0.15198949018732996</v>
      </c>
    </row>
    <row r="33" spans="1:10" x14ac:dyDescent="0.2">
      <c r="A33" s="17" t="s">
        <v>64</v>
      </c>
      <c r="B33" s="18">
        <v>46037</v>
      </c>
      <c r="C33" s="17" t="s">
        <v>11</v>
      </c>
      <c r="D33" s="17" t="s">
        <v>49</v>
      </c>
      <c r="E33" s="17" t="s">
        <v>65</v>
      </c>
      <c r="F33" s="17" t="s">
        <v>29</v>
      </c>
      <c r="G33" s="19">
        <v>196078</v>
      </c>
      <c r="H33" s="19">
        <v>217600</v>
      </c>
      <c r="I33" s="19">
        <f t="shared" si="0"/>
        <v>21522</v>
      </c>
      <c r="J33" s="20">
        <f t="shared" si="1"/>
        <v>0.10976244147737126</v>
      </c>
    </row>
    <row r="34" spans="1:10" x14ac:dyDescent="0.2">
      <c r="A34" s="17" t="s">
        <v>66</v>
      </c>
      <c r="B34" s="18">
        <v>46033</v>
      </c>
      <c r="C34" s="17" t="s">
        <v>11</v>
      </c>
      <c r="D34" s="17" t="s">
        <v>25</v>
      </c>
      <c r="E34" s="17" t="s">
        <v>13</v>
      </c>
      <c r="F34" s="17" t="s">
        <v>18</v>
      </c>
      <c r="G34" s="19">
        <v>84986</v>
      </c>
      <c r="H34" s="19">
        <v>79900</v>
      </c>
      <c r="I34" s="19">
        <f t="shared" si="0"/>
        <v>-5086</v>
      </c>
      <c r="J34" s="20">
        <f t="shared" si="1"/>
        <v>-5.9845150966041469E-2</v>
      </c>
    </row>
    <row r="35" spans="1:10" x14ac:dyDescent="0.2">
      <c r="A35" s="17" t="s">
        <v>67</v>
      </c>
      <c r="B35" s="18">
        <v>46045</v>
      </c>
      <c r="C35" s="17" t="s">
        <v>11</v>
      </c>
      <c r="D35" s="17" t="s">
        <v>16</v>
      </c>
      <c r="E35" s="17" t="s">
        <v>35</v>
      </c>
      <c r="F35" s="17" t="s">
        <v>14</v>
      </c>
      <c r="G35" s="19">
        <v>77728</v>
      </c>
      <c r="H35" s="19">
        <v>66300</v>
      </c>
      <c r="I35" s="19">
        <f t="shared" si="0"/>
        <v>-11428</v>
      </c>
      <c r="J35" s="20">
        <f t="shared" si="1"/>
        <v>-0.14702552490736928</v>
      </c>
    </row>
    <row r="36" spans="1:10" x14ac:dyDescent="0.2">
      <c r="A36" s="17" t="s">
        <v>68</v>
      </c>
      <c r="B36" s="18">
        <v>46050</v>
      </c>
      <c r="C36" s="17" t="s">
        <v>11</v>
      </c>
      <c r="D36" s="17" t="s">
        <v>12</v>
      </c>
      <c r="E36" s="17" t="s">
        <v>17</v>
      </c>
      <c r="F36" s="17" t="s">
        <v>21</v>
      </c>
      <c r="G36" s="19">
        <v>37668</v>
      </c>
      <c r="H36" s="19">
        <v>45700</v>
      </c>
      <c r="I36" s="19">
        <f t="shared" si="0"/>
        <v>8032</v>
      </c>
      <c r="J36" s="20">
        <f t="shared" si="1"/>
        <v>0.21323139003929065</v>
      </c>
    </row>
    <row r="37" spans="1:10" x14ac:dyDescent="0.2">
      <c r="A37" s="17" t="s">
        <v>69</v>
      </c>
      <c r="B37" s="18">
        <v>46038</v>
      </c>
      <c r="C37" s="17" t="s">
        <v>11</v>
      </c>
      <c r="D37" s="17" t="s">
        <v>20</v>
      </c>
      <c r="E37" s="17" t="s">
        <v>26</v>
      </c>
      <c r="F37" s="17" t="s">
        <v>18</v>
      </c>
      <c r="G37" s="19">
        <v>82391</v>
      </c>
      <c r="H37" s="19">
        <v>79200</v>
      </c>
      <c r="I37" s="19">
        <f t="shared" si="0"/>
        <v>-3191</v>
      </c>
      <c r="J37" s="20">
        <f t="shared" si="1"/>
        <v>-3.8729958369239356E-2</v>
      </c>
    </row>
    <row r="38" spans="1:10" x14ac:dyDescent="0.2">
      <c r="A38" s="17" t="s">
        <v>70</v>
      </c>
      <c r="B38" s="18">
        <v>46048</v>
      </c>
      <c r="C38" s="17" t="s">
        <v>11</v>
      </c>
      <c r="D38" s="17" t="s">
        <v>13</v>
      </c>
      <c r="E38" s="17" t="s">
        <v>23</v>
      </c>
      <c r="F38" s="17" t="s">
        <v>14</v>
      </c>
      <c r="G38" s="19">
        <v>171050</v>
      </c>
      <c r="H38" s="19">
        <v>177700</v>
      </c>
      <c r="I38" s="19">
        <f t="shared" si="0"/>
        <v>6650</v>
      </c>
      <c r="J38" s="20">
        <f t="shared" si="1"/>
        <v>3.8877521192633734E-2</v>
      </c>
    </row>
    <row r="39" spans="1:10" x14ac:dyDescent="0.2">
      <c r="A39" s="17" t="s">
        <v>71</v>
      </c>
      <c r="B39" s="18">
        <v>46036</v>
      </c>
      <c r="C39" s="17" t="s">
        <v>11</v>
      </c>
      <c r="D39" s="17" t="s">
        <v>12</v>
      </c>
      <c r="E39" s="17" t="s">
        <v>23</v>
      </c>
      <c r="F39" s="17" t="s">
        <v>27</v>
      </c>
      <c r="G39" s="19">
        <v>44726</v>
      </c>
      <c r="H39" s="19">
        <v>39800</v>
      </c>
      <c r="I39" s="19">
        <f t="shared" si="0"/>
        <v>-4926</v>
      </c>
      <c r="J39" s="20">
        <f t="shared" si="1"/>
        <v>-0.11013728032911506</v>
      </c>
    </row>
    <row r="40" spans="1:10" x14ac:dyDescent="0.2">
      <c r="A40" s="17" t="s">
        <v>72</v>
      </c>
      <c r="B40" s="18">
        <v>46024</v>
      </c>
      <c r="C40" s="17" t="s">
        <v>11</v>
      </c>
      <c r="D40" s="17" t="s">
        <v>16</v>
      </c>
      <c r="E40" s="17" t="s">
        <v>17</v>
      </c>
      <c r="F40" s="17" t="s">
        <v>32</v>
      </c>
      <c r="G40" s="19">
        <v>142427</v>
      </c>
      <c r="H40" s="19">
        <v>170300</v>
      </c>
      <c r="I40" s="19">
        <f t="shared" si="0"/>
        <v>27873</v>
      </c>
      <c r="J40" s="20">
        <f t="shared" si="1"/>
        <v>0.19570025346317763</v>
      </c>
    </row>
    <row r="41" spans="1:10" x14ac:dyDescent="0.2">
      <c r="A41" s="17" t="s">
        <v>73</v>
      </c>
      <c r="B41" s="18">
        <v>46048</v>
      </c>
      <c r="C41" s="17" t="s">
        <v>11</v>
      </c>
      <c r="D41" s="17" t="s">
        <v>25</v>
      </c>
      <c r="E41" s="17" t="s">
        <v>13</v>
      </c>
      <c r="F41" s="17" t="s">
        <v>14</v>
      </c>
      <c r="G41" s="19">
        <v>125544</v>
      </c>
      <c r="H41" s="19">
        <v>143300</v>
      </c>
      <c r="I41" s="19">
        <f t="shared" si="0"/>
        <v>17756</v>
      </c>
      <c r="J41" s="20">
        <f t="shared" si="1"/>
        <v>0.14143248582170395</v>
      </c>
    </row>
    <row r="42" spans="1:10" x14ac:dyDescent="0.2">
      <c r="A42" s="17" t="s">
        <v>74</v>
      </c>
      <c r="B42" s="18">
        <v>46027</v>
      </c>
      <c r="C42" s="17" t="s">
        <v>11</v>
      </c>
      <c r="D42" s="17" t="s">
        <v>13</v>
      </c>
      <c r="E42" s="17" t="s">
        <v>26</v>
      </c>
      <c r="F42" s="17" t="s">
        <v>44</v>
      </c>
      <c r="G42" s="19">
        <v>69862</v>
      </c>
      <c r="H42" s="19">
        <v>74400</v>
      </c>
      <c r="I42" s="19">
        <f t="shared" si="0"/>
        <v>4538</v>
      </c>
      <c r="J42" s="20">
        <f t="shared" si="1"/>
        <v>6.4956628782456838E-2</v>
      </c>
    </row>
    <row r="43" spans="1:10" x14ac:dyDescent="0.2">
      <c r="A43" s="17" t="s">
        <v>75</v>
      </c>
      <c r="B43" s="18">
        <v>46025</v>
      </c>
      <c r="C43" s="17" t="s">
        <v>11</v>
      </c>
      <c r="D43" s="17" t="s">
        <v>13</v>
      </c>
      <c r="E43" s="17" t="s">
        <v>17</v>
      </c>
      <c r="F43" s="17" t="s">
        <v>32</v>
      </c>
      <c r="G43" s="19">
        <v>141275</v>
      </c>
      <c r="H43" s="19">
        <v>134200</v>
      </c>
      <c r="I43" s="19">
        <f t="shared" si="0"/>
        <v>-7075</v>
      </c>
      <c r="J43" s="20">
        <f t="shared" si="1"/>
        <v>-5.0079631923553351E-2</v>
      </c>
    </row>
    <row r="44" spans="1:10" x14ac:dyDescent="0.2">
      <c r="A44" s="17" t="s">
        <v>76</v>
      </c>
      <c r="B44" s="18">
        <v>46049</v>
      </c>
      <c r="C44" s="17" t="s">
        <v>11</v>
      </c>
      <c r="D44" s="17" t="s">
        <v>25</v>
      </c>
      <c r="E44" s="17" t="s">
        <v>17</v>
      </c>
      <c r="F44" s="17" t="s">
        <v>14</v>
      </c>
      <c r="G44" s="19">
        <v>190955</v>
      </c>
      <c r="H44" s="19">
        <v>238600</v>
      </c>
      <c r="I44" s="19">
        <f t="shared" si="0"/>
        <v>47645</v>
      </c>
      <c r="J44" s="20">
        <f t="shared" si="1"/>
        <v>0.24950904663402373</v>
      </c>
    </row>
    <row r="45" spans="1:10" x14ac:dyDescent="0.2">
      <c r="A45" s="17" t="s">
        <v>77</v>
      </c>
      <c r="B45" s="18">
        <v>46038</v>
      </c>
      <c r="C45" s="17" t="s">
        <v>11</v>
      </c>
      <c r="D45" s="17" t="s">
        <v>20</v>
      </c>
      <c r="E45" s="17" t="s">
        <v>23</v>
      </c>
      <c r="F45" s="17" t="s">
        <v>32</v>
      </c>
      <c r="G45" s="19">
        <v>63597</v>
      </c>
      <c r="H45" s="19">
        <v>64400</v>
      </c>
      <c r="I45" s="19">
        <f t="shared" si="0"/>
        <v>803</v>
      </c>
      <c r="J45" s="20">
        <f t="shared" si="1"/>
        <v>1.2626381747566709E-2</v>
      </c>
    </row>
    <row r="46" spans="1:10" x14ac:dyDescent="0.2">
      <c r="A46" s="17" t="s">
        <v>78</v>
      </c>
      <c r="B46" s="18">
        <v>46035</v>
      </c>
      <c r="C46" s="17" t="s">
        <v>11</v>
      </c>
      <c r="D46" s="17" t="s">
        <v>12</v>
      </c>
      <c r="E46" s="17" t="s">
        <v>65</v>
      </c>
      <c r="F46" s="17" t="s">
        <v>44</v>
      </c>
      <c r="G46" s="19">
        <v>63158</v>
      </c>
      <c r="H46" s="19">
        <v>63300</v>
      </c>
      <c r="I46" s="19">
        <f t="shared" si="0"/>
        <v>142</v>
      </c>
      <c r="J46" s="20">
        <f t="shared" si="1"/>
        <v>2.2483295861173563E-3</v>
      </c>
    </row>
    <row r="47" spans="1:10" x14ac:dyDescent="0.2">
      <c r="A47" s="17" t="s">
        <v>79</v>
      </c>
      <c r="B47" s="18">
        <v>46046</v>
      </c>
      <c r="C47" s="17" t="s">
        <v>11</v>
      </c>
      <c r="D47" s="17" t="s">
        <v>49</v>
      </c>
      <c r="E47" s="17" t="s">
        <v>65</v>
      </c>
      <c r="F47" s="17" t="s">
        <v>51</v>
      </c>
      <c r="G47" s="19">
        <v>130888</v>
      </c>
      <c r="H47" s="19">
        <v>147700</v>
      </c>
      <c r="I47" s="19">
        <f t="shared" si="0"/>
        <v>16812</v>
      </c>
      <c r="J47" s="20">
        <f t="shared" si="1"/>
        <v>0.12844569402848235</v>
      </c>
    </row>
    <row r="48" spans="1:10" x14ac:dyDescent="0.2">
      <c r="A48" s="17" t="s">
        <v>80</v>
      </c>
      <c r="B48" s="18">
        <v>46024</v>
      </c>
      <c r="C48" s="17" t="s">
        <v>11</v>
      </c>
      <c r="D48" s="17" t="s">
        <v>49</v>
      </c>
      <c r="E48" s="17" t="s">
        <v>35</v>
      </c>
      <c r="F48" s="17" t="s">
        <v>38</v>
      </c>
      <c r="G48" s="19">
        <v>69780</v>
      </c>
      <c r="H48" s="19">
        <v>67600</v>
      </c>
      <c r="I48" s="19">
        <f t="shared" si="0"/>
        <v>-2180</v>
      </c>
      <c r="J48" s="20">
        <f t="shared" si="1"/>
        <v>-3.124104327887647E-2</v>
      </c>
    </row>
    <row r="49" spans="1:10" x14ac:dyDescent="0.2">
      <c r="A49" s="17" t="s">
        <v>81</v>
      </c>
      <c r="B49" s="18">
        <v>46038</v>
      </c>
      <c r="C49" s="17" t="s">
        <v>11</v>
      </c>
      <c r="D49" s="17" t="s">
        <v>49</v>
      </c>
      <c r="E49" s="17" t="s">
        <v>26</v>
      </c>
      <c r="F49" s="17" t="s">
        <v>32</v>
      </c>
      <c r="G49" s="19">
        <v>34985</v>
      </c>
      <c r="H49" s="19">
        <v>30400</v>
      </c>
      <c r="I49" s="19">
        <f t="shared" si="0"/>
        <v>-4585</v>
      </c>
      <c r="J49" s="20">
        <f t="shared" si="1"/>
        <v>-0.13105616692868371</v>
      </c>
    </row>
    <row r="50" spans="1:10" x14ac:dyDescent="0.2">
      <c r="A50" s="17" t="s">
        <v>82</v>
      </c>
      <c r="B50" s="18">
        <v>46028</v>
      </c>
      <c r="C50" s="17" t="s">
        <v>11</v>
      </c>
      <c r="D50" s="17" t="s">
        <v>25</v>
      </c>
      <c r="E50" s="17" t="s">
        <v>17</v>
      </c>
      <c r="F50" s="17" t="s">
        <v>14</v>
      </c>
      <c r="G50" s="19">
        <v>153124</v>
      </c>
      <c r="H50" s="19">
        <v>135100</v>
      </c>
      <c r="I50" s="19">
        <f t="shared" si="0"/>
        <v>-18024</v>
      </c>
      <c r="J50" s="20">
        <f t="shared" si="1"/>
        <v>-0.11770852381076774</v>
      </c>
    </row>
    <row r="51" spans="1:10" x14ac:dyDescent="0.2">
      <c r="A51" s="17" t="s">
        <v>83</v>
      </c>
      <c r="B51" s="18">
        <v>46041</v>
      </c>
      <c r="C51" s="17" t="s">
        <v>11</v>
      </c>
      <c r="D51" s="17" t="s">
        <v>20</v>
      </c>
      <c r="E51" s="17" t="s">
        <v>35</v>
      </c>
      <c r="F51" s="17" t="s">
        <v>18</v>
      </c>
      <c r="G51" s="19">
        <v>125847</v>
      </c>
      <c r="H51" s="19">
        <v>113000</v>
      </c>
      <c r="I51" s="19">
        <f t="shared" si="0"/>
        <v>-12847</v>
      </c>
      <c r="J51" s="20">
        <f t="shared" si="1"/>
        <v>-0.10208427693945824</v>
      </c>
    </row>
    <row r="52" spans="1:10" x14ac:dyDescent="0.2">
      <c r="A52" s="17" t="s">
        <v>84</v>
      </c>
      <c r="B52" s="18">
        <v>46041</v>
      </c>
      <c r="C52" s="17" t="s">
        <v>11</v>
      </c>
      <c r="D52" s="17" t="s">
        <v>49</v>
      </c>
      <c r="E52" s="17" t="s">
        <v>46</v>
      </c>
      <c r="F52" s="17" t="s">
        <v>44</v>
      </c>
      <c r="G52" s="19">
        <v>41491</v>
      </c>
      <c r="H52" s="19">
        <v>42200</v>
      </c>
      <c r="I52" s="19">
        <f t="shared" si="0"/>
        <v>709</v>
      </c>
      <c r="J52" s="20">
        <f t="shared" si="1"/>
        <v>1.7088043190089417E-2</v>
      </c>
    </row>
    <row r="53" spans="1:10" x14ac:dyDescent="0.2">
      <c r="A53" s="17" t="s">
        <v>85</v>
      </c>
      <c r="B53" s="18">
        <v>46033</v>
      </c>
      <c r="C53" s="17" t="s">
        <v>11</v>
      </c>
      <c r="D53" s="17" t="s">
        <v>20</v>
      </c>
      <c r="E53" s="17" t="s">
        <v>31</v>
      </c>
      <c r="F53" s="17" t="s">
        <v>27</v>
      </c>
      <c r="G53" s="19">
        <v>73545</v>
      </c>
      <c r="H53" s="19">
        <v>82200</v>
      </c>
      <c r="I53" s="19">
        <f t="shared" si="0"/>
        <v>8655</v>
      </c>
      <c r="J53" s="20">
        <f t="shared" si="1"/>
        <v>0.11768305119314705</v>
      </c>
    </row>
    <row r="54" spans="1:10" x14ac:dyDescent="0.2">
      <c r="A54" s="17" t="s">
        <v>86</v>
      </c>
      <c r="B54" s="18">
        <v>46032</v>
      </c>
      <c r="C54" s="17" t="s">
        <v>11</v>
      </c>
      <c r="D54" s="17" t="s">
        <v>13</v>
      </c>
      <c r="E54" s="17" t="s">
        <v>46</v>
      </c>
      <c r="F54" s="17" t="s">
        <v>29</v>
      </c>
      <c r="G54" s="19">
        <v>54308</v>
      </c>
      <c r="H54" s="19">
        <v>60800</v>
      </c>
      <c r="I54" s="19">
        <f t="shared" si="0"/>
        <v>6492</v>
      </c>
      <c r="J54" s="20">
        <f t="shared" si="1"/>
        <v>0.11954039920453709</v>
      </c>
    </row>
    <row r="55" spans="1:10" x14ac:dyDescent="0.2">
      <c r="A55" s="17" t="s">
        <v>87</v>
      </c>
      <c r="B55" s="18">
        <v>46041</v>
      </c>
      <c r="C55" s="17" t="s">
        <v>11</v>
      </c>
      <c r="D55" s="17" t="s">
        <v>25</v>
      </c>
      <c r="E55" s="17" t="s">
        <v>17</v>
      </c>
      <c r="F55" s="17" t="s">
        <v>21</v>
      </c>
      <c r="G55" s="19">
        <v>22441</v>
      </c>
      <c r="H55" s="19">
        <v>23200</v>
      </c>
      <c r="I55" s="19">
        <f t="shared" si="0"/>
        <v>759</v>
      </c>
      <c r="J55" s="20">
        <f t="shared" si="1"/>
        <v>3.3822022191524442E-2</v>
      </c>
    </row>
    <row r="56" spans="1:10" x14ac:dyDescent="0.2">
      <c r="A56" s="17" t="s">
        <v>88</v>
      </c>
      <c r="B56" s="18">
        <v>46027</v>
      </c>
      <c r="C56" s="17" t="s">
        <v>11</v>
      </c>
      <c r="D56" s="17" t="s">
        <v>12</v>
      </c>
      <c r="E56" s="17" t="s">
        <v>17</v>
      </c>
      <c r="F56" s="17" t="s">
        <v>14</v>
      </c>
      <c r="G56" s="19">
        <v>75877</v>
      </c>
      <c r="H56" s="19">
        <v>79800</v>
      </c>
      <c r="I56" s="19">
        <f t="shared" si="0"/>
        <v>3923</v>
      </c>
      <c r="J56" s="20">
        <f t="shared" si="1"/>
        <v>5.1702096814581495E-2</v>
      </c>
    </row>
    <row r="57" spans="1:10" x14ac:dyDescent="0.2">
      <c r="A57" s="17" t="s">
        <v>89</v>
      </c>
      <c r="B57" s="18">
        <v>46037</v>
      </c>
      <c r="C57" s="17" t="s">
        <v>11</v>
      </c>
      <c r="D57" s="17" t="s">
        <v>49</v>
      </c>
      <c r="E57" s="17" t="s">
        <v>31</v>
      </c>
      <c r="F57" s="17" t="s">
        <v>18</v>
      </c>
      <c r="G57" s="19">
        <v>116869</v>
      </c>
      <c r="H57" s="19">
        <v>112700</v>
      </c>
      <c r="I57" s="19">
        <f t="shared" si="0"/>
        <v>-4169</v>
      </c>
      <c r="J57" s="20">
        <f t="shared" si="1"/>
        <v>-3.5672419546671913E-2</v>
      </c>
    </row>
    <row r="58" spans="1:10" x14ac:dyDescent="0.2">
      <c r="A58" s="17" t="s">
        <v>90</v>
      </c>
      <c r="B58" s="18">
        <v>46044</v>
      </c>
      <c r="C58" s="17" t="s">
        <v>11</v>
      </c>
      <c r="D58" s="17" t="s">
        <v>49</v>
      </c>
      <c r="E58" s="17" t="s">
        <v>31</v>
      </c>
      <c r="F58" s="17" t="s">
        <v>29</v>
      </c>
      <c r="G58" s="19">
        <v>191435</v>
      </c>
      <c r="H58" s="19">
        <v>203200</v>
      </c>
      <c r="I58" s="19">
        <f t="shared" si="0"/>
        <v>11765</v>
      </c>
      <c r="J58" s="20">
        <f t="shared" si="1"/>
        <v>6.1456891373050902E-2</v>
      </c>
    </row>
    <row r="59" spans="1:10" x14ac:dyDescent="0.2">
      <c r="A59" s="17" t="s">
        <v>91</v>
      </c>
      <c r="B59" s="18">
        <v>46026</v>
      </c>
      <c r="C59" s="17" t="s">
        <v>11</v>
      </c>
      <c r="D59" s="17" t="s">
        <v>16</v>
      </c>
      <c r="E59" s="17" t="s">
        <v>26</v>
      </c>
      <c r="F59" s="17" t="s">
        <v>44</v>
      </c>
      <c r="G59" s="19">
        <v>55203</v>
      </c>
      <c r="H59" s="19">
        <v>52800</v>
      </c>
      <c r="I59" s="19">
        <f t="shared" si="0"/>
        <v>-2403</v>
      </c>
      <c r="J59" s="20">
        <f t="shared" si="1"/>
        <v>-4.353024292158035E-2</v>
      </c>
    </row>
    <row r="60" spans="1:10" x14ac:dyDescent="0.2">
      <c r="A60" s="17" t="s">
        <v>92</v>
      </c>
      <c r="B60" s="18">
        <v>46045</v>
      </c>
      <c r="C60" s="17" t="s">
        <v>11</v>
      </c>
      <c r="D60" s="17" t="s">
        <v>12</v>
      </c>
      <c r="E60" s="17" t="s">
        <v>13</v>
      </c>
      <c r="F60" s="17" t="s">
        <v>44</v>
      </c>
      <c r="G60" s="19">
        <v>93860</v>
      </c>
      <c r="H60" s="19">
        <v>102500</v>
      </c>
      <c r="I60" s="19">
        <f t="shared" si="0"/>
        <v>8640</v>
      </c>
      <c r="J60" s="20">
        <f t="shared" si="1"/>
        <v>9.2051992329000645E-2</v>
      </c>
    </row>
    <row r="61" spans="1:10" x14ac:dyDescent="0.2">
      <c r="A61" s="17" t="s">
        <v>93</v>
      </c>
      <c r="B61" s="18">
        <v>46050</v>
      </c>
      <c r="C61" s="17" t="s">
        <v>11</v>
      </c>
      <c r="D61" s="17" t="s">
        <v>25</v>
      </c>
      <c r="E61" s="17" t="s">
        <v>17</v>
      </c>
      <c r="F61" s="17" t="s">
        <v>27</v>
      </c>
      <c r="G61" s="19">
        <v>152489</v>
      </c>
      <c r="H61" s="19">
        <v>159400</v>
      </c>
      <c r="I61" s="19">
        <f t="shared" si="0"/>
        <v>6911</v>
      </c>
      <c r="J61" s="20">
        <f t="shared" si="1"/>
        <v>4.5321301864396778E-2</v>
      </c>
    </row>
    <row r="62" spans="1:10" x14ac:dyDescent="0.2">
      <c r="A62" s="17" t="s">
        <v>94</v>
      </c>
      <c r="B62" s="18">
        <v>46033</v>
      </c>
      <c r="C62" s="17" t="s">
        <v>11</v>
      </c>
      <c r="D62" s="17" t="s">
        <v>20</v>
      </c>
      <c r="E62" s="17" t="s">
        <v>31</v>
      </c>
      <c r="F62" s="17" t="s">
        <v>51</v>
      </c>
      <c r="G62" s="19">
        <v>92530</v>
      </c>
      <c r="H62" s="19">
        <v>80300</v>
      </c>
      <c r="I62" s="19">
        <f t="shared" si="0"/>
        <v>-12230</v>
      </c>
      <c r="J62" s="20">
        <f t="shared" si="1"/>
        <v>-0.13217334918404841</v>
      </c>
    </row>
    <row r="63" spans="1:10" x14ac:dyDescent="0.2">
      <c r="A63" s="17" t="s">
        <v>95</v>
      </c>
      <c r="B63" s="18">
        <v>46036</v>
      </c>
      <c r="C63" s="17" t="s">
        <v>11</v>
      </c>
      <c r="D63" s="17" t="s">
        <v>49</v>
      </c>
      <c r="E63" s="17" t="s">
        <v>35</v>
      </c>
      <c r="F63" s="17" t="s">
        <v>29</v>
      </c>
      <c r="G63" s="19">
        <v>135824</v>
      </c>
      <c r="H63" s="19">
        <v>145400</v>
      </c>
      <c r="I63" s="19">
        <f t="shared" si="0"/>
        <v>9576</v>
      </c>
      <c r="J63" s="20">
        <f t="shared" si="1"/>
        <v>7.0503003887383675E-2</v>
      </c>
    </row>
    <row r="64" spans="1:10" x14ac:dyDescent="0.2">
      <c r="A64" s="17" t="s">
        <v>96</v>
      </c>
      <c r="B64" s="18">
        <v>46045</v>
      </c>
      <c r="C64" s="17" t="s">
        <v>11</v>
      </c>
      <c r="D64" s="17" t="s">
        <v>20</v>
      </c>
      <c r="E64" s="17" t="s">
        <v>35</v>
      </c>
      <c r="F64" s="17" t="s">
        <v>38</v>
      </c>
      <c r="G64" s="19">
        <v>39724</v>
      </c>
      <c r="H64" s="19">
        <v>48800</v>
      </c>
      <c r="I64" s="19">
        <f t="shared" si="0"/>
        <v>9076</v>
      </c>
      <c r="J64" s="20">
        <f t="shared" si="1"/>
        <v>0.22847648776558252</v>
      </c>
    </row>
    <row r="65" spans="1:10" x14ac:dyDescent="0.2">
      <c r="A65" s="17" t="s">
        <v>97</v>
      </c>
      <c r="B65" s="18">
        <v>46036</v>
      </c>
      <c r="C65" s="17" t="s">
        <v>11</v>
      </c>
      <c r="D65" s="17" t="s">
        <v>20</v>
      </c>
      <c r="E65" s="17" t="s">
        <v>35</v>
      </c>
      <c r="F65" s="17" t="s">
        <v>44</v>
      </c>
      <c r="G65" s="19">
        <v>172701</v>
      </c>
      <c r="H65" s="19">
        <v>185000</v>
      </c>
      <c r="I65" s="19">
        <f t="shared" si="0"/>
        <v>12299</v>
      </c>
      <c r="J65" s="20">
        <f t="shared" si="1"/>
        <v>7.1215569104984916E-2</v>
      </c>
    </row>
    <row r="66" spans="1:10" x14ac:dyDescent="0.2">
      <c r="A66" s="17" t="s">
        <v>98</v>
      </c>
      <c r="B66" s="18">
        <v>46048</v>
      </c>
      <c r="C66" s="17" t="s">
        <v>11</v>
      </c>
      <c r="D66" s="17" t="s">
        <v>25</v>
      </c>
      <c r="E66" s="17" t="s">
        <v>46</v>
      </c>
      <c r="F66" s="17" t="s">
        <v>14</v>
      </c>
      <c r="G66" s="19">
        <v>115591</v>
      </c>
      <c r="H66" s="19">
        <v>139800</v>
      </c>
      <c r="I66" s="19">
        <f t="shared" ref="I66:I129" si="2">H66-G66</f>
        <v>24209</v>
      </c>
      <c r="J66" s="20">
        <f t="shared" ref="J66:J129" si="3">IFERROR(I66/G66,0)</f>
        <v>0.20943672085196943</v>
      </c>
    </row>
    <row r="67" spans="1:10" x14ac:dyDescent="0.2">
      <c r="A67" s="17" t="s">
        <v>99</v>
      </c>
      <c r="B67" s="18">
        <v>46026</v>
      </c>
      <c r="C67" s="17" t="s">
        <v>11</v>
      </c>
      <c r="D67" s="17" t="s">
        <v>12</v>
      </c>
      <c r="E67" s="17" t="s">
        <v>23</v>
      </c>
      <c r="F67" s="17" t="s">
        <v>18</v>
      </c>
      <c r="G67" s="19">
        <v>198799</v>
      </c>
      <c r="H67" s="19">
        <v>188800</v>
      </c>
      <c r="I67" s="19">
        <f t="shared" si="2"/>
        <v>-9999</v>
      </c>
      <c r="J67" s="20">
        <f t="shared" si="3"/>
        <v>-5.0297033687292186E-2</v>
      </c>
    </row>
    <row r="68" spans="1:10" x14ac:dyDescent="0.2">
      <c r="A68" s="17" t="s">
        <v>100</v>
      </c>
      <c r="B68" s="18">
        <v>46030</v>
      </c>
      <c r="C68" s="17" t="s">
        <v>11</v>
      </c>
      <c r="D68" s="17" t="s">
        <v>20</v>
      </c>
      <c r="E68" s="17" t="s">
        <v>26</v>
      </c>
      <c r="F68" s="17" t="s">
        <v>27</v>
      </c>
      <c r="G68" s="19">
        <v>60515</v>
      </c>
      <c r="H68" s="19">
        <v>73800</v>
      </c>
      <c r="I68" s="19">
        <f t="shared" si="2"/>
        <v>13285</v>
      </c>
      <c r="J68" s="20">
        <f t="shared" si="3"/>
        <v>0.21953234735189622</v>
      </c>
    </row>
    <row r="69" spans="1:10" x14ac:dyDescent="0.2">
      <c r="A69" s="17" t="s">
        <v>101</v>
      </c>
      <c r="B69" s="18">
        <v>46033</v>
      </c>
      <c r="C69" s="17" t="s">
        <v>11</v>
      </c>
      <c r="D69" s="17" t="s">
        <v>13</v>
      </c>
      <c r="E69" s="17" t="s">
        <v>13</v>
      </c>
      <c r="F69" s="17" t="s">
        <v>44</v>
      </c>
      <c r="G69" s="19">
        <v>26497</v>
      </c>
      <c r="H69" s="19">
        <v>24400</v>
      </c>
      <c r="I69" s="19">
        <f t="shared" si="2"/>
        <v>-2097</v>
      </c>
      <c r="J69" s="20">
        <f t="shared" si="3"/>
        <v>-7.9141034834132165E-2</v>
      </c>
    </row>
    <row r="70" spans="1:10" x14ac:dyDescent="0.2">
      <c r="A70" s="17" t="s">
        <v>102</v>
      </c>
      <c r="B70" s="18">
        <v>46026</v>
      </c>
      <c r="C70" s="17" t="s">
        <v>11</v>
      </c>
      <c r="D70" s="17" t="s">
        <v>13</v>
      </c>
      <c r="E70" s="17" t="s">
        <v>35</v>
      </c>
      <c r="F70" s="17" t="s">
        <v>41</v>
      </c>
      <c r="G70" s="19">
        <v>61732</v>
      </c>
      <c r="H70" s="19">
        <v>71900</v>
      </c>
      <c r="I70" s="19">
        <f t="shared" si="2"/>
        <v>10168</v>
      </c>
      <c r="J70" s="20">
        <f t="shared" si="3"/>
        <v>0.1647119808203201</v>
      </c>
    </row>
    <row r="71" spans="1:10" x14ac:dyDescent="0.2">
      <c r="A71" s="17" t="s">
        <v>103</v>
      </c>
      <c r="B71" s="18">
        <v>46037</v>
      </c>
      <c r="C71" s="17" t="s">
        <v>11</v>
      </c>
      <c r="D71" s="17" t="s">
        <v>12</v>
      </c>
      <c r="E71" s="17" t="s">
        <v>31</v>
      </c>
      <c r="F71" s="17" t="s">
        <v>14</v>
      </c>
      <c r="G71" s="19">
        <v>78309</v>
      </c>
      <c r="H71" s="19">
        <v>72800</v>
      </c>
      <c r="I71" s="19">
        <f t="shared" si="2"/>
        <v>-5509</v>
      </c>
      <c r="J71" s="20">
        <f t="shared" si="3"/>
        <v>-7.0349512827388938E-2</v>
      </c>
    </row>
    <row r="72" spans="1:10" x14ac:dyDescent="0.2">
      <c r="A72" s="17" t="s">
        <v>104</v>
      </c>
      <c r="B72" s="18">
        <v>46029</v>
      </c>
      <c r="C72" s="17" t="s">
        <v>11</v>
      </c>
      <c r="D72" s="17" t="s">
        <v>13</v>
      </c>
      <c r="E72" s="17" t="s">
        <v>46</v>
      </c>
      <c r="F72" s="17" t="s">
        <v>44</v>
      </c>
      <c r="G72" s="19">
        <v>78438</v>
      </c>
      <c r="H72" s="19">
        <v>67400</v>
      </c>
      <c r="I72" s="19">
        <f t="shared" si="2"/>
        <v>-11038</v>
      </c>
      <c r="J72" s="20">
        <f t="shared" si="3"/>
        <v>-0.14072260893954461</v>
      </c>
    </row>
    <row r="73" spans="1:10" x14ac:dyDescent="0.2">
      <c r="A73" s="17" t="s">
        <v>105</v>
      </c>
      <c r="B73" s="18">
        <v>46031</v>
      </c>
      <c r="C73" s="17" t="s">
        <v>11</v>
      </c>
      <c r="D73" s="17" t="s">
        <v>12</v>
      </c>
      <c r="E73" s="17" t="s">
        <v>23</v>
      </c>
      <c r="F73" s="17" t="s">
        <v>21</v>
      </c>
      <c r="G73" s="19">
        <v>38198</v>
      </c>
      <c r="H73" s="19">
        <v>47200</v>
      </c>
      <c r="I73" s="19">
        <f t="shared" si="2"/>
        <v>9002</v>
      </c>
      <c r="J73" s="20">
        <f t="shared" si="3"/>
        <v>0.2356667888371119</v>
      </c>
    </row>
    <row r="74" spans="1:10" x14ac:dyDescent="0.2">
      <c r="A74" s="17" t="s">
        <v>106</v>
      </c>
      <c r="B74" s="18">
        <v>46026</v>
      </c>
      <c r="C74" s="17" t="s">
        <v>11</v>
      </c>
      <c r="D74" s="17" t="s">
        <v>12</v>
      </c>
      <c r="E74" s="17" t="s">
        <v>26</v>
      </c>
      <c r="F74" s="17" t="s">
        <v>18</v>
      </c>
      <c r="G74" s="19">
        <v>106808</v>
      </c>
      <c r="H74" s="19">
        <v>130900</v>
      </c>
      <c r="I74" s="19">
        <f t="shared" si="2"/>
        <v>24092</v>
      </c>
      <c r="J74" s="20">
        <f t="shared" si="3"/>
        <v>0.22556362819264475</v>
      </c>
    </row>
    <row r="75" spans="1:10" x14ac:dyDescent="0.2">
      <c r="A75" s="17" t="s">
        <v>107</v>
      </c>
      <c r="B75" s="18">
        <v>46042</v>
      </c>
      <c r="C75" s="17" t="s">
        <v>11</v>
      </c>
      <c r="D75" s="17" t="s">
        <v>13</v>
      </c>
      <c r="E75" s="17" t="s">
        <v>46</v>
      </c>
      <c r="F75" s="17" t="s">
        <v>38</v>
      </c>
      <c r="G75" s="19">
        <v>89590</v>
      </c>
      <c r="H75" s="19">
        <v>77500</v>
      </c>
      <c r="I75" s="19">
        <f t="shared" si="2"/>
        <v>-12090</v>
      </c>
      <c r="J75" s="20">
        <f t="shared" si="3"/>
        <v>-0.13494809688581316</v>
      </c>
    </row>
    <row r="76" spans="1:10" x14ac:dyDescent="0.2">
      <c r="A76" s="17" t="s">
        <v>108</v>
      </c>
      <c r="B76" s="18">
        <v>46039</v>
      </c>
      <c r="C76" s="17" t="s">
        <v>11</v>
      </c>
      <c r="D76" s="17" t="s">
        <v>25</v>
      </c>
      <c r="E76" s="17" t="s">
        <v>23</v>
      </c>
      <c r="F76" s="17" t="s">
        <v>18</v>
      </c>
      <c r="G76" s="19">
        <v>134398</v>
      </c>
      <c r="H76" s="19">
        <v>146800</v>
      </c>
      <c r="I76" s="19">
        <f t="shared" si="2"/>
        <v>12402</v>
      </c>
      <c r="J76" s="20">
        <f t="shared" si="3"/>
        <v>9.227815890117412E-2</v>
      </c>
    </row>
    <row r="77" spans="1:10" x14ac:dyDescent="0.2">
      <c r="A77" s="17" t="s">
        <v>109</v>
      </c>
      <c r="B77" s="18">
        <v>46045</v>
      </c>
      <c r="C77" s="17" t="s">
        <v>11</v>
      </c>
      <c r="D77" s="17" t="s">
        <v>13</v>
      </c>
      <c r="E77" s="17" t="s">
        <v>35</v>
      </c>
      <c r="F77" s="17" t="s">
        <v>21</v>
      </c>
      <c r="G77" s="19">
        <v>69828</v>
      </c>
      <c r="H77" s="19">
        <v>66500</v>
      </c>
      <c r="I77" s="19">
        <f t="shared" si="2"/>
        <v>-3328</v>
      </c>
      <c r="J77" s="20">
        <f t="shared" si="3"/>
        <v>-4.7659964484161078E-2</v>
      </c>
    </row>
    <row r="78" spans="1:10" x14ac:dyDescent="0.2">
      <c r="A78" s="17" t="s">
        <v>110</v>
      </c>
      <c r="B78" s="18">
        <v>46046</v>
      </c>
      <c r="C78" s="17" t="s">
        <v>11</v>
      </c>
      <c r="D78" s="17" t="s">
        <v>16</v>
      </c>
      <c r="E78" s="17" t="s">
        <v>13</v>
      </c>
      <c r="F78" s="17" t="s">
        <v>38</v>
      </c>
      <c r="G78" s="19">
        <v>161151</v>
      </c>
      <c r="H78" s="19">
        <v>181300</v>
      </c>
      <c r="I78" s="19">
        <f t="shared" si="2"/>
        <v>20149</v>
      </c>
      <c r="J78" s="20">
        <f t="shared" si="3"/>
        <v>0.12503180247097442</v>
      </c>
    </row>
    <row r="79" spans="1:10" x14ac:dyDescent="0.2">
      <c r="A79" s="17" t="s">
        <v>111</v>
      </c>
      <c r="B79" s="18">
        <v>46044</v>
      </c>
      <c r="C79" s="17" t="s">
        <v>11</v>
      </c>
      <c r="D79" s="17" t="s">
        <v>12</v>
      </c>
      <c r="E79" s="17" t="s">
        <v>46</v>
      </c>
      <c r="F79" s="17" t="s">
        <v>29</v>
      </c>
      <c r="G79" s="19">
        <v>133062</v>
      </c>
      <c r="H79" s="19">
        <v>116800</v>
      </c>
      <c r="I79" s="19">
        <f t="shared" si="2"/>
        <v>-16262</v>
      </c>
      <c r="J79" s="20">
        <f t="shared" si="3"/>
        <v>-0.12221370488945003</v>
      </c>
    </row>
    <row r="80" spans="1:10" x14ac:dyDescent="0.2">
      <c r="A80" s="17" t="s">
        <v>112</v>
      </c>
      <c r="B80" s="18">
        <v>46044</v>
      </c>
      <c r="C80" s="17" t="s">
        <v>11</v>
      </c>
      <c r="D80" s="17" t="s">
        <v>13</v>
      </c>
      <c r="E80" s="17" t="s">
        <v>46</v>
      </c>
      <c r="F80" s="17" t="s">
        <v>27</v>
      </c>
      <c r="G80" s="19">
        <v>98727</v>
      </c>
      <c r="H80" s="19">
        <v>103900</v>
      </c>
      <c r="I80" s="19">
        <f t="shared" si="2"/>
        <v>5173</v>
      </c>
      <c r="J80" s="20">
        <f t="shared" si="3"/>
        <v>5.2397013988068106E-2</v>
      </c>
    </row>
    <row r="81" spans="1:10" x14ac:dyDescent="0.2">
      <c r="A81" s="17" t="s">
        <v>113</v>
      </c>
      <c r="B81" s="18">
        <v>46029</v>
      </c>
      <c r="C81" s="17" t="s">
        <v>11</v>
      </c>
      <c r="D81" s="17" t="s">
        <v>13</v>
      </c>
      <c r="E81" s="17" t="s">
        <v>23</v>
      </c>
      <c r="F81" s="17" t="s">
        <v>51</v>
      </c>
      <c r="G81" s="19">
        <v>97504</v>
      </c>
      <c r="H81" s="19">
        <v>104500</v>
      </c>
      <c r="I81" s="19">
        <f t="shared" si="2"/>
        <v>6996</v>
      </c>
      <c r="J81" s="20">
        <f t="shared" si="3"/>
        <v>7.1750902527075819E-2</v>
      </c>
    </row>
    <row r="82" spans="1:10" x14ac:dyDescent="0.2">
      <c r="A82" s="17" t="s">
        <v>114</v>
      </c>
      <c r="B82" s="18">
        <v>46035</v>
      </c>
      <c r="C82" s="17" t="s">
        <v>11</v>
      </c>
      <c r="D82" s="17" t="s">
        <v>49</v>
      </c>
      <c r="E82" s="17" t="s">
        <v>35</v>
      </c>
      <c r="F82" s="17" t="s">
        <v>44</v>
      </c>
      <c r="G82" s="19">
        <v>181353</v>
      </c>
      <c r="H82" s="19">
        <v>195400</v>
      </c>
      <c r="I82" s="19">
        <f t="shared" si="2"/>
        <v>14047</v>
      </c>
      <c r="J82" s="20">
        <f t="shared" si="3"/>
        <v>7.7456672897608533E-2</v>
      </c>
    </row>
    <row r="83" spans="1:10" x14ac:dyDescent="0.2">
      <c r="A83" s="17" t="s">
        <v>115</v>
      </c>
      <c r="B83" s="18">
        <v>46048</v>
      </c>
      <c r="C83" s="17" t="s">
        <v>11</v>
      </c>
      <c r="D83" s="17" t="s">
        <v>49</v>
      </c>
      <c r="E83" s="17" t="s">
        <v>46</v>
      </c>
      <c r="F83" s="17" t="s">
        <v>41</v>
      </c>
      <c r="G83" s="19">
        <v>95212</v>
      </c>
      <c r="H83" s="19">
        <v>88900</v>
      </c>
      <c r="I83" s="19">
        <f t="shared" si="2"/>
        <v>-6312</v>
      </c>
      <c r="J83" s="20">
        <f t="shared" si="3"/>
        <v>-6.62941646011007E-2</v>
      </c>
    </row>
    <row r="84" spans="1:10" x14ac:dyDescent="0.2">
      <c r="A84" s="17" t="s">
        <v>116</v>
      </c>
      <c r="B84" s="18">
        <v>46029</v>
      </c>
      <c r="C84" s="17" t="s">
        <v>11</v>
      </c>
      <c r="D84" s="17" t="s">
        <v>49</v>
      </c>
      <c r="E84" s="17" t="s">
        <v>65</v>
      </c>
      <c r="F84" s="17" t="s">
        <v>51</v>
      </c>
      <c r="G84" s="19">
        <v>135811</v>
      </c>
      <c r="H84" s="19">
        <v>139500</v>
      </c>
      <c r="I84" s="19">
        <f t="shared" si="2"/>
        <v>3689</v>
      </c>
      <c r="J84" s="20">
        <f t="shared" si="3"/>
        <v>2.7162748230997489E-2</v>
      </c>
    </row>
    <row r="85" spans="1:10" x14ac:dyDescent="0.2">
      <c r="A85" s="17" t="s">
        <v>117</v>
      </c>
      <c r="B85" s="18">
        <v>46039</v>
      </c>
      <c r="C85" s="17" t="s">
        <v>11</v>
      </c>
      <c r="D85" s="17" t="s">
        <v>16</v>
      </c>
      <c r="E85" s="17" t="s">
        <v>46</v>
      </c>
      <c r="F85" s="17" t="s">
        <v>29</v>
      </c>
      <c r="G85" s="19">
        <v>192713</v>
      </c>
      <c r="H85" s="19">
        <v>170300</v>
      </c>
      <c r="I85" s="19">
        <f t="shared" si="2"/>
        <v>-22413</v>
      </c>
      <c r="J85" s="20">
        <f t="shared" si="3"/>
        <v>-0.11630248089127355</v>
      </c>
    </row>
    <row r="86" spans="1:10" x14ac:dyDescent="0.2">
      <c r="A86" s="17" t="s">
        <v>118</v>
      </c>
      <c r="B86" s="18">
        <v>46061</v>
      </c>
      <c r="C86" s="17" t="s">
        <v>119</v>
      </c>
      <c r="D86" s="17" t="s">
        <v>20</v>
      </c>
      <c r="E86" s="17" t="s">
        <v>26</v>
      </c>
      <c r="F86" s="17" t="s">
        <v>32</v>
      </c>
      <c r="G86" s="19">
        <v>81569</v>
      </c>
      <c r="H86" s="19">
        <v>91300</v>
      </c>
      <c r="I86" s="19">
        <f t="shared" si="2"/>
        <v>9731</v>
      </c>
      <c r="J86" s="20">
        <f t="shared" si="3"/>
        <v>0.11929777243805857</v>
      </c>
    </row>
    <row r="87" spans="1:10" x14ac:dyDescent="0.2">
      <c r="A87" s="17" t="s">
        <v>120</v>
      </c>
      <c r="B87" s="18">
        <v>46069</v>
      </c>
      <c r="C87" s="17" t="s">
        <v>119</v>
      </c>
      <c r="D87" s="17" t="s">
        <v>49</v>
      </c>
      <c r="E87" s="17" t="s">
        <v>17</v>
      </c>
      <c r="F87" s="17" t="s">
        <v>41</v>
      </c>
      <c r="G87" s="19">
        <v>32114</v>
      </c>
      <c r="H87" s="19">
        <v>30400</v>
      </c>
      <c r="I87" s="19">
        <f t="shared" si="2"/>
        <v>-1714</v>
      </c>
      <c r="J87" s="20">
        <f t="shared" si="3"/>
        <v>-5.3372360964065516E-2</v>
      </c>
    </row>
    <row r="88" spans="1:10" x14ac:dyDescent="0.2">
      <c r="A88" s="17" t="s">
        <v>121</v>
      </c>
      <c r="B88" s="18">
        <v>46072</v>
      </c>
      <c r="C88" s="17" t="s">
        <v>119</v>
      </c>
      <c r="D88" s="17" t="s">
        <v>20</v>
      </c>
      <c r="E88" s="17" t="s">
        <v>23</v>
      </c>
      <c r="F88" s="17" t="s">
        <v>41</v>
      </c>
      <c r="G88" s="19">
        <v>128643</v>
      </c>
      <c r="H88" s="19">
        <v>154900</v>
      </c>
      <c r="I88" s="19">
        <f t="shared" si="2"/>
        <v>26257</v>
      </c>
      <c r="J88" s="20">
        <f t="shared" si="3"/>
        <v>0.20410749127430175</v>
      </c>
    </row>
    <row r="89" spans="1:10" x14ac:dyDescent="0.2">
      <c r="A89" s="17" t="s">
        <v>122</v>
      </c>
      <c r="B89" s="18">
        <v>46074</v>
      </c>
      <c r="C89" s="17" t="s">
        <v>119</v>
      </c>
      <c r="D89" s="17" t="s">
        <v>16</v>
      </c>
      <c r="E89" s="17" t="s">
        <v>35</v>
      </c>
      <c r="F89" s="17" t="s">
        <v>29</v>
      </c>
      <c r="G89" s="19">
        <v>124766</v>
      </c>
      <c r="H89" s="19">
        <v>118200</v>
      </c>
      <c r="I89" s="19">
        <f t="shared" si="2"/>
        <v>-6566</v>
      </c>
      <c r="J89" s="20">
        <f t="shared" si="3"/>
        <v>-5.2626516839523588E-2</v>
      </c>
    </row>
    <row r="90" spans="1:10" x14ac:dyDescent="0.2">
      <c r="A90" s="17" t="s">
        <v>123</v>
      </c>
      <c r="B90" s="18">
        <v>46079</v>
      </c>
      <c r="C90" s="17" t="s">
        <v>119</v>
      </c>
      <c r="D90" s="17" t="s">
        <v>16</v>
      </c>
      <c r="E90" s="17" t="s">
        <v>65</v>
      </c>
      <c r="F90" s="17" t="s">
        <v>32</v>
      </c>
      <c r="G90" s="19">
        <v>131449</v>
      </c>
      <c r="H90" s="19">
        <v>123200</v>
      </c>
      <c r="I90" s="19">
        <f t="shared" si="2"/>
        <v>-8249</v>
      </c>
      <c r="J90" s="20">
        <f t="shared" si="3"/>
        <v>-6.2754376221956801E-2</v>
      </c>
    </row>
    <row r="91" spans="1:10" x14ac:dyDescent="0.2">
      <c r="A91" s="17" t="s">
        <v>124</v>
      </c>
      <c r="B91" s="18">
        <v>46081</v>
      </c>
      <c r="C91" s="17" t="s">
        <v>119</v>
      </c>
      <c r="D91" s="17" t="s">
        <v>25</v>
      </c>
      <c r="E91" s="17" t="s">
        <v>65</v>
      </c>
      <c r="F91" s="17" t="s">
        <v>51</v>
      </c>
      <c r="G91" s="19">
        <v>166120</v>
      </c>
      <c r="H91" s="19">
        <v>157800</v>
      </c>
      <c r="I91" s="19">
        <f t="shared" si="2"/>
        <v>-8320</v>
      </c>
      <c r="J91" s="20">
        <f t="shared" si="3"/>
        <v>-5.0084276426679508E-2</v>
      </c>
    </row>
    <row r="92" spans="1:10" x14ac:dyDescent="0.2">
      <c r="A92" s="17" t="s">
        <v>125</v>
      </c>
      <c r="B92" s="18">
        <v>46071</v>
      </c>
      <c r="C92" s="17" t="s">
        <v>119</v>
      </c>
      <c r="D92" s="17" t="s">
        <v>49</v>
      </c>
      <c r="E92" s="17" t="s">
        <v>46</v>
      </c>
      <c r="F92" s="17" t="s">
        <v>41</v>
      </c>
      <c r="G92" s="19">
        <v>141803</v>
      </c>
      <c r="H92" s="19">
        <v>158400</v>
      </c>
      <c r="I92" s="19">
        <f t="shared" si="2"/>
        <v>16597</v>
      </c>
      <c r="J92" s="20">
        <f t="shared" si="3"/>
        <v>0.11704265777169735</v>
      </c>
    </row>
    <row r="93" spans="1:10" x14ac:dyDescent="0.2">
      <c r="A93" s="17" t="s">
        <v>126</v>
      </c>
      <c r="B93" s="18">
        <v>46070</v>
      </c>
      <c r="C93" s="17" t="s">
        <v>119</v>
      </c>
      <c r="D93" s="17" t="s">
        <v>13</v>
      </c>
      <c r="E93" s="17" t="s">
        <v>65</v>
      </c>
      <c r="F93" s="17" t="s">
        <v>51</v>
      </c>
      <c r="G93" s="19">
        <v>180603</v>
      </c>
      <c r="H93" s="19">
        <v>212400</v>
      </c>
      <c r="I93" s="19">
        <f t="shared" si="2"/>
        <v>31797</v>
      </c>
      <c r="J93" s="20">
        <f t="shared" si="3"/>
        <v>0.17606019833557582</v>
      </c>
    </row>
    <row r="94" spans="1:10" x14ac:dyDescent="0.2">
      <c r="A94" s="17" t="s">
        <v>127</v>
      </c>
      <c r="B94" s="18">
        <v>46078</v>
      </c>
      <c r="C94" s="17" t="s">
        <v>119</v>
      </c>
      <c r="D94" s="17" t="s">
        <v>20</v>
      </c>
      <c r="E94" s="17" t="s">
        <v>31</v>
      </c>
      <c r="F94" s="17" t="s">
        <v>21</v>
      </c>
      <c r="G94" s="19">
        <v>144433</v>
      </c>
      <c r="H94" s="19">
        <v>148800</v>
      </c>
      <c r="I94" s="19">
        <f t="shared" si="2"/>
        <v>4367</v>
      </c>
      <c r="J94" s="20">
        <f t="shared" si="3"/>
        <v>3.0235472502821378E-2</v>
      </c>
    </row>
    <row r="95" spans="1:10" x14ac:dyDescent="0.2">
      <c r="A95" s="17" t="s">
        <v>128</v>
      </c>
      <c r="B95" s="18">
        <v>46062</v>
      </c>
      <c r="C95" s="17" t="s">
        <v>119</v>
      </c>
      <c r="D95" s="17" t="s">
        <v>13</v>
      </c>
      <c r="E95" s="17" t="s">
        <v>17</v>
      </c>
      <c r="F95" s="17" t="s">
        <v>44</v>
      </c>
      <c r="G95" s="19">
        <v>147034</v>
      </c>
      <c r="H95" s="19">
        <v>161800</v>
      </c>
      <c r="I95" s="19">
        <f t="shared" si="2"/>
        <v>14766</v>
      </c>
      <c r="J95" s="20">
        <f t="shared" si="3"/>
        <v>0.10042575186691513</v>
      </c>
    </row>
    <row r="96" spans="1:10" x14ac:dyDescent="0.2">
      <c r="A96" s="17" t="s">
        <v>129</v>
      </c>
      <c r="B96" s="18">
        <v>46064</v>
      </c>
      <c r="C96" s="17" t="s">
        <v>119</v>
      </c>
      <c r="D96" s="17" t="s">
        <v>49</v>
      </c>
      <c r="E96" s="17" t="s">
        <v>17</v>
      </c>
      <c r="F96" s="17" t="s">
        <v>51</v>
      </c>
      <c r="G96" s="19">
        <v>81471</v>
      </c>
      <c r="H96" s="19">
        <v>78100</v>
      </c>
      <c r="I96" s="19">
        <f t="shared" si="2"/>
        <v>-3371</v>
      </c>
      <c r="J96" s="20">
        <f t="shared" si="3"/>
        <v>-4.1376686182813517E-2</v>
      </c>
    </row>
    <row r="97" spans="1:10" x14ac:dyDescent="0.2">
      <c r="A97" s="17" t="s">
        <v>130</v>
      </c>
      <c r="B97" s="18">
        <v>46076</v>
      </c>
      <c r="C97" s="17" t="s">
        <v>119</v>
      </c>
      <c r="D97" s="17" t="s">
        <v>20</v>
      </c>
      <c r="E97" s="17" t="s">
        <v>13</v>
      </c>
      <c r="F97" s="17" t="s">
        <v>29</v>
      </c>
      <c r="G97" s="19">
        <v>59539</v>
      </c>
      <c r="H97" s="19">
        <v>56100</v>
      </c>
      <c r="I97" s="19">
        <f t="shared" si="2"/>
        <v>-3439</v>
      </c>
      <c r="J97" s="20">
        <f t="shared" si="3"/>
        <v>-5.776045953072776E-2</v>
      </c>
    </row>
    <row r="98" spans="1:10" x14ac:dyDescent="0.2">
      <c r="A98" s="17" t="s">
        <v>131</v>
      </c>
      <c r="B98" s="18">
        <v>46071</v>
      </c>
      <c r="C98" s="17" t="s">
        <v>119</v>
      </c>
      <c r="D98" s="17" t="s">
        <v>13</v>
      </c>
      <c r="E98" s="17" t="s">
        <v>23</v>
      </c>
      <c r="F98" s="17" t="s">
        <v>32</v>
      </c>
      <c r="G98" s="19">
        <v>128755</v>
      </c>
      <c r="H98" s="19">
        <v>130400</v>
      </c>
      <c r="I98" s="19">
        <f t="shared" si="2"/>
        <v>1645</v>
      </c>
      <c r="J98" s="20">
        <f t="shared" si="3"/>
        <v>1.277620286590812E-2</v>
      </c>
    </row>
    <row r="99" spans="1:10" x14ac:dyDescent="0.2">
      <c r="A99" s="17" t="s">
        <v>132</v>
      </c>
      <c r="B99" s="18">
        <v>46066</v>
      </c>
      <c r="C99" s="17" t="s">
        <v>119</v>
      </c>
      <c r="D99" s="17" t="s">
        <v>49</v>
      </c>
      <c r="E99" s="17" t="s">
        <v>35</v>
      </c>
      <c r="F99" s="17" t="s">
        <v>18</v>
      </c>
      <c r="G99" s="19">
        <v>74220</v>
      </c>
      <c r="H99" s="19">
        <v>87800</v>
      </c>
      <c r="I99" s="19">
        <f t="shared" si="2"/>
        <v>13580</v>
      </c>
      <c r="J99" s="20">
        <f t="shared" si="3"/>
        <v>0.18296954998652654</v>
      </c>
    </row>
    <row r="100" spans="1:10" x14ac:dyDescent="0.2">
      <c r="A100" s="17" t="s">
        <v>133</v>
      </c>
      <c r="B100" s="18">
        <v>46065</v>
      </c>
      <c r="C100" s="17" t="s">
        <v>119</v>
      </c>
      <c r="D100" s="17" t="s">
        <v>12</v>
      </c>
      <c r="E100" s="17" t="s">
        <v>23</v>
      </c>
      <c r="F100" s="17" t="s">
        <v>27</v>
      </c>
      <c r="G100" s="19">
        <v>119714</v>
      </c>
      <c r="H100" s="19">
        <v>124600</v>
      </c>
      <c r="I100" s="19">
        <f t="shared" si="2"/>
        <v>4886</v>
      </c>
      <c r="J100" s="20">
        <f t="shared" si="3"/>
        <v>4.0813939890071337E-2</v>
      </c>
    </row>
    <row r="101" spans="1:10" x14ac:dyDescent="0.2">
      <c r="A101" s="17" t="s">
        <v>134</v>
      </c>
      <c r="B101" s="18">
        <v>46071</v>
      </c>
      <c r="C101" s="17" t="s">
        <v>119</v>
      </c>
      <c r="D101" s="17" t="s">
        <v>49</v>
      </c>
      <c r="E101" s="17" t="s">
        <v>13</v>
      </c>
      <c r="F101" s="17" t="s">
        <v>41</v>
      </c>
      <c r="G101" s="19">
        <v>161091</v>
      </c>
      <c r="H101" s="19">
        <v>185100</v>
      </c>
      <c r="I101" s="19">
        <f t="shared" si="2"/>
        <v>24009</v>
      </c>
      <c r="J101" s="20">
        <f t="shared" si="3"/>
        <v>0.14903998361174739</v>
      </c>
    </row>
    <row r="102" spans="1:10" x14ac:dyDescent="0.2">
      <c r="A102" s="17" t="s">
        <v>135</v>
      </c>
      <c r="B102" s="18">
        <v>46069</v>
      </c>
      <c r="C102" s="17" t="s">
        <v>119</v>
      </c>
      <c r="D102" s="17" t="s">
        <v>25</v>
      </c>
      <c r="E102" s="17" t="s">
        <v>23</v>
      </c>
      <c r="F102" s="17" t="s">
        <v>38</v>
      </c>
      <c r="G102" s="19">
        <v>77520</v>
      </c>
      <c r="H102" s="19">
        <v>74400</v>
      </c>
      <c r="I102" s="19">
        <f t="shared" si="2"/>
        <v>-3120</v>
      </c>
      <c r="J102" s="20">
        <f t="shared" si="3"/>
        <v>-4.0247678018575851E-2</v>
      </c>
    </row>
    <row r="103" spans="1:10" x14ac:dyDescent="0.2">
      <c r="A103" s="17" t="s">
        <v>136</v>
      </c>
      <c r="B103" s="18">
        <v>46066</v>
      </c>
      <c r="C103" s="17" t="s">
        <v>119</v>
      </c>
      <c r="D103" s="17" t="s">
        <v>16</v>
      </c>
      <c r="E103" s="17" t="s">
        <v>26</v>
      </c>
      <c r="F103" s="17" t="s">
        <v>41</v>
      </c>
      <c r="G103" s="19">
        <v>195341</v>
      </c>
      <c r="H103" s="19">
        <v>219100</v>
      </c>
      <c r="I103" s="19">
        <f t="shared" si="2"/>
        <v>23759</v>
      </c>
      <c r="J103" s="20">
        <f t="shared" si="3"/>
        <v>0.12162833199379547</v>
      </c>
    </row>
    <row r="104" spans="1:10" x14ac:dyDescent="0.2">
      <c r="A104" s="17" t="s">
        <v>137</v>
      </c>
      <c r="B104" s="18">
        <v>46071</v>
      </c>
      <c r="C104" s="17" t="s">
        <v>119</v>
      </c>
      <c r="D104" s="17" t="s">
        <v>25</v>
      </c>
      <c r="E104" s="17" t="s">
        <v>23</v>
      </c>
      <c r="F104" s="17" t="s">
        <v>18</v>
      </c>
      <c r="G104" s="19">
        <v>53456</v>
      </c>
      <c r="H104" s="19">
        <v>66400</v>
      </c>
      <c r="I104" s="19">
        <f t="shared" si="2"/>
        <v>12944</v>
      </c>
      <c r="J104" s="20">
        <f t="shared" si="3"/>
        <v>0.24214307093684526</v>
      </c>
    </row>
    <row r="105" spans="1:10" x14ac:dyDescent="0.2">
      <c r="A105" s="17" t="s">
        <v>138</v>
      </c>
      <c r="B105" s="18">
        <v>46056</v>
      </c>
      <c r="C105" s="17" t="s">
        <v>119</v>
      </c>
      <c r="D105" s="17" t="s">
        <v>16</v>
      </c>
      <c r="E105" s="17" t="s">
        <v>23</v>
      </c>
      <c r="F105" s="17" t="s">
        <v>51</v>
      </c>
      <c r="G105" s="19">
        <v>167951</v>
      </c>
      <c r="H105" s="19">
        <v>187300</v>
      </c>
      <c r="I105" s="19">
        <f t="shared" si="2"/>
        <v>19349</v>
      </c>
      <c r="J105" s="20">
        <f t="shared" si="3"/>
        <v>0.11520622086203715</v>
      </c>
    </row>
    <row r="106" spans="1:10" x14ac:dyDescent="0.2">
      <c r="A106" s="17" t="s">
        <v>139</v>
      </c>
      <c r="B106" s="18">
        <v>46062</v>
      </c>
      <c r="C106" s="17" t="s">
        <v>119</v>
      </c>
      <c r="D106" s="17" t="s">
        <v>13</v>
      </c>
      <c r="E106" s="17" t="s">
        <v>46</v>
      </c>
      <c r="F106" s="17" t="s">
        <v>14</v>
      </c>
      <c r="G106" s="19">
        <v>141031</v>
      </c>
      <c r="H106" s="19">
        <v>130100</v>
      </c>
      <c r="I106" s="19">
        <f t="shared" si="2"/>
        <v>-10931</v>
      </c>
      <c r="J106" s="20">
        <f t="shared" si="3"/>
        <v>-7.750778197701215E-2</v>
      </c>
    </row>
    <row r="107" spans="1:10" x14ac:dyDescent="0.2">
      <c r="A107" s="17" t="s">
        <v>140</v>
      </c>
      <c r="B107" s="18">
        <v>46078</v>
      </c>
      <c r="C107" s="17" t="s">
        <v>119</v>
      </c>
      <c r="D107" s="17" t="s">
        <v>13</v>
      </c>
      <c r="E107" s="17" t="s">
        <v>31</v>
      </c>
      <c r="F107" s="17" t="s">
        <v>27</v>
      </c>
      <c r="G107" s="19">
        <v>139196</v>
      </c>
      <c r="H107" s="19">
        <v>136500</v>
      </c>
      <c r="I107" s="19">
        <f t="shared" si="2"/>
        <v>-2696</v>
      </c>
      <c r="J107" s="20">
        <f t="shared" si="3"/>
        <v>-1.936837265438662E-2</v>
      </c>
    </row>
    <row r="108" spans="1:10" x14ac:dyDescent="0.2">
      <c r="A108" s="17" t="s">
        <v>141</v>
      </c>
      <c r="B108" s="18">
        <v>46069</v>
      </c>
      <c r="C108" s="17" t="s">
        <v>119</v>
      </c>
      <c r="D108" s="17" t="s">
        <v>25</v>
      </c>
      <c r="E108" s="17" t="s">
        <v>35</v>
      </c>
      <c r="F108" s="17" t="s">
        <v>38</v>
      </c>
      <c r="G108" s="19">
        <v>86131</v>
      </c>
      <c r="H108" s="19">
        <v>102000</v>
      </c>
      <c r="I108" s="19">
        <f t="shared" si="2"/>
        <v>15869</v>
      </c>
      <c r="J108" s="20">
        <f t="shared" si="3"/>
        <v>0.18424260719137128</v>
      </c>
    </row>
    <row r="109" spans="1:10" x14ac:dyDescent="0.2">
      <c r="A109" s="17" t="s">
        <v>142</v>
      </c>
      <c r="B109" s="18">
        <v>46078</v>
      </c>
      <c r="C109" s="17" t="s">
        <v>119</v>
      </c>
      <c r="D109" s="17" t="s">
        <v>16</v>
      </c>
      <c r="E109" s="17" t="s">
        <v>35</v>
      </c>
      <c r="F109" s="17" t="s">
        <v>32</v>
      </c>
      <c r="G109" s="19">
        <v>78778</v>
      </c>
      <c r="H109" s="19">
        <v>87400</v>
      </c>
      <c r="I109" s="19">
        <f t="shared" si="2"/>
        <v>8622</v>
      </c>
      <c r="J109" s="20">
        <f t="shared" si="3"/>
        <v>0.10944679986798345</v>
      </c>
    </row>
    <row r="110" spans="1:10" x14ac:dyDescent="0.2">
      <c r="A110" s="17" t="s">
        <v>143</v>
      </c>
      <c r="B110" s="18">
        <v>46054</v>
      </c>
      <c r="C110" s="17" t="s">
        <v>119</v>
      </c>
      <c r="D110" s="17" t="s">
        <v>49</v>
      </c>
      <c r="E110" s="17" t="s">
        <v>26</v>
      </c>
      <c r="F110" s="17" t="s">
        <v>14</v>
      </c>
      <c r="G110" s="19">
        <v>84823</v>
      </c>
      <c r="H110" s="19">
        <v>78900</v>
      </c>
      <c r="I110" s="19">
        <f t="shared" si="2"/>
        <v>-5923</v>
      </c>
      <c r="J110" s="20">
        <f t="shared" si="3"/>
        <v>-6.9827758980465199E-2</v>
      </c>
    </row>
    <row r="111" spans="1:10" x14ac:dyDescent="0.2">
      <c r="A111" s="17" t="s">
        <v>144</v>
      </c>
      <c r="B111" s="18">
        <v>46057</v>
      </c>
      <c r="C111" s="17" t="s">
        <v>119</v>
      </c>
      <c r="D111" s="17" t="s">
        <v>49</v>
      </c>
      <c r="E111" s="17" t="s">
        <v>13</v>
      </c>
      <c r="F111" s="17" t="s">
        <v>41</v>
      </c>
      <c r="G111" s="19">
        <v>53088</v>
      </c>
      <c r="H111" s="19">
        <v>55200</v>
      </c>
      <c r="I111" s="19">
        <f t="shared" si="2"/>
        <v>2112</v>
      </c>
      <c r="J111" s="20">
        <f t="shared" si="3"/>
        <v>3.9783001808318265E-2</v>
      </c>
    </row>
    <row r="112" spans="1:10" x14ac:dyDescent="0.2">
      <c r="A112" s="17" t="s">
        <v>145</v>
      </c>
      <c r="B112" s="18">
        <v>46059</v>
      </c>
      <c r="C112" s="17" t="s">
        <v>119</v>
      </c>
      <c r="D112" s="17" t="s">
        <v>49</v>
      </c>
      <c r="E112" s="17" t="s">
        <v>17</v>
      </c>
      <c r="F112" s="17" t="s">
        <v>51</v>
      </c>
      <c r="G112" s="19">
        <v>87172</v>
      </c>
      <c r="H112" s="19">
        <v>100800</v>
      </c>
      <c r="I112" s="19">
        <f t="shared" si="2"/>
        <v>13628</v>
      </c>
      <c r="J112" s="20">
        <f t="shared" si="3"/>
        <v>0.15633460285412748</v>
      </c>
    </row>
    <row r="113" spans="1:10" x14ac:dyDescent="0.2">
      <c r="A113" s="17" t="s">
        <v>146</v>
      </c>
      <c r="B113" s="18">
        <v>46054</v>
      </c>
      <c r="C113" s="17" t="s">
        <v>119</v>
      </c>
      <c r="D113" s="17" t="s">
        <v>12</v>
      </c>
      <c r="E113" s="17" t="s">
        <v>23</v>
      </c>
      <c r="F113" s="17" t="s">
        <v>27</v>
      </c>
      <c r="G113" s="19">
        <v>101536</v>
      </c>
      <c r="H113" s="19">
        <v>90700</v>
      </c>
      <c r="I113" s="19">
        <f t="shared" si="2"/>
        <v>-10836</v>
      </c>
      <c r="J113" s="20">
        <f t="shared" si="3"/>
        <v>-0.10672076898833911</v>
      </c>
    </row>
    <row r="114" spans="1:10" x14ac:dyDescent="0.2">
      <c r="A114" s="17" t="s">
        <v>147</v>
      </c>
      <c r="B114" s="18">
        <v>46076</v>
      </c>
      <c r="C114" s="17" t="s">
        <v>119</v>
      </c>
      <c r="D114" s="17" t="s">
        <v>16</v>
      </c>
      <c r="E114" s="17" t="s">
        <v>13</v>
      </c>
      <c r="F114" s="17" t="s">
        <v>29</v>
      </c>
      <c r="G114" s="19">
        <v>71990</v>
      </c>
      <c r="H114" s="19">
        <v>63400</v>
      </c>
      <c r="I114" s="19">
        <f t="shared" si="2"/>
        <v>-8590</v>
      </c>
      <c r="J114" s="20">
        <f t="shared" si="3"/>
        <v>-0.11932212807334353</v>
      </c>
    </row>
    <row r="115" spans="1:10" x14ac:dyDescent="0.2">
      <c r="A115" s="17" t="s">
        <v>148</v>
      </c>
      <c r="B115" s="18">
        <v>46073</v>
      </c>
      <c r="C115" s="17" t="s">
        <v>119</v>
      </c>
      <c r="D115" s="17" t="s">
        <v>25</v>
      </c>
      <c r="E115" s="17" t="s">
        <v>35</v>
      </c>
      <c r="F115" s="17" t="s">
        <v>38</v>
      </c>
      <c r="G115" s="19">
        <v>99058</v>
      </c>
      <c r="H115" s="19">
        <v>117900</v>
      </c>
      <c r="I115" s="19">
        <f t="shared" si="2"/>
        <v>18842</v>
      </c>
      <c r="J115" s="20">
        <f t="shared" si="3"/>
        <v>0.19021179510993561</v>
      </c>
    </row>
    <row r="116" spans="1:10" x14ac:dyDescent="0.2">
      <c r="A116" s="17" t="s">
        <v>149</v>
      </c>
      <c r="B116" s="18">
        <v>46065</v>
      </c>
      <c r="C116" s="17" t="s">
        <v>119</v>
      </c>
      <c r="D116" s="17" t="s">
        <v>25</v>
      </c>
      <c r="E116" s="17" t="s">
        <v>46</v>
      </c>
      <c r="F116" s="17" t="s">
        <v>32</v>
      </c>
      <c r="G116" s="19">
        <v>159655</v>
      </c>
      <c r="H116" s="19">
        <v>163100</v>
      </c>
      <c r="I116" s="19">
        <f t="shared" si="2"/>
        <v>3445</v>
      </c>
      <c r="J116" s="20">
        <f t="shared" si="3"/>
        <v>2.1577777081832703E-2</v>
      </c>
    </row>
    <row r="117" spans="1:10" x14ac:dyDescent="0.2">
      <c r="A117" s="17" t="s">
        <v>150</v>
      </c>
      <c r="B117" s="18">
        <v>46057</v>
      </c>
      <c r="C117" s="17" t="s">
        <v>119</v>
      </c>
      <c r="D117" s="17" t="s">
        <v>13</v>
      </c>
      <c r="E117" s="17" t="s">
        <v>46</v>
      </c>
      <c r="F117" s="17" t="s">
        <v>41</v>
      </c>
      <c r="G117" s="19">
        <v>130115</v>
      </c>
      <c r="H117" s="19">
        <v>153400</v>
      </c>
      <c r="I117" s="19">
        <f t="shared" si="2"/>
        <v>23285</v>
      </c>
      <c r="J117" s="20">
        <f t="shared" si="3"/>
        <v>0.17895707643238673</v>
      </c>
    </row>
    <row r="118" spans="1:10" x14ac:dyDescent="0.2">
      <c r="A118" s="17" t="s">
        <v>151</v>
      </c>
      <c r="B118" s="18">
        <v>46077</v>
      </c>
      <c r="C118" s="17" t="s">
        <v>119</v>
      </c>
      <c r="D118" s="17" t="s">
        <v>49</v>
      </c>
      <c r="E118" s="17" t="s">
        <v>31</v>
      </c>
      <c r="F118" s="17" t="s">
        <v>18</v>
      </c>
      <c r="G118" s="19">
        <v>60105</v>
      </c>
      <c r="H118" s="19">
        <v>61600</v>
      </c>
      <c r="I118" s="19">
        <f t="shared" si="2"/>
        <v>1495</v>
      </c>
      <c r="J118" s="20">
        <f t="shared" si="3"/>
        <v>2.4873138673987188E-2</v>
      </c>
    </row>
    <row r="119" spans="1:10" x14ac:dyDescent="0.2">
      <c r="A119" s="17" t="s">
        <v>152</v>
      </c>
      <c r="B119" s="18">
        <v>46068</v>
      </c>
      <c r="C119" s="17" t="s">
        <v>119</v>
      </c>
      <c r="D119" s="17" t="s">
        <v>13</v>
      </c>
      <c r="E119" s="17" t="s">
        <v>31</v>
      </c>
      <c r="F119" s="17" t="s">
        <v>38</v>
      </c>
      <c r="G119" s="19">
        <v>161078</v>
      </c>
      <c r="H119" s="19">
        <v>186800</v>
      </c>
      <c r="I119" s="19">
        <f t="shared" si="2"/>
        <v>25722</v>
      </c>
      <c r="J119" s="20">
        <f t="shared" si="3"/>
        <v>0.15968661145531979</v>
      </c>
    </row>
    <row r="120" spans="1:10" x14ac:dyDescent="0.2">
      <c r="A120" s="17" t="s">
        <v>153</v>
      </c>
      <c r="B120" s="18">
        <v>46056</v>
      </c>
      <c r="C120" s="17" t="s">
        <v>119</v>
      </c>
      <c r="D120" s="17" t="s">
        <v>12</v>
      </c>
      <c r="E120" s="17" t="s">
        <v>65</v>
      </c>
      <c r="F120" s="17" t="s">
        <v>14</v>
      </c>
      <c r="G120" s="19">
        <v>84355</v>
      </c>
      <c r="H120" s="19">
        <v>99700</v>
      </c>
      <c r="I120" s="19">
        <f t="shared" si="2"/>
        <v>15345</v>
      </c>
      <c r="J120" s="20">
        <f t="shared" si="3"/>
        <v>0.18190978602335367</v>
      </c>
    </row>
    <row r="121" spans="1:10" x14ac:dyDescent="0.2">
      <c r="A121" s="17" t="s">
        <v>154</v>
      </c>
      <c r="B121" s="18">
        <v>46075</v>
      </c>
      <c r="C121" s="17" t="s">
        <v>119</v>
      </c>
      <c r="D121" s="17" t="s">
        <v>13</v>
      </c>
      <c r="E121" s="17" t="s">
        <v>46</v>
      </c>
      <c r="F121" s="17" t="s">
        <v>32</v>
      </c>
      <c r="G121" s="19">
        <v>141820</v>
      </c>
      <c r="H121" s="19">
        <v>152900</v>
      </c>
      <c r="I121" s="19">
        <f t="shared" si="2"/>
        <v>11080</v>
      </c>
      <c r="J121" s="20">
        <f t="shared" si="3"/>
        <v>7.8127203497391065E-2</v>
      </c>
    </row>
    <row r="122" spans="1:10" x14ac:dyDescent="0.2">
      <c r="A122" s="17" t="s">
        <v>155</v>
      </c>
      <c r="B122" s="18">
        <v>46059</v>
      </c>
      <c r="C122" s="17" t="s">
        <v>119</v>
      </c>
      <c r="D122" s="17" t="s">
        <v>13</v>
      </c>
      <c r="E122" s="17" t="s">
        <v>13</v>
      </c>
      <c r="F122" s="17" t="s">
        <v>38</v>
      </c>
      <c r="G122" s="19">
        <v>149579</v>
      </c>
      <c r="H122" s="19">
        <v>178100</v>
      </c>
      <c r="I122" s="19">
        <f t="shared" si="2"/>
        <v>28521</v>
      </c>
      <c r="J122" s="20">
        <f t="shared" si="3"/>
        <v>0.19067516162028092</v>
      </c>
    </row>
    <row r="123" spans="1:10" x14ac:dyDescent="0.2">
      <c r="A123" s="17" t="s">
        <v>156</v>
      </c>
      <c r="B123" s="18">
        <v>46073</v>
      </c>
      <c r="C123" s="17" t="s">
        <v>119</v>
      </c>
      <c r="D123" s="17" t="s">
        <v>16</v>
      </c>
      <c r="E123" s="17" t="s">
        <v>31</v>
      </c>
      <c r="F123" s="17" t="s">
        <v>21</v>
      </c>
      <c r="G123" s="19">
        <v>87725</v>
      </c>
      <c r="H123" s="19">
        <v>86500</v>
      </c>
      <c r="I123" s="19">
        <f t="shared" si="2"/>
        <v>-1225</v>
      </c>
      <c r="J123" s="20">
        <f t="shared" si="3"/>
        <v>-1.396409233399829E-2</v>
      </c>
    </row>
    <row r="124" spans="1:10" x14ac:dyDescent="0.2">
      <c r="A124" s="17" t="s">
        <v>157</v>
      </c>
      <c r="B124" s="18">
        <v>46060</v>
      </c>
      <c r="C124" s="17" t="s">
        <v>119</v>
      </c>
      <c r="D124" s="17" t="s">
        <v>25</v>
      </c>
      <c r="E124" s="17" t="s">
        <v>13</v>
      </c>
      <c r="F124" s="17" t="s">
        <v>27</v>
      </c>
      <c r="G124" s="19">
        <v>22661</v>
      </c>
      <c r="H124" s="19">
        <v>23900</v>
      </c>
      <c r="I124" s="19">
        <f t="shared" si="2"/>
        <v>1239</v>
      </c>
      <c r="J124" s="20">
        <f t="shared" si="3"/>
        <v>5.4675433564273422E-2</v>
      </c>
    </row>
    <row r="125" spans="1:10" x14ac:dyDescent="0.2">
      <c r="A125" s="17" t="s">
        <v>158</v>
      </c>
      <c r="B125" s="18">
        <v>46061</v>
      </c>
      <c r="C125" s="17" t="s">
        <v>119</v>
      </c>
      <c r="D125" s="17" t="s">
        <v>16</v>
      </c>
      <c r="E125" s="17" t="s">
        <v>65</v>
      </c>
      <c r="F125" s="17" t="s">
        <v>41</v>
      </c>
      <c r="G125" s="19">
        <v>148077</v>
      </c>
      <c r="H125" s="19">
        <v>158700</v>
      </c>
      <c r="I125" s="19">
        <f t="shared" si="2"/>
        <v>10623</v>
      </c>
      <c r="J125" s="20">
        <f t="shared" si="3"/>
        <v>7.1739702992362084E-2</v>
      </c>
    </row>
    <row r="126" spans="1:10" x14ac:dyDescent="0.2">
      <c r="A126" s="17" t="s">
        <v>159</v>
      </c>
      <c r="B126" s="18">
        <v>46056</v>
      </c>
      <c r="C126" s="17" t="s">
        <v>119</v>
      </c>
      <c r="D126" s="17" t="s">
        <v>12</v>
      </c>
      <c r="E126" s="17" t="s">
        <v>13</v>
      </c>
      <c r="F126" s="17" t="s">
        <v>27</v>
      </c>
      <c r="G126" s="19">
        <v>137486</v>
      </c>
      <c r="H126" s="19">
        <v>160500</v>
      </c>
      <c r="I126" s="19">
        <f t="shared" si="2"/>
        <v>23014</v>
      </c>
      <c r="J126" s="20">
        <f t="shared" si="3"/>
        <v>0.16739158896178519</v>
      </c>
    </row>
    <row r="127" spans="1:10" x14ac:dyDescent="0.2">
      <c r="A127" s="17" t="s">
        <v>160</v>
      </c>
      <c r="B127" s="18">
        <v>46072</v>
      </c>
      <c r="C127" s="17" t="s">
        <v>119</v>
      </c>
      <c r="D127" s="17" t="s">
        <v>12</v>
      </c>
      <c r="E127" s="17" t="s">
        <v>65</v>
      </c>
      <c r="F127" s="17" t="s">
        <v>21</v>
      </c>
      <c r="G127" s="19">
        <v>83780</v>
      </c>
      <c r="H127" s="19">
        <v>81500</v>
      </c>
      <c r="I127" s="19">
        <f t="shared" si="2"/>
        <v>-2280</v>
      </c>
      <c r="J127" s="20">
        <f t="shared" si="3"/>
        <v>-2.7214132251133921E-2</v>
      </c>
    </row>
    <row r="128" spans="1:10" x14ac:dyDescent="0.2">
      <c r="A128" s="17" t="s">
        <v>161</v>
      </c>
      <c r="B128" s="18">
        <v>46077</v>
      </c>
      <c r="C128" s="17" t="s">
        <v>119</v>
      </c>
      <c r="D128" s="17" t="s">
        <v>49</v>
      </c>
      <c r="E128" s="17" t="s">
        <v>46</v>
      </c>
      <c r="F128" s="17" t="s">
        <v>38</v>
      </c>
      <c r="G128" s="19">
        <v>159177</v>
      </c>
      <c r="H128" s="19">
        <v>157200</v>
      </c>
      <c r="I128" s="19">
        <f t="shared" si="2"/>
        <v>-1977</v>
      </c>
      <c r="J128" s="20">
        <f t="shared" si="3"/>
        <v>-1.2420136074935448E-2</v>
      </c>
    </row>
    <row r="129" spans="1:10" x14ac:dyDescent="0.2">
      <c r="A129" s="17" t="s">
        <v>162</v>
      </c>
      <c r="B129" s="18">
        <v>46062</v>
      </c>
      <c r="C129" s="17" t="s">
        <v>119</v>
      </c>
      <c r="D129" s="17" t="s">
        <v>20</v>
      </c>
      <c r="E129" s="17" t="s">
        <v>17</v>
      </c>
      <c r="F129" s="17" t="s">
        <v>14</v>
      </c>
      <c r="G129" s="19">
        <v>138946</v>
      </c>
      <c r="H129" s="19">
        <v>133200</v>
      </c>
      <c r="I129" s="19">
        <f t="shared" si="2"/>
        <v>-5746</v>
      </c>
      <c r="J129" s="20">
        <f t="shared" si="3"/>
        <v>-4.1354195154952283E-2</v>
      </c>
    </row>
    <row r="130" spans="1:10" x14ac:dyDescent="0.2">
      <c r="A130" s="17" t="s">
        <v>163</v>
      </c>
      <c r="B130" s="18">
        <v>46071</v>
      </c>
      <c r="C130" s="17" t="s">
        <v>119</v>
      </c>
      <c r="D130" s="17" t="s">
        <v>16</v>
      </c>
      <c r="E130" s="17" t="s">
        <v>26</v>
      </c>
      <c r="F130" s="17" t="s">
        <v>14</v>
      </c>
      <c r="G130" s="19">
        <v>102719</v>
      </c>
      <c r="H130" s="19">
        <v>92200</v>
      </c>
      <c r="I130" s="19">
        <f t="shared" ref="I130:I193" si="4">H130-G130</f>
        <v>-10519</v>
      </c>
      <c r="J130" s="20">
        <f t="shared" ref="J130:J193" si="5">IFERROR(I130/G130,0)</f>
        <v>-0.10240559195475034</v>
      </c>
    </row>
    <row r="131" spans="1:10" x14ac:dyDescent="0.2">
      <c r="A131" s="17" t="s">
        <v>164</v>
      </c>
      <c r="B131" s="18">
        <v>46062</v>
      </c>
      <c r="C131" s="17" t="s">
        <v>119</v>
      </c>
      <c r="D131" s="17" t="s">
        <v>16</v>
      </c>
      <c r="E131" s="17" t="s">
        <v>31</v>
      </c>
      <c r="F131" s="17" t="s">
        <v>29</v>
      </c>
      <c r="G131" s="19">
        <v>76723</v>
      </c>
      <c r="H131" s="19">
        <v>87900</v>
      </c>
      <c r="I131" s="19">
        <f t="shared" si="4"/>
        <v>11177</v>
      </c>
      <c r="J131" s="20">
        <f t="shared" si="5"/>
        <v>0.1456799134548962</v>
      </c>
    </row>
    <row r="132" spans="1:10" x14ac:dyDescent="0.2">
      <c r="A132" s="17" t="s">
        <v>165</v>
      </c>
      <c r="B132" s="18">
        <v>46065</v>
      </c>
      <c r="C132" s="17" t="s">
        <v>119</v>
      </c>
      <c r="D132" s="17" t="s">
        <v>20</v>
      </c>
      <c r="E132" s="17" t="s">
        <v>31</v>
      </c>
      <c r="F132" s="17" t="s">
        <v>32</v>
      </c>
      <c r="G132" s="19">
        <v>70886</v>
      </c>
      <c r="H132" s="19">
        <v>68700</v>
      </c>
      <c r="I132" s="19">
        <f t="shared" si="4"/>
        <v>-2186</v>
      </c>
      <c r="J132" s="20">
        <f t="shared" si="5"/>
        <v>-3.0838247326693564E-2</v>
      </c>
    </row>
    <row r="133" spans="1:10" x14ac:dyDescent="0.2">
      <c r="A133" s="17" t="s">
        <v>166</v>
      </c>
      <c r="B133" s="18">
        <v>46055</v>
      </c>
      <c r="C133" s="17" t="s">
        <v>119</v>
      </c>
      <c r="D133" s="17" t="s">
        <v>25</v>
      </c>
      <c r="E133" s="17" t="s">
        <v>31</v>
      </c>
      <c r="F133" s="17" t="s">
        <v>51</v>
      </c>
      <c r="G133" s="19">
        <v>160020</v>
      </c>
      <c r="H133" s="19">
        <v>144100</v>
      </c>
      <c r="I133" s="19">
        <f t="shared" si="4"/>
        <v>-15920</v>
      </c>
      <c r="J133" s="20">
        <f t="shared" si="5"/>
        <v>-9.9487564054493188E-2</v>
      </c>
    </row>
    <row r="134" spans="1:10" x14ac:dyDescent="0.2">
      <c r="A134" s="17" t="s">
        <v>167</v>
      </c>
      <c r="B134" s="18">
        <v>46069</v>
      </c>
      <c r="C134" s="17" t="s">
        <v>119</v>
      </c>
      <c r="D134" s="17" t="s">
        <v>25</v>
      </c>
      <c r="E134" s="17" t="s">
        <v>35</v>
      </c>
      <c r="F134" s="17" t="s">
        <v>18</v>
      </c>
      <c r="G134" s="19">
        <v>187213</v>
      </c>
      <c r="H134" s="19">
        <v>224200</v>
      </c>
      <c r="I134" s="19">
        <f t="shared" si="4"/>
        <v>36987</v>
      </c>
      <c r="J134" s="20">
        <f t="shared" si="5"/>
        <v>0.19756640831566183</v>
      </c>
    </row>
    <row r="135" spans="1:10" x14ac:dyDescent="0.2">
      <c r="A135" s="17" t="s">
        <v>168</v>
      </c>
      <c r="B135" s="18">
        <v>46068</v>
      </c>
      <c r="C135" s="17" t="s">
        <v>119</v>
      </c>
      <c r="D135" s="17" t="s">
        <v>12</v>
      </c>
      <c r="E135" s="17" t="s">
        <v>26</v>
      </c>
      <c r="F135" s="17" t="s">
        <v>32</v>
      </c>
      <c r="G135" s="19">
        <v>94537</v>
      </c>
      <c r="H135" s="19">
        <v>98100</v>
      </c>
      <c r="I135" s="19">
        <f t="shared" si="4"/>
        <v>3563</v>
      </c>
      <c r="J135" s="20">
        <f t="shared" si="5"/>
        <v>3.7688947184700172E-2</v>
      </c>
    </row>
    <row r="136" spans="1:10" x14ac:dyDescent="0.2">
      <c r="A136" s="17" t="s">
        <v>169</v>
      </c>
      <c r="B136" s="18">
        <v>46069</v>
      </c>
      <c r="C136" s="17" t="s">
        <v>119</v>
      </c>
      <c r="D136" s="17" t="s">
        <v>25</v>
      </c>
      <c r="E136" s="17" t="s">
        <v>17</v>
      </c>
      <c r="F136" s="17" t="s">
        <v>27</v>
      </c>
      <c r="G136" s="19">
        <v>86185</v>
      </c>
      <c r="H136" s="19">
        <v>105700</v>
      </c>
      <c r="I136" s="19">
        <f t="shared" si="4"/>
        <v>19515</v>
      </c>
      <c r="J136" s="20">
        <f t="shared" si="5"/>
        <v>0.22643151360445554</v>
      </c>
    </row>
    <row r="137" spans="1:10" x14ac:dyDescent="0.2">
      <c r="A137" s="17" t="s">
        <v>170</v>
      </c>
      <c r="B137" s="18">
        <v>46074</v>
      </c>
      <c r="C137" s="17" t="s">
        <v>119</v>
      </c>
      <c r="D137" s="17" t="s">
        <v>16</v>
      </c>
      <c r="E137" s="17" t="s">
        <v>35</v>
      </c>
      <c r="F137" s="17" t="s">
        <v>51</v>
      </c>
      <c r="G137" s="19">
        <v>148908</v>
      </c>
      <c r="H137" s="19">
        <v>131000</v>
      </c>
      <c r="I137" s="19">
        <f t="shared" si="4"/>
        <v>-17908</v>
      </c>
      <c r="J137" s="20">
        <f t="shared" si="5"/>
        <v>-0.12026217530287157</v>
      </c>
    </row>
    <row r="138" spans="1:10" x14ac:dyDescent="0.2">
      <c r="A138" s="17" t="s">
        <v>171</v>
      </c>
      <c r="B138" s="18">
        <v>46063</v>
      </c>
      <c r="C138" s="17" t="s">
        <v>119</v>
      </c>
      <c r="D138" s="17" t="s">
        <v>25</v>
      </c>
      <c r="E138" s="17" t="s">
        <v>13</v>
      </c>
      <c r="F138" s="17" t="s">
        <v>29</v>
      </c>
      <c r="G138" s="19">
        <v>59111</v>
      </c>
      <c r="H138" s="19">
        <v>69400</v>
      </c>
      <c r="I138" s="19">
        <f t="shared" si="4"/>
        <v>10289</v>
      </c>
      <c r="J138" s="20">
        <f t="shared" si="5"/>
        <v>0.17406235726007005</v>
      </c>
    </row>
    <row r="139" spans="1:10" x14ac:dyDescent="0.2">
      <c r="A139" s="17" t="s">
        <v>172</v>
      </c>
      <c r="B139" s="18">
        <v>46073</v>
      </c>
      <c r="C139" s="17" t="s">
        <v>119</v>
      </c>
      <c r="D139" s="17" t="s">
        <v>49</v>
      </c>
      <c r="E139" s="17" t="s">
        <v>13</v>
      </c>
      <c r="F139" s="17" t="s">
        <v>21</v>
      </c>
      <c r="G139" s="19">
        <v>166295</v>
      </c>
      <c r="H139" s="19">
        <v>192200</v>
      </c>
      <c r="I139" s="19">
        <f t="shared" si="4"/>
        <v>25905</v>
      </c>
      <c r="J139" s="20">
        <f t="shared" si="5"/>
        <v>0.15577738356535073</v>
      </c>
    </row>
    <row r="140" spans="1:10" x14ac:dyDescent="0.2">
      <c r="A140" s="17" t="s">
        <v>173</v>
      </c>
      <c r="B140" s="18">
        <v>46068</v>
      </c>
      <c r="C140" s="17" t="s">
        <v>119</v>
      </c>
      <c r="D140" s="17" t="s">
        <v>12</v>
      </c>
      <c r="E140" s="17" t="s">
        <v>23</v>
      </c>
      <c r="F140" s="17" t="s">
        <v>44</v>
      </c>
      <c r="G140" s="19">
        <v>119713</v>
      </c>
      <c r="H140" s="19">
        <v>123300</v>
      </c>
      <c r="I140" s="19">
        <f t="shared" si="4"/>
        <v>3587</v>
      </c>
      <c r="J140" s="20">
        <f t="shared" si="5"/>
        <v>2.9963328961766893E-2</v>
      </c>
    </row>
    <row r="141" spans="1:10" x14ac:dyDescent="0.2">
      <c r="A141" s="17" t="s">
        <v>174</v>
      </c>
      <c r="B141" s="18">
        <v>46073</v>
      </c>
      <c r="C141" s="17" t="s">
        <v>119</v>
      </c>
      <c r="D141" s="17" t="s">
        <v>16</v>
      </c>
      <c r="E141" s="17" t="s">
        <v>17</v>
      </c>
      <c r="F141" s="17" t="s">
        <v>14</v>
      </c>
      <c r="G141" s="19">
        <v>169062</v>
      </c>
      <c r="H141" s="19">
        <v>185700</v>
      </c>
      <c r="I141" s="19">
        <f t="shared" si="4"/>
        <v>16638</v>
      </c>
      <c r="J141" s="20">
        <f t="shared" si="5"/>
        <v>9.8413599744472446E-2</v>
      </c>
    </row>
    <row r="142" spans="1:10" x14ac:dyDescent="0.2">
      <c r="A142" s="17" t="s">
        <v>175</v>
      </c>
      <c r="B142" s="18">
        <v>46075</v>
      </c>
      <c r="C142" s="17" t="s">
        <v>119</v>
      </c>
      <c r="D142" s="17" t="s">
        <v>25</v>
      </c>
      <c r="E142" s="17" t="s">
        <v>26</v>
      </c>
      <c r="F142" s="17" t="s">
        <v>14</v>
      </c>
      <c r="G142" s="19">
        <v>183975</v>
      </c>
      <c r="H142" s="19">
        <v>171900</v>
      </c>
      <c r="I142" s="19">
        <f t="shared" si="4"/>
        <v>-12075</v>
      </c>
      <c r="J142" s="20">
        <f t="shared" si="5"/>
        <v>-6.5633917651854876E-2</v>
      </c>
    </row>
    <row r="143" spans="1:10" x14ac:dyDescent="0.2">
      <c r="A143" s="17" t="s">
        <v>176</v>
      </c>
      <c r="B143" s="18">
        <v>46059</v>
      </c>
      <c r="C143" s="17" t="s">
        <v>119</v>
      </c>
      <c r="D143" s="17" t="s">
        <v>25</v>
      </c>
      <c r="E143" s="17" t="s">
        <v>23</v>
      </c>
      <c r="F143" s="17" t="s">
        <v>41</v>
      </c>
      <c r="G143" s="19">
        <v>65564</v>
      </c>
      <c r="H143" s="19">
        <v>70200</v>
      </c>
      <c r="I143" s="19">
        <f t="shared" si="4"/>
        <v>4636</v>
      </c>
      <c r="J143" s="20">
        <f t="shared" si="5"/>
        <v>7.0709535720822406E-2</v>
      </c>
    </row>
    <row r="144" spans="1:10" x14ac:dyDescent="0.2">
      <c r="A144" s="17" t="s">
        <v>177</v>
      </c>
      <c r="B144" s="18">
        <v>46055</v>
      </c>
      <c r="C144" s="17" t="s">
        <v>119</v>
      </c>
      <c r="D144" s="17" t="s">
        <v>20</v>
      </c>
      <c r="E144" s="17" t="s">
        <v>31</v>
      </c>
      <c r="F144" s="17" t="s">
        <v>44</v>
      </c>
      <c r="G144" s="19">
        <v>175664</v>
      </c>
      <c r="H144" s="19">
        <v>182300</v>
      </c>
      <c r="I144" s="19">
        <f t="shared" si="4"/>
        <v>6636</v>
      </c>
      <c r="J144" s="20">
        <f t="shared" si="5"/>
        <v>3.7776664541397213E-2</v>
      </c>
    </row>
    <row r="145" spans="1:10" x14ac:dyDescent="0.2">
      <c r="A145" s="17" t="s">
        <v>178</v>
      </c>
      <c r="B145" s="18">
        <v>46061</v>
      </c>
      <c r="C145" s="17" t="s">
        <v>119</v>
      </c>
      <c r="D145" s="17" t="s">
        <v>12</v>
      </c>
      <c r="E145" s="17" t="s">
        <v>13</v>
      </c>
      <c r="F145" s="17" t="s">
        <v>27</v>
      </c>
      <c r="G145" s="19">
        <v>139021</v>
      </c>
      <c r="H145" s="19">
        <v>122100</v>
      </c>
      <c r="I145" s="19">
        <f t="shared" si="4"/>
        <v>-16921</v>
      </c>
      <c r="J145" s="20">
        <f t="shared" si="5"/>
        <v>-0.12171542428841686</v>
      </c>
    </row>
    <row r="146" spans="1:10" x14ac:dyDescent="0.2">
      <c r="A146" s="17" t="s">
        <v>179</v>
      </c>
      <c r="B146" s="18">
        <v>46074</v>
      </c>
      <c r="C146" s="17" t="s">
        <v>119</v>
      </c>
      <c r="D146" s="17" t="s">
        <v>20</v>
      </c>
      <c r="E146" s="17" t="s">
        <v>31</v>
      </c>
      <c r="F146" s="17" t="s">
        <v>51</v>
      </c>
      <c r="G146" s="19">
        <v>50087</v>
      </c>
      <c r="H146" s="19">
        <v>53500</v>
      </c>
      <c r="I146" s="19">
        <f t="shared" si="4"/>
        <v>3413</v>
      </c>
      <c r="J146" s="20">
        <f t="shared" si="5"/>
        <v>6.8141433905005294E-2</v>
      </c>
    </row>
    <row r="147" spans="1:10" x14ac:dyDescent="0.2">
      <c r="A147" s="17" t="s">
        <v>180</v>
      </c>
      <c r="B147" s="18">
        <v>46079</v>
      </c>
      <c r="C147" s="17" t="s">
        <v>119</v>
      </c>
      <c r="D147" s="17" t="s">
        <v>12</v>
      </c>
      <c r="E147" s="17" t="s">
        <v>31</v>
      </c>
      <c r="F147" s="17" t="s">
        <v>41</v>
      </c>
      <c r="G147" s="19">
        <v>38719</v>
      </c>
      <c r="H147" s="19">
        <v>33800</v>
      </c>
      <c r="I147" s="19">
        <f t="shared" si="4"/>
        <v>-4919</v>
      </c>
      <c r="J147" s="20">
        <f t="shared" si="5"/>
        <v>-0.12704357034014307</v>
      </c>
    </row>
    <row r="148" spans="1:10" x14ac:dyDescent="0.2">
      <c r="A148" s="17" t="s">
        <v>181</v>
      </c>
      <c r="B148" s="18">
        <v>46063</v>
      </c>
      <c r="C148" s="17" t="s">
        <v>119</v>
      </c>
      <c r="D148" s="17" t="s">
        <v>16</v>
      </c>
      <c r="E148" s="17" t="s">
        <v>23</v>
      </c>
      <c r="F148" s="17" t="s">
        <v>44</v>
      </c>
      <c r="G148" s="19">
        <v>52598</v>
      </c>
      <c r="H148" s="19">
        <v>54600</v>
      </c>
      <c r="I148" s="19">
        <f t="shared" si="4"/>
        <v>2002</v>
      </c>
      <c r="J148" s="20">
        <f t="shared" si="5"/>
        <v>3.8062283737024222E-2</v>
      </c>
    </row>
    <row r="149" spans="1:10" x14ac:dyDescent="0.2">
      <c r="A149" s="17" t="s">
        <v>182</v>
      </c>
      <c r="B149" s="18">
        <v>46068</v>
      </c>
      <c r="C149" s="17" t="s">
        <v>119</v>
      </c>
      <c r="D149" s="17" t="s">
        <v>25</v>
      </c>
      <c r="E149" s="17" t="s">
        <v>35</v>
      </c>
      <c r="F149" s="17" t="s">
        <v>27</v>
      </c>
      <c r="G149" s="19">
        <v>151195</v>
      </c>
      <c r="H149" s="19">
        <v>161200</v>
      </c>
      <c r="I149" s="19">
        <f t="shared" si="4"/>
        <v>10005</v>
      </c>
      <c r="J149" s="20">
        <f t="shared" si="5"/>
        <v>6.6172823175369558E-2</v>
      </c>
    </row>
    <row r="150" spans="1:10" x14ac:dyDescent="0.2">
      <c r="A150" s="17" t="s">
        <v>183</v>
      </c>
      <c r="B150" s="18">
        <v>46054</v>
      </c>
      <c r="C150" s="17" t="s">
        <v>119</v>
      </c>
      <c r="D150" s="17" t="s">
        <v>25</v>
      </c>
      <c r="E150" s="17" t="s">
        <v>13</v>
      </c>
      <c r="F150" s="17" t="s">
        <v>18</v>
      </c>
      <c r="G150" s="19">
        <v>104494</v>
      </c>
      <c r="H150" s="19">
        <v>114100</v>
      </c>
      <c r="I150" s="19">
        <f t="shared" si="4"/>
        <v>9606</v>
      </c>
      <c r="J150" s="20">
        <f t="shared" si="5"/>
        <v>9.1928723180278296E-2</v>
      </c>
    </row>
    <row r="151" spans="1:10" x14ac:dyDescent="0.2">
      <c r="A151" s="17" t="s">
        <v>184</v>
      </c>
      <c r="B151" s="18">
        <v>46078</v>
      </c>
      <c r="C151" s="17" t="s">
        <v>119</v>
      </c>
      <c r="D151" s="17" t="s">
        <v>16</v>
      </c>
      <c r="E151" s="17" t="s">
        <v>31</v>
      </c>
      <c r="F151" s="17" t="s">
        <v>18</v>
      </c>
      <c r="G151" s="19">
        <v>173910</v>
      </c>
      <c r="H151" s="19">
        <v>214000</v>
      </c>
      <c r="I151" s="19">
        <f t="shared" si="4"/>
        <v>40090</v>
      </c>
      <c r="J151" s="20">
        <f t="shared" si="5"/>
        <v>0.23052153412684723</v>
      </c>
    </row>
    <row r="152" spans="1:10" x14ac:dyDescent="0.2">
      <c r="A152" s="17" t="s">
        <v>185</v>
      </c>
      <c r="B152" s="18">
        <v>46059</v>
      </c>
      <c r="C152" s="17" t="s">
        <v>119</v>
      </c>
      <c r="D152" s="17" t="s">
        <v>13</v>
      </c>
      <c r="E152" s="17" t="s">
        <v>65</v>
      </c>
      <c r="F152" s="17" t="s">
        <v>44</v>
      </c>
      <c r="G152" s="19">
        <v>30546</v>
      </c>
      <c r="H152" s="19">
        <v>35300</v>
      </c>
      <c r="I152" s="19">
        <f t="shared" si="4"/>
        <v>4754</v>
      </c>
      <c r="J152" s="20">
        <f t="shared" si="5"/>
        <v>0.15563412558109083</v>
      </c>
    </row>
    <row r="153" spans="1:10" x14ac:dyDescent="0.2">
      <c r="A153" s="17" t="s">
        <v>186</v>
      </c>
      <c r="B153" s="18">
        <v>46067</v>
      </c>
      <c r="C153" s="17" t="s">
        <v>119</v>
      </c>
      <c r="D153" s="17" t="s">
        <v>16</v>
      </c>
      <c r="E153" s="17" t="s">
        <v>65</v>
      </c>
      <c r="F153" s="17" t="s">
        <v>29</v>
      </c>
      <c r="G153" s="19">
        <v>67576</v>
      </c>
      <c r="H153" s="19">
        <v>84400</v>
      </c>
      <c r="I153" s="19">
        <f t="shared" si="4"/>
        <v>16824</v>
      </c>
      <c r="J153" s="20">
        <f t="shared" si="5"/>
        <v>0.24896412927666628</v>
      </c>
    </row>
    <row r="154" spans="1:10" x14ac:dyDescent="0.2">
      <c r="A154" s="17" t="s">
        <v>187</v>
      </c>
      <c r="B154" s="18">
        <v>46064</v>
      </c>
      <c r="C154" s="17" t="s">
        <v>119</v>
      </c>
      <c r="D154" s="17" t="s">
        <v>12</v>
      </c>
      <c r="E154" s="17" t="s">
        <v>17</v>
      </c>
      <c r="F154" s="17" t="s">
        <v>51</v>
      </c>
      <c r="G154" s="19">
        <v>143210</v>
      </c>
      <c r="H154" s="19">
        <v>141700</v>
      </c>
      <c r="I154" s="19">
        <f t="shared" si="4"/>
        <v>-1510</v>
      </c>
      <c r="J154" s="20">
        <f t="shared" si="5"/>
        <v>-1.054395642762377E-2</v>
      </c>
    </row>
    <row r="155" spans="1:10" x14ac:dyDescent="0.2">
      <c r="A155" s="17" t="s">
        <v>188</v>
      </c>
      <c r="B155" s="18">
        <v>46069</v>
      </c>
      <c r="C155" s="17" t="s">
        <v>119</v>
      </c>
      <c r="D155" s="17" t="s">
        <v>12</v>
      </c>
      <c r="E155" s="17" t="s">
        <v>23</v>
      </c>
      <c r="F155" s="17" t="s">
        <v>21</v>
      </c>
      <c r="G155" s="19">
        <v>106456</v>
      </c>
      <c r="H155" s="19">
        <v>108000</v>
      </c>
      <c r="I155" s="19">
        <f t="shared" si="4"/>
        <v>1544</v>
      </c>
      <c r="J155" s="20">
        <f t="shared" si="5"/>
        <v>1.4503644698279101E-2</v>
      </c>
    </row>
    <row r="156" spans="1:10" x14ac:dyDescent="0.2">
      <c r="A156" s="17" t="s">
        <v>189</v>
      </c>
      <c r="B156" s="18">
        <v>46064</v>
      </c>
      <c r="C156" s="17" t="s">
        <v>119</v>
      </c>
      <c r="D156" s="17" t="s">
        <v>12</v>
      </c>
      <c r="E156" s="17" t="s">
        <v>46</v>
      </c>
      <c r="F156" s="17" t="s">
        <v>29</v>
      </c>
      <c r="G156" s="19">
        <v>29619</v>
      </c>
      <c r="H156" s="19">
        <v>30600</v>
      </c>
      <c r="I156" s="19">
        <f t="shared" si="4"/>
        <v>981</v>
      </c>
      <c r="J156" s="20">
        <f t="shared" si="5"/>
        <v>3.3120632026739594E-2</v>
      </c>
    </row>
    <row r="157" spans="1:10" x14ac:dyDescent="0.2">
      <c r="A157" s="17" t="s">
        <v>190</v>
      </c>
      <c r="B157" s="18">
        <v>46080</v>
      </c>
      <c r="C157" s="17" t="s">
        <v>119</v>
      </c>
      <c r="D157" s="17" t="s">
        <v>25</v>
      </c>
      <c r="E157" s="17" t="s">
        <v>65</v>
      </c>
      <c r="F157" s="17" t="s">
        <v>27</v>
      </c>
      <c r="G157" s="19">
        <v>125952</v>
      </c>
      <c r="H157" s="19">
        <v>150600</v>
      </c>
      <c r="I157" s="19">
        <f t="shared" si="4"/>
        <v>24648</v>
      </c>
      <c r="J157" s="20">
        <f t="shared" si="5"/>
        <v>0.1956935975609756</v>
      </c>
    </row>
    <row r="158" spans="1:10" x14ac:dyDescent="0.2">
      <c r="A158" s="17" t="s">
        <v>191</v>
      </c>
      <c r="B158" s="18">
        <v>46065</v>
      </c>
      <c r="C158" s="17" t="s">
        <v>119</v>
      </c>
      <c r="D158" s="17" t="s">
        <v>49</v>
      </c>
      <c r="E158" s="17" t="s">
        <v>65</v>
      </c>
      <c r="F158" s="17" t="s">
        <v>41</v>
      </c>
      <c r="G158" s="19">
        <v>34209</v>
      </c>
      <c r="H158" s="19">
        <v>31600</v>
      </c>
      <c r="I158" s="19">
        <f t="shared" si="4"/>
        <v>-2609</v>
      </c>
      <c r="J158" s="20">
        <f t="shared" si="5"/>
        <v>-7.6266479581396707E-2</v>
      </c>
    </row>
    <row r="159" spans="1:10" x14ac:dyDescent="0.2">
      <c r="A159" s="17" t="s">
        <v>192</v>
      </c>
      <c r="B159" s="18">
        <v>46071</v>
      </c>
      <c r="C159" s="17" t="s">
        <v>119</v>
      </c>
      <c r="D159" s="17" t="s">
        <v>20</v>
      </c>
      <c r="E159" s="17" t="s">
        <v>31</v>
      </c>
      <c r="F159" s="17" t="s">
        <v>41</v>
      </c>
      <c r="G159" s="19">
        <v>33529</v>
      </c>
      <c r="H159" s="19">
        <v>31200</v>
      </c>
      <c r="I159" s="19">
        <f t="shared" si="4"/>
        <v>-2329</v>
      </c>
      <c r="J159" s="20">
        <f t="shared" si="5"/>
        <v>-6.9462256554027851E-2</v>
      </c>
    </row>
    <row r="160" spans="1:10" x14ac:dyDescent="0.2">
      <c r="A160" s="17" t="s">
        <v>193</v>
      </c>
      <c r="B160" s="18">
        <v>46074</v>
      </c>
      <c r="C160" s="17" t="s">
        <v>119</v>
      </c>
      <c r="D160" s="17" t="s">
        <v>49</v>
      </c>
      <c r="E160" s="17" t="s">
        <v>13</v>
      </c>
      <c r="F160" s="17" t="s">
        <v>51</v>
      </c>
      <c r="G160" s="19">
        <v>147064</v>
      </c>
      <c r="H160" s="19">
        <v>132100</v>
      </c>
      <c r="I160" s="19">
        <f t="shared" si="4"/>
        <v>-14964</v>
      </c>
      <c r="J160" s="20">
        <f t="shared" si="5"/>
        <v>-0.10175161834303433</v>
      </c>
    </row>
    <row r="161" spans="1:10" x14ac:dyDescent="0.2">
      <c r="A161" s="17" t="s">
        <v>194</v>
      </c>
      <c r="B161" s="18">
        <v>46071</v>
      </c>
      <c r="C161" s="17" t="s">
        <v>119</v>
      </c>
      <c r="D161" s="17" t="s">
        <v>13</v>
      </c>
      <c r="E161" s="17" t="s">
        <v>17</v>
      </c>
      <c r="F161" s="17" t="s">
        <v>14</v>
      </c>
      <c r="G161" s="19">
        <v>101461</v>
      </c>
      <c r="H161" s="19">
        <v>108600</v>
      </c>
      <c r="I161" s="19">
        <f t="shared" si="4"/>
        <v>7139</v>
      </c>
      <c r="J161" s="20">
        <f t="shared" si="5"/>
        <v>7.0362011019012224E-2</v>
      </c>
    </row>
    <row r="162" spans="1:10" x14ac:dyDescent="0.2">
      <c r="A162" s="17" t="s">
        <v>195</v>
      </c>
      <c r="B162" s="18">
        <v>46057</v>
      </c>
      <c r="C162" s="17" t="s">
        <v>119</v>
      </c>
      <c r="D162" s="17" t="s">
        <v>16</v>
      </c>
      <c r="E162" s="17" t="s">
        <v>26</v>
      </c>
      <c r="F162" s="17" t="s">
        <v>41</v>
      </c>
      <c r="G162" s="19">
        <v>49743</v>
      </c>
      <c r="H162" s="19">
        <v>51500</v>
      </c>
      <c r="I162" s="19">
        <f t="shared" si="4"/>
        <v>1757</v>
      </c>
      <c r="J162" s="20">
        <f t="shared" si="5"/>
        <v>3.532155278129586E-2</v>
      </c>
    </row>
    <row r="163" spans="1:10" x14ac:dyDescent="0.2">
      <c r="A163" s="17" t="s">
        <v>196</v>
      </c>
      <c r="B163" s="18">
        <v>46062</v>
      </c>
      <c r="C163" s="17" t="s">
        <v>119</v>
      </c>
      <c r="D163" s="17" t="s">
        <v>13</v>
      </c>
      <c r="E163" s="17" t="s">
        <v>65</v>
      </c>
      <c r="F163" s="17" t="s">
        <v>41</v>
      </c>
      <c r="G163" s="19">
        <v>96509</v>
      </c>
      <c r="H163" s="19">
        <v>101700</v>
      </c>
      <c r="I163" s="19">
        <f t="shared" si="4"/>
        <v>5191</v>
      </c>
      <c r="J163" s="20">
        <f t="shared" si="5"/>
        <v>5.3787729641795068E-2</v>
      </c>
    </row>
    <row r="164" spans="1:10" x14ac:dyDescent="0.2">
      <c r="A164" s="17" t="s">
        <v>197</v>
      </c>
      <c r="B164" s="18">
        <v>46058</v>
      </c>
      <c r="C164" s="17" t="s">
        <v>119</v>
      </c>
      <c r="D164" s="17" t="s">
        <v>13</v>
      </c>
      <c r="E164" s="17" t="s">
        <v>13</v>
      </c>
      <c r="F164" s="17" t="s">
        <v>18</v>
      </c>
      <c r="G164" s="19">
        <v>83892</v>
      </c>
      <c r="H164" s="19">
        <v>86600</v>
      </c>
      <c r="I164" s="19">
        <f t="shared" si="4"/>
        <v>2708</v>
      </c>
      <c r="J164" s="20">
        <f t="shared" si="5"/>
        <v>3.2279597577838173E-2</v>
      </c>
    </row>
    <row r="165" spans="1:10" x14ac:dyDescent="0.2">
      <c r="A165" s="17" t="s">
        <v>198</v>
      </c>
      <c r="B165" s="18">
        <v>46058</v>
      </c>
      <c r="C165" s="17" t="s">
        <v>119</v>
      </c>
      <c r="D165" s="17" t="s">
        <v>25</v>
      </c>
      <c r="E165" s="17" t="s">
        <v>31</v>
      </c>
      <c r="F165" s="17" t="s">
        <v>27</v>
      </c>
      <c r="G165" s="19">
        <v>153232</v>
      </c>
      <c r="H165" s="19">
        <v>176000</v>
      </c>
      <c r="I165" s="19">
        <f t="shared" si="4"/>
        <v>22768</v>
      </c>
      <c r="J165" s="20">
        <f t="shared" si="5"/>
        <v>0.14858515192649055</v>
      </c>
    </row>
    <row r="166" spans="1:10" x14ac:dyDescent="0.2">
      <c r="A166" s="17" t="s">
        <v>199</v>
      </c>
      <c r="B166" s="18">
        <v>46070</v>
      </c>
      <c r="C166" s="17" t="s">
        <v>119</v>
      </c>
      <c r="D166" s="17" t="s">
        <v>12</v>
      </c>
      <c r="E166" s="17" t="s">
        <v>35</v>
      </c>
      <c r="F166" s="17" t="s">
        <v>44</v>
      </c>
      <c r="G166" s="19">
        <v>109096</v>
      </c>
      <c r="H166" s="19">
        <v>133500</v>
      </c>
      <c r="I166" s="19">
        <f t="shared" si="4"/>
        <v>24404</v>
      </c>
      <c r="J166" s="20">
        <f t="shared" si="5"/>
        <v>0.22369289433159786</v>
      </c>
    </row>
    <row r="167" spans="1:10" x14ac:dyDescent="0.2">
      <c r="A167" s="17" t="s">
        <v>200</v>
      </c>
      <c r="B167" s="18">
        <v>46072</v>
      </c>
      <c r="C167" s="17" t="s">
        <v>119</v>
      </c>
      <c r="D167" s="17" t="s">
        <v>16</v>
      </c>
      <c r="E167" s="17" t="s">
        <v>65</v>
      </c>
      <c r="F167" s="17" t="s">
        <v>51</v>
      </c>
      <c r="G167" s="19">
        <v>98264</v>
      </c>
      <c r="H167" s="19">
        <v>116400</v>
      </c>
      <c r="I167" s="19">
        <f t="shared" si="4"/>
        <v>18136</v>
      </c>
      <c r="J167" s="20">
        <f t="shared" si="5"/>
        <v>0.18456403158837417</v>
      </c>
    </row>
    <row r="168" spans="1:10" x14ac:dyDescent="0.2">
      <c r="A168" s="17" t="s">
        <v>201</v>
      </c>
      <c r="B168" s="18">
        <v>46065</v>
      </c>
      <c r="C168" s="17" t="s">
        <v>119</v>
      </c>
      <c r="D168" s="17" t="s">
        <v>12</v>
      </c>
      <c r="E168" s="17" t="s">
        <v>23</v>
      </c>
      <c r="F168" s="17" t="s">
        <v>41</v>
      </c>
      <c r="G168" s="19">
        <v>137059</v>
      </c>
      <c r="H168" s="19">
        <v>146000</v>
      </c>
      <c r="I168" s="19">
        <f t="shared" si="4"/>
        <v>8941</v>
      </c>
      <c r="J168" s="20">
        <f t="shared" si="5"/>
        <v>6.5234679955347694E-2</v>
      </c>
    </row>
    <row r="169" spans="1:10" x14ac:dyDescent="0.2">
      <c r="A169" s="17" t="s">
        <v>202</v>
      </c>
      <c r="B169" s="18">
        <v>46076</v>
      </c>
      <c r="C169" s="17" t="s">
        <v>119</v>
      </c>
      <c r="D169" s="17" t="s">
        <v>20</v>
      </c>
      <c r="E169" s="17" t="s">
        <v>23</v>
      </c>
      <c r="F169" s="17" t="s">
        <v>14</v>
      </c>
      <c r="G169" s="19">
        <v>104352</v>
      </c>
      <c r="H169" s="19">
        <v>125000</v>
      </c>
      <c r="I169" s="19">
        <f t="shared" si="4"/>
        <v>20648</v>
      </c>
      <c r="J169" s="20">
        <f t="shared" si="5"/>
        <v>0.19786875191659001</v>
      </c>
    </row>
    <row r="170" spans="1:10" x14ac:dyDescent="0.2">
      <c r="A170" s="17" t="s">
        <v>203</v>
      </c>
      <c r="B170" s="18">
        <v>46105</v>
      </c>
      <c r="C170" s="17" t="s">
        <v>204</v>
      </c>
      <c r="D170" s="17" t="s">
        <v>13</v>
      </c>
      <c r="E170" s="17" t="s">
        <v>23</v>
      </c>
      <c r="F170" s="17" t="s">
        <v>27</v>
      </c>
      <c r="G170" s="19">
        <v>127682</v>
      </c>
      <c r="H170" s="19">
        <v>110800</v>
      </c>
      <c r="I170" s="19">
        <f t="shared" si="4"/>
        <v>-16882</v>
      </c>
      <c r="J170" s="20">
        <f t="shared" si="5"/>
        <v>-0.13221910684356447</v>
      </c>
    </row>
    <row r="171" spans="1:10" x14ac:dyDescent="0.2">
      <c r="A171" s="17" t="s">
        <v>205</v>
      </c>
      <c r="B171" s="18">
        <v>46102</v>
      </c>
      <c r="C171" s="17" t="s">
        <v>204</v>
      </c>
      <c r="D171" s="17" t="s">
        <v>20</v>
      </c>
      <c r="E171" s="17" t="s">
        <v>65</v>
      </c>
      <c r="F171" s="17" t="s">
        <v>32</v>
      </c>
      <c r="G171" s="19">
        <v>193982</v>
      </c>
      <c r="H171" s="19">
        <v>226400</v>
      </c>
      <c r="I171" s="19">
        <f t="shared" si="4"/>
        <v>32418</v>
      </c>
      <c r="J171" s="20">
        <f t="shared" si="5"/>
        <v>0.16711859863286285</v>
      </c>
    </row>
    <row r="172" spans="1:10" x14ac:dyDescent="0.2">
      <c r="A172" s="17" t="s">
        <v>206</v>
      </c>
      <c r="B172" s="18">
        <v>46100</v>
      </c>
      <c r="C172" s="17" t="s">
        <v>204</v>
      </c>
      <c r="D172" s="17" t="s">
        <v>12</v>
      </c>
      <c r="E172" s="17" t="s">
        <v>17</v>
      </c>
      <c r="F172" s="17" t="s">
        <v>41</v>
      </c>
      <c r="G172" s="19">
        <v>53094</v>
      </c>
      <c r="H172" s="19">
        <v>55800</v>
      </c>
      <c r="I172" s="19">
        <f t="shared" si="4"/>
        <v>2706</v>
      </c>
      <c r="J172" s="20">
        <f t="shared" si="5"/>
        <v>5.0966210871284889E-2</v>
      </c>
    </row>
    <row r="173" spans="1:10" x14ac:dyDescent="0.2">
      <c r="A173" s="17" t="s">
        <v>207</v>
      </c>
      <c r="B173" s="18">
        <v>46096</v>
      </c>
      <c r="C173" s="17" t="s">
        <v>204</v>
      </c>
      <c r="D173" s="17" t="s">
        <v>25</v>
      </c>
      <c r="E173" s="17" t="s">
        <v>26</v>
      </c>
      <c r="F173" s="17" t="s">
        <v>27</v>
      </c>
      <c r="G173" s="19">
        <v>46138</v>
      </c>
      <c r="H173" s="19">
        <v>48900</v>
      </c>
      <c r="I173" s="19">
        <f t="shared" si="4"/>
        <v>2762</v>
      </c>
      <c r="J173" s="20">
        <f t="shared" si="5"/>
        <v>5.9863886601066368E-2</v>
      </c>
    </row>
    <row r="174" spans="1:10" x14ac:dyDescent="0.2">
      <c r="A174" s="17" t="s">
        <v>208</v>
      </c>
      <c r="B174" s="18">
        <v>46084</v>
      </c>
      <c r="C174" s="17" t="s">
        <v>204</v>
      </c>
      <c r="D174" s="17" t="s">
        <v>13</v>
      </c>
      <c r="E174" s="17" t="s">
        <v>31</v>
      </c>
      <c r="F174" s="17" t="s">
        <v>38</v>
      </c>
      <c r="G174" s="19">
        <v>191646</v>
      </c>
      <c r="H174" s="19">
        <v>237300</v>
      </c>
      <c r="I174" s="19">
        <f t="shared" si="4"/>
        <v>45654</v>
      </c>
      <c r="J174" s="20">
        <f t="shared" si="5"/>
        <v>0.23822046898969976</v>
      </c>
    </row>
    <row r="175" spans="1:10" x14ac:dyDescent="0.2">
      <c r="A175" s="17" t="s">
        <v>209</v>
      </c>
      <c r="B175" s="18">
        <v>46102</v>
      </c>
      <c r="C175" s="17" t="s">
        <v>204</v>
      </c>
      <c r="D175" s="17" t="s">
        <v>25</v>
      </c>
      <c r="E175" s="17" t="s">
        <v>46</v>
      </c>
      <c r="F175" s="17" t="s">
        <v>21</v>
      </c>
      <c r="G175" s="19">
        <v>183383</v>
      </c>
      <c r="H175" s="19">
        <v>206700</v>
      </c>
      <c r="I175" s="19">
        <f t="shared" si="4"/>
        <v>23317</v>
      </c>
      <c r="J175" s="20">
        <f t="shared" si="5"/>
        <v>0.12714919049203033</v>
      </c>
    </row>
    <row r="176" spans="1:10" x14ac:dyDescent="0.2">
      <c r="A176" s="17" t="s">
        <v>210</v>
      </c>
      <c r="B176" s="18">
        <v>46102</v>
      </c>
      <c r="C176" s="17" t="s">
        <v>204</v>
      </c>
      <c r="D176" s="17" t="s">
        <v>16</v>
      </c>
      <c r="E176" s="17" t="s">
        <v>65</v>
      </c>
      <c r="F176" s="17" t="s">
        <v>21</v>
      </c>
      <c r="G176" s="19">
        <v>119617</v>
      </c>
      <c r="H176" s="19">
        <v>147300</v>
      </c>
      <c r="I176" s="19">
        <f t="shared" si="4"/>
        <v>27683</v>
      </c>
      <c r="J176" s="20">
        <f t="shared" si="5"/>
        <v>0.23143031508899237</v>
      </c>
    </row>
    <row r="177" spans="1:10" x14ac:dyDescent="0.2">
      <c r="A177" s="17" t="s">
        <v>211</v>
      </c>
      <c r="B177" s="18">
        <v>46089</v>
      </c>
      <c r="C177" s="17" t="s">
        <v>204</v>
      </c>
      <c r="D177" s="17" t="s">
        <v>16</v>
      </c>
      <c r="E177" s="17" t="s">
        <v>31</v>
      </c>
      <c r="F177" s="17" t="s">
        <v>14</v>
      </c>
      <c r="G177" s="19">
        <v>29410</v>
      </c>
      <c r="H177" s="19">
        <v>32300</v>
      </c>
      <c r="I177" s="19">
        <f t="shared" si="4"/>
        <v>2890</v>
      </c>
      <c r="J177" s="20">
        <f t="shared" si="5"/>
        <v>9.8265895953757232E-2</v>
      </c>
    </row>
    <row r="178" spans="1:10" x14ac:dyDescent="0.2">
      <c r="A178" s="17" t="s">
        <v>212</v>
      </c>
      <c r="B178" s="18">
        <v>46085</v>
      </c>
      <c r="C178" s="17" t="s">
        <v>204</v>
      </c>
      <c r="D178" s="17" t="s">
        <v>16</v>
      </c>
      <c r="E178" s="17" t="s">
        <v>17</v>
      </c>
      <c r="F178" s="17" t="s">
        <v>41</v>
      </c>
      <c r="G178" s="19">
        <v>43692</v>
      </c>
      <c r="H178" s="19">
        <v>44700</v>
      </c>
      <c r="I178" s="19">
        <f t="shared" si="4"/>
        <v>1008</v>
      </c>
      <c r="J178" s="20">
        <f t="shared" si="5"/>
        <v>2.3070585004119747E-2</v>
      </c>
    </row>
    <row r="179" spans="1:10" x14ac:dyDescent="0.2">
      <c r="A179" s="17" t="s">
        <v>213</v>
      </c>
      <c r="B179" s="18">
        <v>46082</v>
      </c>
      <c r="C179" s="17" t="s">
        <v>204</v>
      </c>
      <c r="D179" s="17" t="s">
        <v>25</v>
      </c>
      <c r="E179" s="17" t="s">
        <v>46</v>
      </c>
      <c r="F179" s="17" t="s">
        <v>32</v>
      </c>
      <c r="G179" s="19">
        <v>63611</v>
      </c>
      <c r="H179" s="19">
        <v>71700</v>
      </c>
      <c r="I179" s="19">
        <f t="shared" si="4"/>
        <v>8089</v>
      </c>
      <c r="J179" s="20">
        <f t="shared" si="5"/>
        <v>0.12716354089701468</v>
      </c>
    </row>
    <row r="180" spans="1:10" x14ac:dyDescent="0.2">
      <c r="A180" s="17" t="s">
        <v>214</v>
      </c>
      <c r="B180" s="18">
        <v>46095</v>
      </c>
      <c r="C180" s="17" t="s">
        <v>204</v>
      </c>
      <c r="D180" s="17" t="s">
        <v>20</v>
      </c>
      <c r="E180" s="17" t="s">
        <v>13</v>
      </c>
      <c r="F180" s="17" t="s">
        <v>21</v>
      </c>
      <c r="G180" s="19">
        <v>96904</v>
      </c>
      <c r="H180" s="19">
        <v>96300</v>
      </c>
      <c r="I180" s="19">
        <f t="shared" si="4"/>
        <v>-604</v>
      </c>
      <c r="J180" s="20">
        <f t="shared" si="5"/>
        <v>-6.2329728390984893E-3</v>
      </c>
    </row>
    <row r="181" spans="1:10" x14ac:dyDescent="0.2">
      <c r="A181" s="17" t="s">
        <v>215</v>
      </c>
      <c r="B181" s="18">
        <v>46107</v>
      </c>
      <c r="C181" s="17" t="s">
        <v>204</v>
      </c>
      <c r="D181" s="17" t="s">
        <v>20</v>
      </c>
      <c r="E181" s="17" t="s">
        <v>26</v>
      </c>
      <c r="F181" s="17" t="s">
        <v>51</v>
      </c>
      <c r="G181" s="19">
        <v>128016</v>
      </c>
      <c r="H181" s="19">
        <v>137800</v>
      </c>
      <c r="I181" s="19">
        <f t="shared" si="4"/>
        <v>9784</v>
      </c>
      <c r="J181" s="20">
        <f t="shared" si="5"/>
        <v>7.6427946506686661E-2</v>
      </c>
    </row>
    <row r="182" spans="1:10" x14ac:dyDescent="0.2">
      <c r="A182" s="17" t="s">
        <v>216</v>
      </c>
      <c r="B182" s="18">
        <v>46094</v>
      </c>
      <c r="C182" s="17" t="s">
        <v>204</v>
      </c>
      <c r="D182" s="17" t="s">
        <v>49</v>
      </c>
      <c r="E182" s="17" t="s">
        <v>13</v>
      </c>
      <c r="F182" s="17" t="s">
        <v>41</v>
      </c>
      <c r="G182" s="19">
        <v>40701</v>
      </c>
      <c r="H182" s="19">
        <v>44500</v>
      </c>
      <c r="I182" s="19">
        <f t="shared" si="4"/>
        <v>3799</v>
      </c>
      <c r="J182" s="20">
        <f t="shared" si="5"/>
        <v>9.3339229994349029E-2</v>
      </c>
    </row>
    <row r="183" spans="1:10" x14ac:dyDescent="0.2">
      <c r="A183" s="17" t="s">
        <v>217</v>
      </c>
      <c r="B183" s="18">
        <v>46096</v>
      </c>
      <c r="C183" s="17" t="s">
        <v>204</v>
      </c>
      <c r="D183" s="17" t="s">
        <v>16</v>
      </c>
      <c r="E183" s="17" t="s">
        <v>31</v>
      </c>
      <c r="F183" s="17" t="s">
        <v>41</v>
      </c>
      <c r="G183" s="19">
        <v>172871</v>
      </c>
      <c r="H183" s="19">
        <v>156800</v>
      </c>
      <c r="I183" s="19">
        <f t="shared" si="4"/>
        <v>-16071</v>
      </c>
      <c r="J183" s="20">
        <f t="shared" si="5"/>
        <v>-9.2965274684591398E-2</v>
      </c>
    </row>
    <row r="184" spans="1:10" x14ac:dyDescent="0.2">
      <c r="A184" s="17" t="s">
        <v>218</v>
      </c>
      <c r="B184" s="18">
        <v>46107</v>
      </c>
      <c r="C184" s="17" t="s">
        <v>204</v>
      </c>
      <c r="D184" s="17" t="s">
        <v>13</v>
      </c>
      <c r="E184" s="17" t="s">
        <v>31</v>
      </c>
      <c r="F184" s="17" t="s">
        <v>21</v>
      </c>
      <c r="G184" s="19">
        <v>86932</v>
      </c>
      <c r="H184" s="19">
        <v>97100</v>
      </c>
      <c r="I184" s="19">
        <f t="shared" si="4"/>
        <v>10168</v>
      </c>
      <c r="J184" s="20">
        <f t="shared" si="5"/>
        <v>0.11696498412552339</v>
      </c>
    </row>
    <row r="185" spans="1:10" x14ac:dyDescent="0.2">
      <c r="A185" s="17" t="s">
        <v>219</v>
      </c>
      <c r="B185" s="18">
        <v>46093</v>
      </c>
      <c r="C185" s="17" t="s">
        <v>204</v>
      </c>
      <c r="D185" s="17" t="s">
        <v>49</v>
      </c>
      <c r="E185" s="17" t="s">
        <v>31</v>
      </c>
      <c r="F185" s="17" t="s">
        <v>27</v>
      </c>
      <c r="G185" s="19">
        <v>61412</v>
      </c>
      <c r="H185" s="19">
        <v>54000</v>
      </c>
      <c r="I185" s="19">
        <f t="shared" si="4"/>
        <v>-7412</v>
      </c>
      <c r="J185" s="20">
        <f t="shared" si="5"/>
        <v>-0.12069302416465837</v>
      </c>
    </row>
    <row r="186" spans="1:10" x14ac:dyDescent="0.2">
      <c r="A186" s="17" t="s">
        <v>220</v>
      </c>
      <c r="B186" s="18">
        <v>46091</v>
      </c>
      <c r="C186" s="17" t="s">
        <v>204</v>
      </c>
      <c r="D186" s="17" t="s">
        <v>20</v>
      </c>
      <c r="E186" s="17" t="s">
        <v>23</v>
      </c>
      <c r="F186" s="17" t="s">
        <v>41</v>
      </c>
      <c r="G186" s="19">
        <v>85561</v>
      </c>
      <c r="H186" s="19">
        <v>88400</v>
      </c>
      <c r="I186" s="19">
        <f t="shared" si="4"/>
        <v>2839</v>
      </c>
      <c r="J186" s="20">
        <f t="shared" si="5"/>
        <v>3.3181005364593681E-2</v>
      </c>
    </row>
    <row r="187" spans="1:10" x14ac:dyDescent="0.2">
      <c r="A187" s="17" t="s">
        <v>221</v>
      </c>
      <c r="B187" s="18">
        <v>46100</v>
      </c>
      <c r="C187" s="17" t="s">
        <v>204</v>
      </c>
      <c r="D187" s="17" t="s">
        <v>12</v>
      </c>
      <c r="E187" s="17" t="s">
        <v>31</v>
      </c>
      <c r="F187" s="17" t="s">
        <v>44</v>
      </c>
      <c r="G187" s="19">
        <v>47958</v>
      </c>
      <c r="H187" s="19">
        <v>45300</v>
      </c>
      <c r="I187" s="19">
        <f t="shared" si="4"/>
        <v>-2658</v>
      </c>
      <c r="J187" s="20">
        <f t="shared" si="5"/>
        <v>-5.542349555861379E-2</v>
      </c>
    </row>
    <row r="188" spans="1:10" x14ac:dyDescent="0.2">
      <c r="A188" s="17" t="s">
        <v>222</v>
      </c>
      <c r="B188" s="18">
        <v>46103</v>
      </c>
      <c r="C188" s="17" t="s">
        <v>204</v>
      </c>
      <c r="D188" s="17" t="s">
        <v>13</v>
      </c>
      <c r="E188" s="17" t="s">
        <v>31</v>
      </c>
      <c r="F188" s="17" t="s">
        <v>32</v>
      </c>
      <c r="G188" s="19">
        <v>25751</v>
      </c>
      <c r="H188" s="19">
        <v>32000</v>
      </c>
      <c r="I188" s="19">
        <f t="shared" si="4"/>
        <v>6249</v>
      </c>
      <c r="J188" s="20">
        <f t="shared" si="5"/>
        <v>0.24267018756553144</v>
      </c>
    </row>
    <row r="189" spans="1:10" x14ac:dyDescent="0.2">
      <c r="A189" s="17" t="s">
        <v>223</v>
      </c>
      <c r="B189" s="18">
        <v>46106</v>
      </c>
      <c r="C189" s="17" t="s">
        <v>204</v>
      </c>
      <c r="D189" s="17" t="s">
        <v>16</v>
      </c>
      <c r="E189" s="17" t="s">
        <v>35</v>
      </c>
      <c r="F189" s="17" t="s">
        <v>18</v>
      </c>
      <c r="G189" s="19">
        <v>168354</v>
      </c>
      <c r="H189" s="19">
        <v>201400</v>
      </c>
      <c r="I189" s="19">
        <f t="shared" si="4"/>
        <v>33046</v>
      </c>
      <c r="J189" s="20">
        <f t="shared" si="5"/>
        <v>0.19628877246753865</v>
      </c>
    </row>
    <row r="190" spans="1:10" x14ac:dyDescent="0.2">
      <c r="A190" s="17" t="s">
        <v>224</v>
      </c>
      <c r="B190" s="18">
        <v>46091</v>
      </c>
      <c r="C190" s="17" t="s">
        <v>204</v>
      </c>
      <c r="D190" s="17" t="s">
        <v>20</v>
      </c>
      <c r="E190" s="17" t="s">
        <v>46</v>
      </c>
      <c r="F190" s="17" t="s">
        <v>14</v>
      </c>
      <c r="G190" s="19">
        <v>150214</v>
      </c>
      <c r="H190" s="19">
        <v>177700</v>
      </c>
      <c r="I190" s="19">
        <f t="shared" si="4"/>
        <v>27486</v>
      </c>
      <c r="J190" s="20">
        <f t="shared" si="5"/>
        <v>0.1829789500312887</v>
      </c>
    </row>
    <row r="191" spans="1:10" x14ac:dyDescent="0.2">
      <c r="A191" s="17" t="s">
        <v>225</v>
      </c>
      <c r="B191" s="18">
        <v>46090</v>
      </c>
      <c r="C191" s="17" t="s">
        <v>204</v>
      </c>
      <c r="D191" s="17" t="s">
        <v>16</v>
      </c>
      <c r="E191" s="17" t="s">
        <v>26</v>
      </c>
      <c r="F191" s="17" t="s">
        <v>29</v>
      </c>
      <c r="G191" s="19">
        <v>186885</v>
      </c>
      <c r="H191" s="19">
        <v>173100</v>
      </c>
      <c r="I191" s="19">
        <f t="shared" si="4"/>
        <v>-13785</v>
      </c>
      <c r="J191" s="20">
        <f t="shared" si="5"/>
        <v>-7.3761939160446266E-2</v>
      </c>
    </row>
    <row r="192" spans="1:10" x14ac:dyDescent="0.2">
      <c r="A192" s="17" t="s">
        <v>226</v>
      </c>
      <c r="B192" s="18">
        <v>46091</v>
      </c>
      <c r="C192" s="17" t="s">
        <v>204</v>
      </c>
      <c r="D192" s="17" t="s">
        <v>13</v>
      </c>
      <c r="E192" s="17" t="s">
        <v>35</v>
      </c>
      <c r="F192" s="17" t="s">
        <v>18</v>
      </c>
      <c r="G192" s="19">
        <v>184484</v>
      </c>
      <c r="H192" s="19">
        <v>204500</v>
      </c>
      <c r="I192" s="19">
        <f t="shared" si="4"/>
        <v>20016</v>
      </c>
      <c r="J192" s="20">
        <f t="shared" si="5"/>
        <v>0.10849721385052362</v>
      </c>
    </row>
    <row r="193" spans="1:10" x14ac:dyDescent="0.2">
      <c r="A193" s="17" t="s">
        <v>227</v>
      </c>
      <c r="B193" s="18">
        <v>46084</v>
      </c>
      <c r="C193" s="17" t="s">
        <v>204</v>
      </c>
      <c r="D193" s="17" t="s">
        <v>12</v>
      </c>
      <c r="E193" s="17" t="s">
        <v>46</v>
      </c>
      <c r="F193" s="17" t="s">
        <v>27</v>
      </c>
      <c r="G193" s="19">
        <v>115646</v>
      </c>
      <c r="H193" s="19">
        <v>132200</v>
      </c>
      <c r="I193" s="19">
        <f t="shared" si="4"/>
        <v>16554</v>
      </c>
      <c r="J193" s="20">
        <f t="shared" si="5"/>
        <v>0.1431437317330474</v>
      </c>
    </row>
    <row r="194" spans="1:10" x14ac:dyDescent="0.2">
      <c r="A194" s="17" t="s">
        <v>228</v>
      </c>
      <c r="B194" s="18">
        <v>46107</v>
      </c>
      <c r="C194" s="17" t="s">
        <v>204</v>
      </c>
      <c r="D194" s="17" t="s">
        <v>49</v>
      </c>
      <c r="E194" s="17" t="s">
        <v>46</v>
      </c>
      <c r="F194" s="17" t="s">
        <v>21</v>
      </c>
      <c r="G194" s="19">
        <v>66042</v>
      </c>
      <c r="H194" s="19">
        <v>61400</v>
      </c>
      <c r="I194" s="19">
        <f t="shared" ref="I194:I257" si="6">H194-G194</f>
        <v>-4642</v>
      </c>
      <c r="J194" s="20">
        <f t="shared" ref="J194:J257" si="7">IFERROR(I194/G194,0)</f>
        <v>-7.0288604221555986E-2</v>
      </c>
    </row>
    <row r="195" spans="1:10" x14ac:dyDescent="0.2">
      <c r="A195" s="17" t="s">
        <v>229</v>
      </c>
      <c r="B195" s="18">
        <v>46108</v>
      </c>
      <c r="C195" s="17" t="s">
        <v>204</v>
      </c>
      <c r="D195" s="17" t="s">
        <v>20</v>
      </c>
      <c r="E195" s="17" t="s">
        <v>31</v>
      </c>
      <c r="F195" s="17" t="s">
        <v>41</v>
      </c>
      <c r="G195" s="19">
        <v>151542</v>
      </c>
      <c r="H195" s="19">
        <v>184200</v>
      </c>
      <c r="I195" s="19">
        <f t="shared" si="6"/>
        <v>32658</v>
      </c>
      <c r="J195" s="20">
        <f t="shared" si="7"/>
        <v>0.21550461258265036</v>
      </c>
    </row>
    <row r="196" spans="1:10" x14ac:dyDescent="0.2">
      <c r="A196" s="17" t="s">
        <v>230</v>
      </c>
      <c r="B196" s="18">
        <v>46092</v>
      </c>
      <c r="C196" s="17" t="s">
        <v>204</v>
      </c>
      <c r="D196" s="17" t="s">
        <v>25</v>
      </c>
      <c r="E196" s="17" t="s">
        <v>65</v>
      </c>
      <c r="F196" s="17" t="s">
        <v>29</v>
      </c>
      <c r="G196" s="19">
        <v>97369</v>
      </c>
      <c r="H196" s="19">
        <v>111800</v>
      </c>
      <c r="I196" s="19">
        <f t="shared" si="6"/>
        <v>14431</v>
      </c>
      <c r="J196" s="20">
        <f t="shared" si="7"/>
        <v>0.14820938902525443</v>
      </c>
    </row>
    <row r="197" spans="1:10" x14ac:dyDescent="0.2">
      <c r="A197" s="17" t="s">
        <v>231</v>
      </c>
      <c r="B197" s="18">
        <v>46089</v>
      </c>
      <c r="C197" s="17" t="s">
        <v>204</v>
      </c>
      <c r="D197" s="17" t="s">
        <v>16</v>
      </c>
      <c r="E197" s="17" t="s">
        <v>23</v>
      </c>
      <c r="F197" s="17" t="s">
        <v>21</v>
      </c>
      <c r="G197" s="19">
        <v>56898</v>
      </c>
      <c r="H197" s="19">
        <v>65500</v>
      </c>
      <c r="I197" s="19">
        <f t="shared" si="6"/>
        <v>8602</v>
      </c>
      <c r="J197" s="20">
        <f t="shared" si="7"/>
        <v>0.15118281837674435</v>
      </c>
    </row>
    <row r="198" spans="1:10" x14ac:dyDescent="0.2">
      <c r="A198" s="17" t="s">
        <v>232</v>
      </c>
      <c r="B198" s="18">
        <v>46094</v>
      </c>
      <c r="C198" s="17" t="s">
        <v>204</v>
      </c>
      <c r="D198" s="17" t="s">
        <v>25</v>
      </c>
      <c r="E198" s="17" t="s">
        <v>31</v>
      </c>
      <c r="F198" s="17" t="s">
        <v>21</v>
      </c>
      <c r="G198" s="19">
        <v>115885</v>
      </c>
      <c r="H198" s="19">
        <v>102700</v>
      </c>
      <c r="I198" s="19">
        <f t="shared" si="6"/>
        <v>-13185</v>
      </c>
      <c r="J198" s="20">
        <f t="shared" si="7"/>
        <v>-0.11377658885964534</v>
      </c>
    </row>
    <row r="199" spans="1:10" x14ac:dyDescent="0.2">
      <c r="A199" s="17" t="s">
        <v>233</v>
      </c>
      <c r="B199" s="18">
        <v>46103</v>
      </c>
      <c r="C199" s="17" t="s">
        <v>204</v>
      </c>
      <c r="D199" s="17" t="s">
        <v>16</v>
      </c>
      <c r="E199" s="17" t="s">
        <v>31</v>
      </c>
      <c r="F199" s="17" t="s">
        <v>18</v>
      </c>
      <c r="G199" s="19">
        <v>52398</v>
      </c>
      <c r="H199" s="19">
        <v>54100</v>
      </c>
      <c r="I199" s="19">
        <f t="shared" si="6"/>
        <v>1702</v>
      </c>
      <c r="J199" s="20">
        <f t="shared" si="7"/>
        <v>3.2482155807473566E-2</v>
      </c>
    </row>
    <row r="200" spans="1:10" x14ac:dyDescent="0.2">
      <c r="A200" s="17" t="s">
        <v>234</v>
      </c>
      <c r="B200" s="18">
        <v>46093</v>
      </c>
      <c r="C200" s="17" t="s">
        <v>204</v>
      </c>
      <c r="D200" s="17" t="s">
        <v>25</v>
      </c>
      <c r="E200" s="17" t="s">
        <v>13</v>
      </c>
      <c r="F200" s="17" t="s">
        <v>41</v>
      </c>
      <c r="G200" s="19">
        <v>119883</v>
      </c>
      <c r="H200" s="19">
        <v>141300</v>
      </c>
      <c r="I200" s="19">
        <f t="shared" si="6"/>
        <v>21417</v>
      </c>
      <c r="J200" s="20">
        <f t="shared" si="7"/>
        <v>0.17864918295337953</v>
      </c>
    </row>
    <row r="201" spans="1:10" x14ac:dyDescent="0.2">
      <c r="A201" s="17" t="s">
        <v>235</v>
      </c>
      <c r="B201" s="18">
        <v>46099</v>
      </c>
      <c r="C201" s="17" t="s">
        <v>204</v>
      </c>
      <c r="D201" s="17" t="s">
        <v>12</v>
      </c>
      <c r="E201" s="17" t="s">
        <v>13</v>
      </c>
      <c r="F201" s="17" t="s">
        <v>29</v>
      </c>
      <c r="G201" s="19">
        <v>26560</v>
      </c>
      <c r="H201" s="19">
        <v>29200</v>
      </c>
      <c r="I201" s="19">
        <f t="shared" si="6"/>
        <v>2640</v>
      </c>
      <c r="J201" s="20">
        <f t="shared" si="7"/>
        <v>9.9397590361445784E-2</v>
      </c>
    </row>
    <row r="202" spans="1:10" x14ac:dyDescent="0.2">
      <c r="A202" s="17" t="s">
        <v>236</v>
      </c>
      <c r="B202" s="18">
        <v>46104</v>
      </c>
      <c r="C202" s="17" t="s">
        <v>204</v>
      </c>
      <c r="D202" s="17" t="s">
        <v>12</v>
      </c>
      <c r="E202" s="17" t="s">
        <v>23</v>
      </c>
      <c r="F202" s="17" t="s">
        <v>29</v>
      </c>
      <c r="G202" s="19">
        <v>186567</v>
      </c>
      <c r="H202" s="19">
        <v>220100</v>
      </c>
      <c r="I202" s="19">
        <f t="shared" si="6"/>
        <v>33533</v>
      </c>
      <c r="J202" s="20">
        <f t="shared" si="7"/>
        <v>0.1797370381685936</v>
      </c>
    </row>
    <row r="203" spans="1:10" x14ac:dyDescent="0.2">
      <c r="A203" s="17" t="s">
        <v>237</v>
      </c>
      <c r="B203" s="18">
        <v>46083</v>
      </c>
      <c r="C203" s="17" t="s">
        <v>204</v>
      </c>
      <c r="D203" s="17" t="s">
        <v>12</v>
      </c>
      <c r="E203" s="17" t="s">
        <v>65</v>
      </c>
      <c r="F203" s="17" t="s">
        <v>29</v>
      </c>
      <c r="G203" s="19">
        <v>56641</v>
      </c>
      <c r="H203" s="19">
        <v>49200</v>
      </c>
      <c r="I203" s="19">
        <f t="shared" si="6"/>
        <v>-7441</v>
      </c>
      <c r="J203" s="20">
        <f t="shared" si="7"/>
        <v>-0.13137126816263836</v>
      </c>
    </row>
    <row r="204" spans="1:10" x14ac:dyDescent="0.2">
      <c r="A204" s="17" t="s">
        <v>238</v>
      </c>
      <c r="B204" s="18">
        <v>46099</v>
      </c>
      <c r="C204" s="17" t="s">
        <v>204</v>
      </c>
      <c r="D204" s="17" t="s">
        <v>20</v>
      </c>
      <c r="E204" s="17" t="s">
        <v>23</v>
      </c>
      <c r="F204" s="17" t="s">
        <v>41</v>
      </c>
      <c r="G204" s="19">
        <v>45478</v>
      </c>
      <c r="H204" s="19">
        <v>42900</v>
      </c>
      <c r="I204" s="19">
        <f t="shared" si="6"/>
        <v>-2578</v>
      </c>
      <c r="J204" s="20">
        <f t="shared" si="7"/>
        <v>-5.6686749637187214E-2</v>
      </c>
    </row>
    <row r="205" spans="1:10" x14ac:dyDescent="0.2">
      <c r="A205" s="17" t="s">
        <v>239</v>
      </c>
      <c r="B205" s="18">
        <v>46105</v>
      </c>
      <c r="C205" s="17" t="s">
        <v>204</v>
      </c>
      <c r="D205" s="17" t="s">
        <v>16</v>
      </c>
      <c r="E205" s="17" t="s">
        <v>23</v>
      </c>
      <c r="F205" s="17" t="s">
        <v>18</v>
      </c>
      <c r="G205" s="19">
        <v>117258</v>
      </c>
      <c r="H205" s="19">
        <v>131100</v>
      </c>
      <c r="I205" s="19">
        <f t="shared" si="6"/>
        <v>13842</v>
      </c>
      <c r="J205" s="20">
        <f t="shared" si="7"/>
        <v>0.11804738269457095</v>
      </c>
    </row>
    <row r="206" spans="1:10" x14ac:dyDescent="0.2">
      <c r="A206" s="17" t="s">
        <v>240</v>
      </c>
      <c r="B206" s="18">
        <v>46102</v>
      </c>
      <c r="C206" s="17" t="s">
        <v>204</v>
      </c>
      <c r="D206" s="17" t="s">
        <v>25</v>
      </c>
      <c r="E206" s="17" t="s">
        <v>65</v>
      </c>
      <c r="F206" s="17" t="s">
        <v>18</v>
      </c>
      <c r="G206" s="19">
        <v>60507</v>
      </c>
      <c r="H206" s="19">
        <v>72900</v>
      </c>
      <c r="I206" s="19">
        <f t="shared" si="6"/>
        <v>12393</v>
      </c>
      <c r="J206" s="20">
        <f t="shared" si="7"/>
        <v>0.20481927710843373</v>
      </c>
    </row>
    <row r="207" spans="1:10" x14ac:dyDescent="0.2">
      <c r="A207" s="17" t="s">
        <v>241</v>
      </c>
      <c r="B207" s="18">
        <v>46090</v>
      </c>
      <c r="C207" s="17" t="s">
        <v>204</v>
      </c>
      <c r="D207" s="17" t="s">
        <v>25</v>
      </c>
      <c r="E207" s="17" t="s">
        <v>46</v>
      </c>
      <c r="F207" s="17" t="s">
        <v>14</v>
      </c>
      <c r="G207" s="19">
        <v>126985</v>
      </c>
      <c r="H207" s="19">
        <v>155600</v>
      </c>
      <c r="I207" s="19">
        <f t="shared" si="6"/>
        <v>28615</v>
      </c>
      <c r="J207" s="20">
        <f t="shared" si="7"/>
        <v>0.22534157577666653</v>
      </c>
    </row>
    <row r="208" spans="1:10" x14ac:dyDescent="0.2">
      <c r="A208" s="17" t="s">
        <v>242</v>
      </c>
      <c r="B208" s="18">
        <v>46089</v>
      </c>
      <c r="C208" s="17" t="s">
        <v>204</v>
      </c>
      <c r="D208" s="17" t="s">
        <v>12</v>
      </c>
      <c r="E208" s="17" t="s">
        <v>17</v>
      </c>
      <c r="F208" s="17" t="s">
        <v>38</v>
      </c>
      <c r="G208" s="19">
        <v>136230</v>
      </c>
      <c r="H208" s="19">
        <v>140000</v>
      </c>
      <c r="I208" s="19">
        <f t="shared" si="6"/>
        <v>3770</v>
      </c>
      <c r="J208" s="20">
        <f t="shared" si="7"/>
        <v>2.7673786977905013E-2</v>
      </c>
    </row>
    <row r="209" spans="1:10" x14ac:dyDescent="0.2">
      <c r="A209" s="17" t="s">
        <v>243</v>
      </c>
      <c r="B209" s="18">
        <v>46102</v>
      </c>
      <c r="C209" s="17" t="s">
        <v>204</v>
      </c>
      <c r="D209" s="17" t="s">
        <v>12</v>
      </c>
      <c r="E209" s="17" t="s">
        <v>35</v>
      </c>
      <c r="F209" s="17" t="s">
        <v>27</v>
      </c>
      <c r="G209" s="19">
        <v>162728</v>
      </c>
      <c r="H209" s="19">
        <v>197000</v>
      </c>
      <c r="I209" s="19">
        <f t="shared" si="6"/>
        <v>34272</v>
      </c>
      <c r="J209" s="20">
        <f t="shared" si="7"/>
        <v>0.21060911459613588</v>
      </c>
    </row>
    <row r="210" spans="1:10" x14ac:dyDescent="0.2">
      <c r="A210" s="17" t="s">
        <v>244</v>
      </c>
      <c r="B210" s="18">
        <v>46085</v>
      </c>
      <c r="C210" s="17" t="s">
        <v>204</v>
      </c>
      <c r="D210" s="17" t="s">
        <v>13</v>
      </c>
      <c r="E210" s="17" t="s">
        <v>17</v>
      </c>
      <c r="F210" s="17" t="s">
        <v>14</v>
      </c>
      <c r="G210" s="19">
        <v>92320</v>
      </c>
      <c r="H210" s="19">
        <v>85500</v>
      </c>
      <c r="I210" s="19">
        <f t="shared" si="6"/>
        <v>-6820</v>
      </c>
      <c r="J210" s="20">
        <f t="shared" si="7"/>
        <v>-7.3873483535528597E-2</v>
      </c>
    </row>
    <row r="211" spans="1:10" x14ac:dyDescent="0.2">
      <c r="A211" s="17" t="s">
        <v>245</v>
      </c>
      <c r="B211" s="18">
        <v>46082</v>
      </c>
      <c r="C211" s="17" t="s">
        <v>204</v>
      </c>
      <c r="D211" s="17" t="s">
        <v>25</v>
      </c>
      <c r="E211" s="17" t="s">
        <v>46</v>
      </c>
      <c r="F211" s="17" t="s">
        <v>14</v>
      </c>
      <c r="G211" s="19">
        <v>188218</v>
      </c>
      <c r="H211" s="19">
        <v>208100</v>
      </c>
      <c r="I211" s="19">
        <f t="shared" si="6"/>
        <v>19882</v>
      </c>
      <c r="J211" s="20">
        <f t="shared" si="7"/>
        <v>0.10563283001625774</v>
      </c>
    </row>
    <row r="212" spans="1:10" x14ac:dyDescent="0.2">
      <c r="A212" s="17" t="s">
        <v>246</v>
      </c>
      <c r="B212" s="18">
        <v>46088</v>
      </c>
      <c r="C212" s="17" t="s">
        <v>204</v>
      </c>
      <c r="D212" s="17" t="s">
        <v>25</v>
      </c>
      <c r="E212" s="17" t="s">
        <v>13</v>
      </c>
      <c r="F212" s="17" t="s">
        <v>18</v>
      </c>
      <c r="G212" s="19">
        <v>53010</v>
      </c>
      <c r="H212" s="19">
        <v>61700</v>
      </c>
      <c r="I212" s="19">
        <f t="shared" si="6"/>
        <v>8690</v>
      </c>
      <c r="J212" s="20">
        <f t="shared" si="7"/>
        <v>0.16393133371062063</v>
      </c>
    </row>
    <row r="213" spans="1:10" x14ac:dyDescent="0.2">
      <c r="A213" s="17" t="s">
        <v>247</v>
      </c>
      <c r="B213" s="18">
        <v>46089</v>
      </c>
      <c r="C213" s="17" t="s">
        <v>204</v>
      </c>
      <c r="D213" s="17" t="s">
        <v>12</v>
      </c>
      <c r="E213" s="17" t="s">
        <v>26</v>
      </c>
      <c r="F213" s="17" t="s">
        <v>18</v>
      </c>
      <c r="G213" s="19">
        <v>76610</v>
      </c>
      <c r="H213" s="19">
        <v>90000</v>
      </c>
      <c r="I213" s="19">
        <f t="shared" si="6"/>
        <v>13390</v>
      </c>
      <c r="J213" s="20">
        <f t="shared" si="7"/>
        <v>0.17478136013575252</v>
      </c>
    </row>
    <row r="214" spans="1:10" x14ac:dyDescent="0.2">
      <c r="A214" s="17" t="s">
        <v>248</v>
      </c>
      <c r="B214" s="18">
        <v>46086</v>
      </c>
      <c r="C214" s="17" t="s">
        <v>204</v>
      </c>
      <c r="D214" s="17" t="s">
        <v>20</v>
      </c>
      <c r="E214" s="17" t="s">
        <v>31</v>
      </c>
      <c r="F214" s="17" t="s">
        <v>51</v>
      </c>
      <c r="G214" s="19">
        <v>20743</v>
      </c>
      <c r="H214" s="19">
        <v>19900</v>
      </c>
      <c r="I214" s="19">
        <f t="shared" si="6"/>
        <v>-843</v>
      </c>
      <c r="J214" s="20">
        <f t="shared" si="7"/>
        <v>-4.0640215976473992E-2</v>
      </c>
    </row>
    <row r="215" spans="1:10" x14ac:dyDescent="0.2">
      <c r="A215" s="17" t="s">
        <v>249</v>
      </c>
      <c r="B215" s="18">
        <v>46082</v>
      </c>
      <c r="C215" s="17" t="s">
        <v>204</v>
      </c>
      <c r="D215" s="17" t="s">
        <v>20</v>
      </c>
      <c r="E215" s="17" t="s">
        <v>35</v>
      </c>
      <c r="F215" s="17" t="s">
        <v>38</v>
      </c>
      <c r="G215" s="19">
        <v>48816</v>
      </c>
      <c r="H215" s="19">
        <v>54400</v>
      </c>
      <c r="I215" s="19">
        <f t="shared" si="6"/>
        <v>5584</v>
      </c>
      <c r="J215" s="20">
        <f t="shared" si="7"/>
        <v>0.11438872500819404</v>
      </c>
    </row>
    <row r="216" spans="1:10" x14ac:dyDescent="0.2">
      <c r="A216" s="17" t="s">
        <v>250</v>
      </c>
      <c r="B216" s="18">
        <v>46082</v>
      </c>
      <c r="C216" s="17" t="s">
        <v>204</v>
      </c>
      <c r="D216" s="17" t="s">
        <v>20</v>
      </c>
      <c r="E216" s="17" t="s">
        <v>31</v>
      </c>
      <c r="F216" s="17" t="s">
        <v>32</v>
      </c>
      <c r="G216" s="19">
        <v>82372</v>
      </c>
      <c r="H216" s="19">
        <v>89400</v>
      </c>
      <c r="I216" s="19">
        <f t="shared" si="6"/>
        <v>7028</v>
      </c>
      <c r="J216" s="20">
        <f t="shared" si="7"/>
        <v>8.5320254455397468E-2</v>
      </c>
    </row>
    <row r="217" spans="1:10" x14ac:dyDescent="0.2">
      <c r="A217" s="17" t="s">
        <v>251</v>
      </c>
      <c r="B217" s="18">
        <v>46098</v>
      </c>
      <c r="C217" s="17" t="s">
        <v>204</v>
      </c>
      <c r="D217" s="17" t="s">
        <v>25</v>
      </c>
      <c r="E217" s="17" t="s">
        <v>17</v>
      </c>
      <c r="F217" s="17" t="s">
        <v>41</v>
      </c>
      <c r="G217" s="19">
        <v>53228</v>
      </c>
      <c r="H217" s="19">
        <v>61000</v>
      </c>
      <c r="I217" s="19">
        <f t="shared" si="6"/>
        <v>7772</v>
      </c>
      <c r="J217" s="20">
        <f t="shared" si="7"/>
        <v>0.1460133764184264</v>
      </c>
    </row>
    <row r="218" spans="1:10" x14ac:dyDescent="0.2">
      <c r="A218" s="17" t="s">
        <v>252</v>
      </c>
      <c r="B218" s="18">
        <v>46098</v>
      </c>
      <c r="C218" s="17" t="s">
        <v>204</v>
      </c>
      <c r="D218" s="17" t="s">
        <v>49</v>
      </c>
      <c r="E218" s="17" t="s">
        <v>17</v>
      </c>
      <c r="F218" s="17" t="s">
        <v>41</v>
      </c>
      <c r="G218" s="19">
        <v>137512</v>
      </c>
      <c r="H218" s="19">
        <v>159700</v>
      </c>
      <c r="I218" s="19">
        <f t="shared" si="6"/>
        <v>22188</v>
      </c>
      <c r="J218" s="20">
        <f t="shared" si="7"/>
        <v>0.1613531909942405</v>
      </c>
    </row>
    <row r="219" spans="1:10" x14ac:dyDescent="0.2">
      <c r="A219" s="17" t="s">
        <v>253</v>
      </c>
      <c r="B219" s="18">
        <v>46101</v>
      </c>
      <c r="C219" s="17" t="s">
        <v>204</v>
      </c>
      <c r="D219" s="17" t="s">
        <v>25</v>
      </c>
      <c r="E219" s="17" t="s">
        <v>31</v>
      </c>
      <c r="F219" s="17" t="s">
        <v>41</v>
      </c>
      <c r="G219" s="19">
        <v>152078</v>
      </c>
      <c r="H219" s="19">
        <v>142700</v>
      </c>
      <c r="I219" s="19">
        <f t="shared" si="6"/>
        <v>-9378</v>
      </c>
      <c r="J219" s="20">
        <f t="shared" si="7"/>
        <v>-6.166572416786123E-2</v>
      </c>
    </row>
    <row r="220" spans="1:10" x14ac:dyDescent="0.2">
      <c r="A220" s="17" t="s">
        <v>254</v>
      </c>
      <c r="B220" s="18">
        <v>46083</v>
      </c>
      <c r="C220" s="17" t="s">
        <v>204</v>
      </c>
      <c r="D220" s="17" t="s">
        <v>13</v>
      </c>
      <c r="E220" s="17" t="s">
        <v>23</v>
      </c>
      <c r="F220" s="17" t="s">
        <v>27</v>
      </c>
      <c r="G220" s="19">
        <v>188647</v>
      </c>
      <c r="H220" s="19">
        <v>233100</v>
      </c>
      <c r="I220" s="19">
        <f t="shared" si="6"/>
        <v>44453</v>
      </c>
      <c r="J220" s="20">
        <f t="shared" si="7"/>
        <v>0.23564117107613691</v>
      </c>
    </row>
    <row r="221" spans="1:10" x14ac:dyDescent="0.2">
      <c r="A221" s="17" t="s">
        <v>255</v>
      </c>
      <c r="B221" s="18">
        <v>46104</v>
      </c>
      <c r="C221" s="17" t="s">
        <v>204</v>
      </c>
      <c r="D221" s="17" t="s">
        <v>13</v>
      </c>
      <c r="E221" s="17" t="s">
        <v>17</v>
      </c>
      <c r="F221" s="17" t="s">
        <v>29</v>
      </c>
      <c r="G221" s="19">
        <v>199856</v>
      </c>
      <c r="H221" s="19">
        <v>178500</v>
      </c>
      <c r="I221" s="19">
        <f t="shared" si="6"/>
        <v>-21356</v>
      </c>
      <c r="J221" s="20">
        <f t="shared" si="7"/>
        <v>-0.10685693699463614</v>
      </c>
    </row>
    <row r="222" spans="1:10" x14ac:dyDescent="0.2">
      <c r="A222" s="17" t="s">
        <v>256</v>
      </c>
      <c r="B222" s="18">
        <v>46084</v>
      </c>
      <c r="C222" s="17" t="s">
        <v>204</v>
      </c>
      <c r="D222" s="17" t="s">
        <v>20</v>
      </c>
      <c r="E222" s="17" t="s">
        <v>31</v>
      </c>
      <c r="F222" s="17" t="s">
        <v>18</v>
      </c>
      <c r="G222" s="19">
        <v>104439</v>
      </c>
      <c r="H222" s="19">
        <v>114200</v>
      </c>
      <c r="I222" s="19">
        <f t="shared" si="6"/>
        <v>9761</v>
      </c>
      <c r="J222" s="20">
        <f t="shared" si="7"/>
        <v>9.3461254895201989E-2</v>
      </c>
    </row>
    <row r="223" spans="1:10" x14ac:dyDescent="0.2">
      <c r="A223" s="17" t="s">
        <v>257</v>
      </c>
      <c r="B223" s="18">
        <v>46104</v>
      </c>
      <c r="C223" s="17" t="s">
        <v>204</v>
      </c>
      <c r="D223" s="17" t="s">
        <v>12</v>
      </c>
      <c r="E223" s="17" t="s">
        <v>23</v>
      </c>
      <c r="F223" s="17" t="s">
        <v>18</v>
      </c>
      <c r="G223" s="19">
        <v>185957</v>
      </c>
      <c r="H223" s="19">
        <v>201600</v>
      </c>
      <c r="I223" s="19">
        <f t="shared" si="6"/>
        <v>15643</v>
      </c>
      <c r="J223" s="20">
        <f t="shared" si="7"/>
        <v>8.4121598003839601E-2</v>
      </c>
    </row>
    <row r="224" spans="1:10" x14ac:dyDescent="0.2">
      <c r="A224" s="17" t="s">
        <v>258</v>
      </c>
      <c r="B224" s="18">
        <v>46098</v>
      </c>
      <c r="C224" s="17" t="s">
        <v>204</v>
      </c>
      <c r="D224" s="17" t="s">
        <v>49</v>
      </c>
      <c r="E224" s="17" t="s">
        <v>23</v>
      </c>
      <c r="F224" s="17" t="s">
        <v>29</v>
      </c>
      <c r="G224" s="19">
        <v>159082</v>
      </c>
      <c r="H224" s="19">
        <v>154000</v>
      </c>
      <c r="I224" s="19">
        <f t="shared" si="6"/>
        <v>-5082</v>
      </c>
      <c r="J224" s="20">
        <f t="shared" si="7"/>
        <v>-3.1945788964181994E-2</v>
      </c>
    </row>
    <row r="225" spans="1:10" x14ac:dyDescent="0.2">
      <c r="A225" s="17" t="s">
        <v>259</v>
      </c>
      <c r="B225" s="18">
        <v>46102</v>
      </c>
      <c r="C225" s="17" t="s">
        <v>204</v>
      </c>
      <c r="D225" s="17" t="s">
        <v>49</v>
      </c>
      <c r="E225" s="17" t="s">
        <v>13</v>
      </c>
      <c r="F225" s="17" t="s">
        <v>27</v>
      </c>
      <c r="G225" s="19">
        <v>49992</v>
      </c>
      <c r="H225" s="19">
        <v>59500</v>
      </c>
      <c r="I225" s="19">
        <f t="shared" si="6"/>
        <v>9508</v>
      </c>
      <c r="J225" s="20">
        <f t="shared" si="7"/>
        <v>0.19019043046887502</v>
      </c>
    </row>
    <row r="226" spans="1:10" x14ac:dyDescent="0.2">
      <c r="A226" s="17" t="s">
        <v>260</v>
      </c>
      <c r="B226" s="18">
        <v>46095</v>
      </c>
      <c r="C226" s="17" t="s">
        <v>204</v>
      </c>
      <c r="D226" s="17" t="s">
        <v>12</v>
      </c>
      <c r="E226" s="17" t="s">
        <v>65</v>
      </c>
      <c r="F226" s="17" t="s">
        <v>27</v>
      </c>
      <c r="G226" s="19">
        <v>138372</v>
      </c>
      <c r="H226" s="19">
        <v>166800</v>
      </c>
      <c r="I226" s="19">
        <f t="shared" si="6"/>
        <v>28428</v>
      </c>
      <c r="J226" s="20">
        <f t="shared" si="7"/>
        <v>0.20544618853525279</v>
      </c>
    </row>
    <row r="227" spans="1:10" x14ac:dyDescent="0.2">
      <c r="A227" s="17" t="s">
        <v>261</v>
      </c>
      <c r="B227" s="18">
        <v>46092</v>
      </c>
      <c r="C227" s="17" t="s">
        <v>204</v>
      </c>
      <c r="D227" s="17" t="s">
        <v>13</v>
      </c>
      <c r="E227" s="17" t="s">
        <v>46</v>
      </c>
      <c r="F227" s="17" t="s">
        <v>44</v>
      </c>
      <c r="G227" s="19">
        <v>129049</v>
      </c>
      <c r="H227" s="19">
        <v>147400</v>
      </c>
      <c r="I227" s="19">
        <f t="shared" si="6"/>
        <v>18351</v>
      </c>
      <c r="J227" s="20">
        <f t="shared" si="7"/>
        <v>0.14220179931653867</v>
      </c>
    </row>
    <row r="228" spans="1:10" x14ac:dyDescent="0.2">
      <c r="A228" s="17" t="s">
        <v>262</v>
      </c>
      <c r="B228" s="18">
        <v>46103</v>
      </c>
      <c r="C228" s="17" t="s">
        <v>204</v>
      </c>
      <c r="D228" s="17" t="s">
        <v>13</v>
      </c>
      <c r="E228" s="17" t="s">
        <v>17</v>
      </c>
      <c r="F228" s="17" t="s">
        <v>29</v>
      </c>
      <c r="G228" s="19">
        <v>118120</v>
      </c>
      <c r="H228" s="19">
        <v>145500</v>
      </c>
      <c r="I228" s="19">
        <f t="shared" si="6"/>
        <v>27380</v>
      </c>
      <c r="J228" s="20">
        <f t="shared" si="7"/>
        <v>0.23179817135116831</v>
      </c>
    </row>
    <row r="229" spans="1:10" x14ac:dyDescent="0.2">
      <c r="A229" s="17" t="s">
        <v>263</v>
      </c>
      <c r="B229" s="18">
        <v>46085</v>
      </c>
      <c r="C229" s="17" t="s">
        <v>204</v>
      </c>
      <c r="D229" s="17" t="s">
        <v>16</v>
      </c>
      <c r="E229" s="17" t="s">
        <v>46</v>
      </c>
      <c r="F229" s="17" t="s">
        <v>51</v>
      </c>
      <c r="G229" s="19">
        <v>42377</v>
      </c>
      <c r="H229" s="19">
        <v>37600</v>
      </c>
      <c r="I229" s="19">
        <f t="shared" si="6"/>
        <v>-4777</v>
      </c>
      <c r="J229" s="20">
        <f t="shared" si="7"/>
        <v>-0.11272624300917951</v>
      </c>
    </row>
    <row r="230" spans="1:10" x14ac:dyDescent="0.2">
      <c r="A230" s="17" t="s">
        <v>264</v>
      </c>
      <c r="B230" s="18">
        <v>46099</v>
      </c>
      <c r="C230" s="17" t="s">
        <v>204</v>
      </c>
      <c r="D230" s="17" t="s">
        <v>49</v>
      </c>
      <c r="E230" s="17" t="s">
        <v>46</v>
      </c>
      <c r="F230" s="17" t="s">
        <v>29</v>
      </c>
      <c r="G230" s="19">
        <v>165849</v>
      </c>
      <c r="H230" s="19">
        <v>145000</v>
      </c>
      <c r="I230" s="19">
        <f t="shared" si="6"/>
        <v>-20849</v>
      </c>
      <c r="J230" s="20">
        <f t="shared" si="7"/>
        <v>-0.12571073687510928</v>
      </c>
    </row>
    <row r="231" spans="1:10" x14ac:dyDescent="0.2">
      <c r="A231" s="17" t="s">
        <v>265</v>
      </c>
      <c r="B231" s="18">
        <v>46103</v>
      </c>
      <c r="C231" s="17" t="s">
        <v>204</v>
      </c>
      <c r="D231" s="17" t="s">
        <v>13</v>
      </c>
      <c r="E231" s="17" t="s">
        <v>35</v>
      </c>
      <c r="F231" s="17" t="s">
        <v>44</v>
      </c>
      <c r="G231" s="19">
        <v>127691</v>
      </c>
      <c r="H231" s="19">
        <v>126600</v>
      </c>
      <c r="I231" s="19">
        <f t="shared" si="6"/>
        <v>-1091</v>
      </c>
      <c r="J231" s="20">
        <f t="shared" si="7"/>
        <v>-8.5440634030589466E-3</v>
      </c>
    </row>
    <row r="232" spans="1:10" x14ac:dyDescent="0.2">
      <c r="A232" s="17" t="s">
        <v>266</v>
      </c>
      <c r="B232" s="18">
        <v>46085</v>
      </c>
      <c r="C232" s="17" t="s">
        <v>204</v>
      </c>
      <c r="D232" s="17" t="s">
        <v>49</v>
      </c>
      <c r="E232" s="17" t="s">
        <v>13</v>
      </c>
      <c r="F232" s="17" t="s">
        <v>51</v>
      </c>
      <c r="G232" s="19">
        <v>177393</v>
      </c>
      <c r="H232" s="19">
        <v>173000</v>
      </c>
      <c r="I232" s="19">
        <f t="shared" si="6"/>
        <v>-4393</v>
      </c>
      <c r="J232" s="20">
        <f t="shared" si="7"/>
        <v>-2.476422406746602E-2</v>
      </c>
    </row>
    <row r="233" spans="1:10" x14ac:dyDescent="0.2">
      <c r="A233" s="17" t="s">
        <v>267</v>
      </c>
      <c r="B233" s="18">
        <v>46109</v>
      </c>
      <c r="C233" s="17" t="s">
        <v>204</v>
      </c>
      <c r="D233" s="17" t="s">
        <v>25</v>
      </c>
      <c r="E233" s="17" t="s">
        <v>46</v>
      </c>
      <c r="F233" s="17" t="s">
        <v>21</v>
      </c>
      <c r="G233" s="19">
        <v>192159</v>
      </c>
      <c r="H233" s="19">
        <v>200400</v>
      </c>
      <c r="I233" s="19">
        <f t="shared" si="6"/>
        <v>8241</v>
      </c>
      <c r="J233" s="20">
        <f t="shared" si="7"/>
        <v>4.288635973334582E-2</v>
      </c>
    </row>
    <row r="234" spans="1:10" x14ac:dyDescent="0.2">
      <c r="A234" s="17" t="s">
        <v>268</v>
      </c>
      <c r="B234" s="18">
        <v>46090</v>
      </c>
      <c r="C234" s="17" t="s">
        <v>204</v>
      </c>
      <c r="D234" s="17" t="s">
        <v>49</v>
      </c>
      <c r="E234" s="17" t="s">
        <v>13</v>
      </c>
      <c r="F234" s="17" t="s">
        <v>27</v>
      </c>
      <c r="G234" s="19">
        <v>116353</v>
      </c>
      <c r="H234" s="19">
        <v>104200</v>
      </c>
      <c r="I234" s="19">
        <f t="shared" si="6"/>
        <v>-12153</v>
      </c>
      <c r="J234" s="20">
        <f t="shared" si="7"/>
        <v>-0.10444939107715315</v>
      </c>
    </row>
    <row r="235" spans="1:10" x14ac:dyDescent="0.2">
      <c r="A235" s="17" t="s">
        <v>269</v>
      </c>
      <c r="B235" s="18">
        <v>46108</v>
      </c>
      <c r="C235" s="17" t="s">
        <v>204</v>
      </c>
      <c r="D235" s="17" t="s">
        <v>49</v>
      </c>
      <c r="E235" s="17" t="s">
        <v>35</v>
      </c>
      <c r="F235" s="17" t="s">
        <v>18</v>
      </c>
      <c r="G235" s="19">
        <v>167053</v>
      </c>
      <c r="H235" s="19">
        <v>207100</v>
      </c>
      <c r="I235" s="19">
        <f t="shared" si="6"/>
        <v>40047</v>
      </c>
      <c r="J235" s="20">
        <f t="shared" si="7"/>
        <v>0.23972631440321335</v>
      </c>
    </row>
    <row r="236" spans="1:10" x14ac:dyDescent="0.2">
      <c r="A236" s="17" t="s">
        <v>270</v>
      </c>
      <c r="B236" s="18">
        <v>46090</v>
      </c>
      <c r="C236" s="17" t="s">
        <v>204</v>
      </c>
      <c r="D236" s="17" t="s">
        <v>25</v>
      </c>
      <c r="E236" s="17" t="s">
        <v>26</v>
      </c>
      <c r="F236" s="17" t="s">
        <v>44</v>
      </c>
      <c r="G236" s="19">
        <v>192446</v>
      </c>
      <c r="H236" s="19">
        <v>227400</v>
      </c>
      <c r="I236" s="19">
        <f t="shared" si="6"/>
        <v>34954</v>
      </c>
      <c r="J236" s="20">
        <f t="shared" si="7"/>
        <v>0.18163017158059924</v>
      </c>
    </row>
    <row r="237" spans="1:10" x14ac:dyDescent="0.2">
      <c r="A237" s="17" t="s">
        <v>271</v>
      </c>
      <c r="B237" s="18">
        <v>46093</v>
      </c>
      <c r="C237" s="17" t="s">
        <v>204</v>
      </c>
      <c r="D237" s="17" t="s">
        <v>25</v>
      </c>
      <c r="E237" s="17" t="s">
        <v>26</v>
      </c>
      <c r="F237" s="17" t="s">
        <v>51</v>
      </c>
      <c r="G237" s="19">
        <v>100998</v>
      </c>
      <c r="H237" s="19">
        <v>123100</v>
      </c>
      <c r="I237" s="19">
        <f t="shared" si="6"/>
        <v>22102</v>
      </c>
      <c r="J237" s="20">
        <f t="shared" si="7"/>
        <v>0.21883601655478327</v>
      </c>
    </row>
    <row r="238" spans="1:10" x14ac:dyDescent="0.2">
      <c r="A238" s="17" t="s">
        <v>272</v>
      </c>
      <c r="B238" s="18">
        <v>46084</v>
      </c>
      <c r="C238" s="17" t="s">
        <v>204</v>
      </c>
      <c r="D238" s="17" t="s">
        <v>20</v>
      </c>
      <c r="E238" s="17" t="s">
        <v>35</v>
      </c>
      <c r="F238" s="17" t="s">
        <v>29</v>
      </c>
      <c r="G238" s="19">
        <v>168457</v>
      </c>
      <c r="H238" s="19">
        <v>187500</v>
      </c>
      <c r="I238" s="19">
        <f t="shared" si="6"/>
        <v>19043</v>
      </c>
      <c r="J238" s="20">
        <f t="shared" si="7"/>
        <v>0.11304368473853862</v>
      </c>
    </row>
    <row r="239" spans="1:10" x14ac:dyDescent="0.2">
      <c r="A239" s="17" t="s">
        <v>273</v>
      </c>
      <c r="B239" s="18">
        <v>46095</v>
      </c>
      <c r="C239" s="17" t="s">
        <v>204</v>
      </c>
      <c r="D239" s="17" t="s">
        <v>13</v>
      </c>
      <c r="E239" s="17" t="s">
        <v>46</v>
      </c>
      <c r="F239" s="17" t="s">
        <v>51</v>
      </c>
      <c r="G239" s="19">
        <v>159062</v>
      </c>
      <c r="H239" s="19">
        <v>148900</v>
      </c>
      <c r="I239" s="19">
        <f t="shared" si="6"/>
        <v>-10162</v>
      </c>
      <c r="J239" s="20">
        <f t="shared" si="7"/>
        <v>-6.3887037758861329E-2</v>
      </c>
    </row>
    <row r="240" spans="1:10" x14ac:dyDescent="0.2">
      <c r="A240" s="17" t="s">
        <v>274</v>
      </c>
      <c r="B240" s="18">
        <v>46092</v>
      </c>
      <c r="C240" s="17" t="s">
        <v>204</v>
      </c>
      <c r="D240" s="17" t="s">
        <v>49</v>
      </c>
      <c r="E240" s="17" t="s">
        <v>17</v>
      </c>
      <c r="F240" s="17" t="s">
        <v>32</v>
      </c>
      <c r="G240" s="19">
        <v>117007</v>
      </c>
      <c r="H240" s="19">
        <v>114000</v>
      </c>
      <c r="I240" s="19">
        <f t="shared" si="6"/>
        <v>-3007</v>
      </c>
      <c r="J240" s="20">
        <f t="shared" si="7"/>
        <v>-2.5699317134872272E-2</v>
      </c>
    </row>
    <row r="241" spans="1:10" x14ac:dyDescent="0.2">
      <c r="A241" s="17" t="s">
        <v>275</v>
      </c>
      <c r="B241" s="18">
        <v>46101</v>
      </c>
      <c r="C241" s="17" t="s">
        <v>204</v>
      </c>
      <c r="D241" s="17" t="s">
        <v>25</v>
      </c>
      <c r="E241" s="17" t="s">
        <v>17</v>
      </c>
      <c r="F241" s="17" t="s">
        <v>44</v>
      </c>
      <c r="G241" s="19">
        <v>60784</v>
      </c>
      <c r="H241" s="19">
        <v>55500</v>
      </c>
      <c r="I241" s="19">
        <f t="shared" si="6"/>
        <v>-5284</v>
      </c>
      <c r="J241" s="20">
        <f t="shared" si="7"/>
        <v>-8.6930771255593578E-2</v>
      </c>
    </row>
    <row r="242" spans="1:10" x14ac:dyDescent="0.2">
      <c r="A242" s="17" t="s">
        <v>276</v>
      </c>
      <c r="B242" s="18">
        <v>46097</v>
      </c>
      <c r="C242" s="17" t="s">
        <v>204</v>
      </c>
      <c r="D242" s="17" t="s">
        <v>49</v>
      </c>
      <c r="E242" s="17" t="s">
        <v>65</v>
      </c>
      <c r="F242" s="17" t="s">
        <v>27</v>
      </c>
      <c r="G242" s="19">
        <v>136159</v>
      </c>
      <c r="H242" s="19">
        <v>151800</v>
      </c>
      <c r="I242" s="19">
        <f t="shared" si="6"/>
        <v>15641</v>
      </c>
      <c r="J242" s="20">
        <f t="shared" si="7"/>
        <v>0.1148730528279438</v>
      </c>
    </row>
    <row r="243" spans="1:10" x14ac:dyDescent="0.2">
      <c r="A243" s="17" t="s">
        <v>277</v>
      </c>
      <c r="B243" s="18">
        <v>46098</v>
      </c>
      <c r="C243" s="17" t="s">
        <v>204</v>
      </c>
      <c r="D243" s="17" t="s">
        <v>25</v>
      </c>
      <c r="E243" s="17" t="s">
        <v>46</v>
      </c>
      <c r="F243" s="17" t="s">
        <v>27</v>
      </c>
      <c r="G243" s="19">
        <v>91609</v>
      </c>
      <c r="H243" s="19">
        <v>85800</v>
      </c>
      <c r="I243" s="19">
        <f t="shared" si="6"/>
        <v>-5809</v>
      </c>
      <c r="J243" s="20">
        <f t="shared" si="7"/>
        <v>-6.3410800248883847E-2</v>
      </c>
    </row>
    <row r="244" spans="1:10" x14ac:dyDescent="0.2">
      <c r="A244" s="17" t="s">
        <v>278</v>
      </c>
      <c r="B244" s="18">
        <v>46103</v>
      </c>
      <c r="C244" s="17" t="s">
        <v>204</v>
      </c>
      <c r="D244" s="17" t="s">
        <v>49</v>
      </c>
      <c r="E244" s="17" t="s">
        <v>65</v>
      </c>
      <c r="F244" s="17" t="s">
        <v>21</v>
      </c>
      <c r="G244" s="19">
        <v>49069</v>
      </c>
      <c r="H244" s="19">
        <v>47300</v>
      </c>
      <c r="I244" s="19">
        <f t="shared" si="6"/>
        <v>-1769</v>
      </c>
      <c r="J244" s="20">
        <f t="shared" si="7"/>
        <v>-3.6051274735576434E-2</v>
      </c>
    </row>
    <row r="245" spans="1:10" x14ac:dyDescent="0.2">
      <c r="A245" s="17" t="s">
        <v>279</v>
      </c>
      <c r="B245" s="18">
        <v>46089</v>
      </c>
      <c r="C245" s="17" t="s">
        <v>204</v>
      </c>
      <c r="D245" s="17" t="s">
        <v>13</v>
      </c>
      <c r="E245" s="17" t="s">
        <v>35</v>
      </c>
      <c r="F245" s="17" t="s">
        <v>32</v>
      </c>
      <c r="G245" s="19">
        <v>194884</v>
      </c>
      <c r="H245" s="19">
        <v>189700</v>
      </c>
      <c r="I245" s="19">
        <f t="shared" si="6"/>
        <v>-5184</v>
      </c>
      <c r="J245" s="20">
        <f t="shared" si="7"/>
        <v>-2.6600439235647873E-2</v>
      </c>
    </row>
    <row r="246" spans="1:10" x14ac:dyDescent="0.2">
      <c r="A246" s="17" t="s">
        <v>280</v>
      </c>
      <c r="B246" s="18">
        <v>46088</v>
      </c>
      <c r="C246" s="17" t="s">
        <v>204</v>
      </c>
      <c r="D246" s="17" t="s">
        <v>20</v>
      </c>
      <c r="E246" s="17" t="s">
        <v>31</v>
      </c>
      <c r="F246" s="17" t="s">
        <v>44</v>
      </c>
      <c r="G246" s="19">
        <v>73588</v>
      </c>
      <c r="H246" s="19">
        <v>71400</v>
      </c>
      <c r="I246" s="19">
        <f t="shared" si="6"/>
        <v>-2188</v>
      </c>
      <c r="J246" s="20">
        <f t="shared" si="7"/>
        <v>-2.9733108659020492E-2</v>
      </c>
    </row>
    <row r="247" spans="1:10" x14ac:dyDescent="0.2">
      <c r="A247" s="17" t="s">
        <v>281</v>
      </c>
      <c r="B247" s="18">
        <v>46097</v>
      </c>
      <c r="C247" s="17" t="s">
        <v>204</v>
      </c>
      <c r="D247" s="17" t="s">
        <v>16</v>
      </c>
      <c r="E247" s="17" t="s">
        <v>23</v>
      </c>
      <c r="F247" s="17" t="s">
        <v>51</v>
      </c>
      <c r="G247" s="19">
        <v>106015</v>
      </c>
      <c r="H247" s="19">
        <v>95200</v>
      </c>
      <c r="I247" s="19">
        <f t="shared" si="6"/>
        <v>-10815</v>
      </c>
      <c r="J247" s="20">
        <f t="shared" si="7"/>
        <v>-0.10201386596236382</v>
      </c>
    </row>
    <row r="248" spans="1:10" x14ac:dyDescent="0.2">
      <c r="A248" s="17" t="s">
        <v>282</v>
      </c>
      <c r="B248" s="18">
        <v>46104</v>
      </c>
      <c r="C248" s="17" t="s">
        <v>204</v>
      </c>
      <c r="D248" s="17" t="s">
        <v>20</v>
      </c>
      <c r="E248" s="17" t="s">
        <v>46</v>
      </c>
      <c r="F248" s="17" t="s">
        <v>29</v>
      </c>
      <c r="G248" s="19">
        <v>53865</v>
      </c>
      <c r="H248" s="19">
        <v>54000</v>
      </c>
      <c r="I248" s="19">
        <f t="shared" si="6"/>
        <v>135</v>
      </c>
      <c r="J248" s="20">
        <f t="shared" si="7"/>
        <v>2.5062656641604009E-3</v>
      </c>
    </row>
    <row r="249" spans="1:10" x14ac:dyDescent="0.2">
      <c r="A249" s="17" t="s">
        <v>283</v>
      </c>
      <c r="B249" s="18">
        <v>46083</v>
      </c>
      <c r="C249" s="17" t="s">
        <v>204</v>
      </c>
      <c r="D249" s="17" t="s">
        <v>13</v>
      </c>
      <c r="E249" s="17" t="s">
        <v>35</v>
      </c>
      <c r="F249" s="17" t="s">
        <v>41</v>
      </c>
      <c r="G249" s="19">
        <v>124089</v>
      </c>
      <c r="H249" s="19">
        <v>148200</v>
      </c>
      <c r="I249" s="19">
        <f t="shared" si="6"/>
        <v>24111</v>
      </c>
      <c r="J249" s="20">
        <f t="shared" si="7"/>
        <v>0.19430408819476344</v>
      </c>
    </row>
    <row r="250" spans="1:10" x14ac:dyDescent="0.2">
      <c r="A250" s="17" t="s">
        <v>284</v>
      </c>
      <c r="B250" s="18">
        <v>46100</v>
      </c>
      <c r="C250" s="17" t="s">
        <v>204</v>
      </c>
      <c r="D250" s="17" t="s">
        <v>13</v>
      </c>
      <c r="E250" s="17" t="s">
        <v>23</v>
      </c>
      <c r="F250" s="17" t="s">
        <v>27</v>
      </c>
      <c r="G250" s="19">
        <v>40411</v>
      </c>
      <c r="H250" s="19">
        <v>48300</v>
      </c>
      <c r="I250" s="19">
        <f t="shared" si="6"/>
        <v>7889</v>
      </c>
      <c r="J250" s="20">
        <f t="shared" si="7"/>
        <v>0.19521912350597609</v>
      </c>
    </row>
    <row r="251" spans="1:10" x14ac:dyDescent="0.2">
      <c r="A251" s="17" t="s">
        <v>285</v>
      </c>
      <c r="B251" s="18">
        <v>46082</v>
      </c>
      <c r="C251" s="17" t="s">
        <v>204</v>
      </c>
      <c r="D251" s="17" t="s">
        <v>12</v>
      </c>
      <c r="E251" s="17" t="s">
        <v>26</v>
      </c>
      <c r="F251" s="17" t="s">
        <v>18</v>
      </c>
      <c r="G251" s="19">
        <v>95894</v>
      </c>
      <c r="H251" s="19">
        <v>85900</v>
      </c>
      <c r="I251" s="19">
        <f t="shared" si="6"/>
        <v>-9994</v>
      </c>
      <c r="J251" s="20">
        <f t="shared" si="7"/>
        <v>-0.10421924207979644</v>
      </c>
    </row>
    <row r="252" spans="1:10" x14ac:dyDescent="0.2">
      <c r="A252" s="17" t="s">
        <v>286</v>
      </c>
      <c r="B252" s="18">
        <v>46093</v>
      </c>
      <c r="C252" s="17" t="s">
        <v>204</v>
      </c>
      <c r="D252" s="17" t="s">
        <v>25</v>
      </c>
      <c r="E252" s="17" t="s">
        <v>23</v>
      </c>
      <c r="F252" s="17" t="s">
        <v>29</v>
      </c>
      <c r="G252" s="19">
        <v>140611</v>
      </c>
      <c r="H252" s="19">
        <v>166300</v>
      </c>
      <c r="I252" s="19">
        <f t="shared" si="6"/>
        <v>25689</v>
      </c>
      <c r="J252" s="20">
        <f t="shared" si="7"/>
        <v>0.18269552168749245</v>
      </c>
    </row>
    <row r="253" spans="1:10" x14ac:dyDescent="0.2">
      <c r="A253" s="17" t="s">
        <v>287</v>
      </c>
      <c r="B253" s="18">
        <v>46094</v>
      </c>
      <c r="C253" s="17" t="s">
        <v>204</v>
      </c>
      <c r="D253" s="17" t="s">
        <v>49</v>
      </c>
      <c r="E253" s="17" t="s">
        <v>17</v>
      </c>
      <c r="F253" s="17" t="s">
        <v>27</v>
      </c>
      <c r="G253" s="19">
        <v>83783</v>
      </c>
      <c r="H253" s="19">
        <v>85800</v>
      </c>
      <c r="I253" s="19">
        <f t="shared" si="6"/>
        <v>2017</v>
      </c>
      <c r="J253" s="20">
        <f t="shared" si="7"/>
        <v>2.4074096177028752E-2</v>
      </c>
    </row>
    <row r="254" spans="1:10" x14ac:dyDescent="0.2">
      <c r="A254" s="17" t="s">
        <v>288</v>
      </c>
      <c r="B254" s="18">
        <v>46120</v>
      </c>
      <c r="C254" s="17" t="s">
        <v>289</v>
      </c>
      <c r="D254" s="17" t="s">
        <v>12</v>
      </c>
      <c r="E254" s="17" t="s">
        <v>26</v>
      </c>
      <c r="F254" s="17" t="s">
        <v>29</v>
      </c>
      <c r="G254" s="19">
        <v>101336</v>
      </c>
      <c r="H254" s="19">
        <v>116400</v>
      </c>
      <c r="I254" s="19">
        <f t="shared" si="6"/>
        <v>15064</v>
      </c>
      <c r="J254" s="20">
        <f t="shared" si="7"/>
        <v>0.14865398278992659</v>
      </c>
    </row>
    <row r="255" spans="1:10" x14ac:dyDescent="0.2">
      <c r="A255" s="17" t="s">
        <v>290</v>
      </c>
      <c r="B255" s="18">
        <v>46129</v>
      </c>
      <c r="C255" s="17" t="s">
        <v>289</v>
      </c>
      <c r="D255" s="17" t="s">
        <v>49</v>
      </c>
      <c r="E255" s="17" t="s">
        <v>13</v>
      </c>
      <c r="F255" s="17" t="s">
        <v>38</v>
      </c>
      <c r="G255" s="19">
        <v>153820</v>
      </c>
      <c r="H255" s="19">
        <v>169700</v>
      </c>
      <c r="I255" s="19">
        <f t="shared" si="6"/>
        <v>15880</v>
      </c>
      <c r="J255" s="20">
        <f t="shared" si="7"/>
        <v>0.1032375503835652</v>
      </c>
    </row>
    <row r="256" spans="1:10" x14ac:dyDescent="0.2">
      <c r="A256" s="17" t="s">
        <v>291</v>
      </c>
      <c r="B256" s="18">
        <v>46139</v>
      </c>
      <c r="C256" s="17" t="s">
        <v>289</v>
      </c>
      <c r="D256" s="17" t="s">
        <v>16</v>
      </c>
      <c r="E256" s="17" t="s">
        <v>26</v>
      </c>
      <c r="F256" s="17" t="s">
        <v>14</v>
      </c>
      <c r="G256" s="19">
        <v>112038</v>
      </c>
      <c r="H256" s="19">
        <v>127800</v>
      </c>
      <c r="I256" s="19">
        <f t="shared" si="6"/>
        <v>15762</v>
      </c>
      <c r="J256" s="20">
        <f t="shared" si="7"/>
        <v>0.14068441064638784</v>
      </c>
    </row>
    <row r="257" spans="1:10" x14ac:dyDescent="0.2">
      <c r="A257" s="17" t="s">
        <v>292</v>
      </c>
      <c r="B257" s="18">
        <v>46119</v>
      </c>
      <c r="C257" s="17" t="s">
        <v>289</v>
      </c>
      <c r="D257" s="17" t="s">
        <v>20</v>
      </c>
      <c r="E257" s="17" t="s">
        <v>26</v>
      </c>
      <c r="F257" s="17" t="s">
        <v>29</v>
      </c>
      <c r="G257" s="19">
        <v>46949</v>
      </c>
      <c r="H257" s="19">
        <v>42700</v>
      </c>
      <c r="I257" s="19">
        <f t="shared" si="6"/>
        <v>-4249</v>
      </c>
      <c r="J257" s="20">
        <f t="shared" si="7"/>
        <v>-9.050246011629641E-2</v>
      </c>
    </row>
    <row r="258" spans="1:10" x14ac:dyDescent="0.2">
      <c r="A258" s="17" t="s">
        <v>293</v>
      </c>
      <c r="B258" s="18">
        <v>46133</v>
      </c>
      <c r="C258" s="17" t="s">
        <v>289</v>
      </c>
      <c r="D258" s="17" t="s">
        <v>13</v>
      </c>
      <c r="E258" s="17" t="s">
        <v>65</v>
      </c>
      <c r="F258" s="17" t="s">
        <v>18</v>
      </c>
      <c r="G258" s="19">
        <v>66437</v>
      </c>
      <c r="H258" s="19">
        <v>81800</v>
      </c>
      <c r="I258" s="19">
        <f t="shared" ref="I258:I321" si="8">H258-G258</f>
        <v>15363</v>
      </c>
      <c r="J258" s="20">
        <f t="shared" ref="J258:J321" si="9">IFERROR(I258/G258,0)</f>
        <v>0.2312416274064151</v>
      </c>
    </row>
    <row r="259" spans="1:10" x14ac:dyDescent="0.2">
      <c r="A259" s="17" t="s">
        <v>294</v>
      </c>
      <c r="B259" s="18">
        <v>46131</v>
      </c>
      <c r="C259" s="17" t="s">
        <v>289</v>
      </c>
      <c r="D259" s="17" t="s">
        <v>16</v>
      </c>
      <c r="E259" s="17" t="s">
        <v>46</v>
      </c>
      <c r="F259" s="17" t="s">
        <v>38</v>
      </c>
      <c r="G259" s="19">
        <v>171904</v>
      </c>
      <c r="H259" s="19">
        <v>177000</v>
      </c>
      <c r="I259" s="19">
        <f t="shared" si="8"/>
        <v>5096</v>
      </c>
      <c r="J259" s="20">
        <f t="shared" si="9"/>
        <v>2.9644452717795981E-2</v>
      </c>
    </row>
    <row r="260" spans="1:10" x14ac:dyDescent="0.2">
      <c r="A260" s="17" t="s">
        <v>295</v>
      </c>
      <c r="B260" s="18">
        <v>46128</v>
      </c>
      <c r="C260" s="17" t="s">
        <v>289</v>
      </c>
      <c r="D260" s="17" t="s">
        <v>13</v>
      </c>
      <c r="E260" s="17" t="s">
        <v>31</v>
      </c>
      <c r="F260" s="17" t="s">
        <v>44</v>
      </c>
      <c r="G260" s="19">
        <v>59572</v>
      </c>
      <c r="H260" s="19">
        <v>61100</v>
      </c>
      <c r="I260" s="19">
        <f t="shared" si="8"/>
        <v>1528</v>
      </c>
      <c r="J260" s="20">
        <f t="shared" si="9"/>
        <v>2.5649634056268047E-2</v>
      </c>
    </row>
    <row r="261" spans="1:10" x14ac:dyDescent="0.2">
      <c r="A261" s="17" t="s">
        <v>296</v>
      </c>
      <c r="B261" s="18">
        <v>46129</v>
      </c>
      <c r="C261" s="17" t="s">
        <v>289</v>
      </c>
      <c r="D261" s="17" t="s">
        <v>25</v>
      </c>
      <c r="E261" s="17" t="s">
        <v>31</v>
      </c>
      <c r="F261" s="17" t="s">
        <v>41</v>
      </c>
      <c r="G261" s="19">
        <v>175037</v>
      </c>
      <c r="H261" s="19">
        <v>152700</v>
      </c>
      <c r="I261" s="19">
        <f t="shared" si="8"/>
        <v>-22337</v>
      </c>
      <c r="J261" s="20">
        <f t="shared" si="9"/>
        <v>-0.12761301896170524</v>
      </c>
    </row>
    <row r="262" spans="1:10" x14ac:dyDescent="0.2">
      <c r="A262" s="17" t="s">
        <v>297</v>
      </c>
      <c r="B262" s="18">
        <v>46124</v>
      </c>
      <c r="C262" s="17" t="s">
        <v>289</v>
      </c>
      <c r="D262" s="17" t="s">
        <v>12</v>
      </c>
      <c r="E262" s="17" t="s">
        <v>17</v>
      </c>
      <c r="F262" s="17" t="s">
        <v>29</v>
      </c>
      <c r="G262" s="19">
        <v>138466</v>
      </c>
      <c r="H262" s="19">
        <v>119800</v>
      </c>
      <c r="I262" s="19">
        <f t="shared" si="8"/>
        <v>-18666</v>
      </c>
      <c r="J262" s="20">
        <f t="shared" si="9"/>
        <v>-0.1348056562621871</v>
      </c>
    </row>
    <row r="263" spans="1:10" x14ac:dyDescent="0.2">
      <c r="A263" s="17" t="s">
        <v>298</v>
      </c>
      <c r="B263" s="18">
        <v>46125</v>
      </c>
      <c r="C263" s="17" t="s">
        <v>289</v>
      </c>
      <c r="D263" s="17" t="s">
        <v>13</v>
      </c>
      <c r="E263" s="17" t="s">
        <v>35</v>
      </c>
      <c r="F263" s="17" t="s">
        <v>41</v>
      </c>
      <c r="G263" s="19">
        <v>181220</v>
      </c>
      <c r="H263" s="19">
        <v>197100</v>
      </c>
      <c r="I263" s="19">
        <f t="shared" si="8"/>
        <v>15880</v>
      </c>
      <c r="J263" s="20">
        <f t="shared" si="9"/>
        <v>8.7628297097450611E-2</v>
      </c>
    </row>
    <row r="264" spans="1:10" x14ac:dyDescent="0.2">
      <c r="A264" s="17" t="s">
        <v>299</v>
      </c>
      <c r="B264" s="18">
        <v>46123</v>
      </c>
      <c r="C264" s="17" t="s">
        <v>289</v>
      </c>
      <c r="D264" s="17" t="s">
        <v>49</v>
      </c>
      <c r="E264" s="17" t="s">
        <v>65</v>
      </c>
      <c r="F264" s="17" t="s">
        <v>21</v>
      </c>
      <c r="G264" s="19">
        <v>169856</v>
      </c>
      <c r="H264" s="19">
        <v>188700</v>
      </c>
      <c r="I264" s="19">
        <f t="shared" si="8"/>
        <v>18844</v>
      </c>
      <c r="J264" s="20">
        <f t="shared" si="9"/>
        <v>0.11094103240391862</v>
      </c>
    </row>
    <row r="265" spans="1:10" x14ac:dyDescent="0.2">
      <c r="A265" s="17" t="s">
        <v>300</v>
      </c>
      <c r="B265" s="18">
        <v>46127</v>
      </c>
      <c r="C265" s="17" t="s">
        <v>289</v>
      </c>
      <c r="D265" s="17" t="s">
        <v>25</v>
      </c>
      <c r="E265" s="17" t="s">
        <v>46</v>
      </c>
      <c r="F265" s="17" t="s">
        <v>29</v>
      </c>
      <c r="G265" s="19">
        <v>59547</v>
      </c>
      <c r="H265" s="19">
        <v>73400</v>
      </c>
      <c r="I265" s="19">
        <f t="shared" si="8"/>
        <v>13853</v>
      </c>
      <c r="J265" s="20">
        <f t="shared" si="9"/>
        <v>0.23263976354812166</v>
      </c>
    </row>
    <row r="266" spans="1:10" x14ac:dyDescent="0.2">
      <c r="A266" s="17" t="s">
        <v>301</v>
      </c>
      <c r="B266" s="18">
        <v>46114</v>
      </c>
      <c r="C266" s="17" t="s">
        <v>289</v>
      </c>
      <c r="D266" s="17" t="s">
        <v>20</v>
      </c>
      <c r="E266" s="17" t="s">
        <v>65</v>
      </c>
      <c r="F266" s="17" t="s">
        <v>41</v>
      </c>
      <c r="G266" s="19">
        <v>152264</v>
      </c>
      <c r="H266" s="19">
        <v>168800</v>
      </c>
      <c r="I266" s="19">
        <f t="shared" si="8"/>
        <v>16536</v>
      </c>
      <c r="J266" s="20">
        <f t="shared" si="9"/>
        <v>0.10860085115326013</v>
      </c>
    </row>
    <row r="267" spans="1:10" x14ac:dyDescent="0.2">
      <c r="A267" s="17" t="s">
        <v>302</v>
      </c>
      <c r="B267" s="18">
        <v>46118</v>
      </c>
      <c r="C267" s="17" t="s">
        <v>289</v>
      </c>
      <c r="D267" s="17" t="s">
        <v>12</v>
      </c>
      <c r="E267" s="17" t="s">
        <v>46</v>
      </c>
      <c r="F267" s="17" t="s">
        <v>44</v>
      </c>
      <c r="G267" s="19">
        <v>157381</v>
      </c>
      <c r="H267" s="19">
        <v>166700</v>
      </c>
      <c r="I267" s="19">
        <f t="shared" si="8"/>
        <v>9319</v>
      </c>
      <c r="J267" s="20">
        <f t="shared" si="9"/>
        <v>5.9212992673829748E-2</v>
      </c>
    </row>
    <row r="268" spans="1:10" x14ac:dyDescent="0.2">
      <c r="A268" s="17" t="s">
        <v>303</v>
      </c>
      <c r="B268" s="18">
        <v>46123</v>
      </c>
      <c r="C268" s="17" t="s">
        <v>289</v>
      </c>
      <c r="D268" s="17" t="s">
        <v>16</v>
      </c>
      <c r="E268" s="17" t="s">
        <v>35</v>
      </c>
      <c r="F268" s="17" t="s">
        <v>38</v>
      </c>
      <c r="G268" s="19">
        <v>121558</v>
      </c>
      <c r="H268" s="19">
        <v>123200</v>
      </c>
      <c r="I268" s="19">
        <f t="shared" si="8"/>
        <v>1642</v>
      </c>
      <c r="J268" s="20">
        <f t="shared" si="9"/>
        <v>1.3507955050264071E-2</v>
      </c>
    </row>
    <row r="269" spans="1:10" x14ac:dyDescent="0.2">
      <c r="A269" s="17" t="s">
        <v>304</v>
      </c>
      <c r="B269" s="18">
        <v>46130</v>
      </c>
      <c r="C269" s="17" t="s">
        <v>289</v>
      </c>
      <c r="D269" s="17" t="s">
        <v>16</v>
      </c>
      <c r="E269" s="17" t="s">
        <v>23</v>
      </c>
      <c r="F269" s="17" t="s">
        <v>44</v>
      </c>
      <c r="G269" s="19">
        <v>37278</v>
      </c>
      <c r="H269" s="19">
        <v>36600</v>
      </c>
      <c r="I269" s="19">
        <f t="shared" si="8"/>
        <v>-678</v>
      </c>
      <c r="J269" s="20">
        <f t="shared" si="9"/>
        <v>-1.818767101239337E-2</v>
      </c>
    </row>
    <row r="270" spans="1:10" x14ac:dyDescent="0.2">
      <c r="A270" s="17" t="s">
        <v>305</v>
      </c>
      <c r="B270" s="18">
        <v>46134</v>
      </c>
      <c r="C270" s="17" t="s">
        <v>289</v>
      </c>
      <c r="D270" s="17" t="s">
        <v>49</v>
      </c>
      <c r="E270" s="17" t="s">
        <v>26</v>
      </c>
      <c r="F270" s="17" t="s">
        <v>38</v>
      </c>
      <c r="G270" s="19">
        <v>86059</v>
      </c>
      <c r="H270" s="19">
        <v>98100</v>
      </c>
      <c r="I270" s="19">
        <f t="shared" si="8"/>
        <v>12041</v>
      </c>
      <c r="J270" s="20">
        <f t="shared" si="9"/>
        <v>0.13991563927073286</v>
      </c>
    </row>
    <row r="271" spans="1:10" x14ac:dyDescent="0.2">
      <c r="A271" s="17" t="s">
        <v>306</v>
      </c>
      <c r="B271" s="18">
        <v>46117</v>
      </c>
      <c r="C271" s="17" t="s">
        <v>289</v>
      </c>
      <c r="D271" s="17" t="s">
        <v>12</v>
      </c>
      <c r="E271" s="17" t="s">
        <v>31</v>
      </c>
      <c r="F271" s="17" t="s">
        <v>27</v>
      </c>
      <c r="G271" s="19">
        <v>41365</v>
      </c>
      <c r="H271" s="19">
        <v>44800</v>
      </c>
      <c r="I271" s="19">
        <f t="shared" si="8"/>
        <v>3435</v>
      </c>
      <c r="J271" s="20">
        <f t="shared" si="9"/>
        <v>8.304121842137073E-2</v>
      </c>
    </row>
    <row r="272" spans="1:10" x14ac:dyDescent="0.2">
      <c r="A272" s="17" t="s">
        <v>307</v>
      </c>
      <c r="B272" s="18">
        <v>46115</v>
      </c>
      <c r="C272" s="17" t="s">
        <v>289</v>
      </c>
      <c r="D272" s="17" t="s">
        <v>12</v>
      </c>
      <c r="E272" s="17" t="s">
        <v>23</v>
      </c>
      <c r="F272" s="17" t="s">
        <v>38</v>
      </c>
      <c r="G272" s="19">
        <v>53803</v>
      </c>
      <c r="H272" s="19">
        <v>58500</v>
      </c>
      <c r="I272" s="19">
        <f t="shared" si="8"/>
        <v>4697</v>
      </c>
      <c r="J272" s="20">
        <f t="shared" si="9"/>
        <v>8.7299964685984055E-2</v>
      </c>
    </row>
    <row r="273" spans="1:10" x14ac:dyDescent="0.2">
      <c r="A273" s="17" t="s">
        <v>308</v>
      </c>
      <c r="B273" s="18">
        <v>46139</v>
      </c>
      <c r="C273" s="17" t="s">
        <v>289</v>
      </c>
      <c r="D273" s="17" t="s">
        <v>16</v>
      </c>
      <c r="E273" s="17" t="s">
        <v>17</v>
      </c>
      <c r="F273" s="17" t="s">
        <v>27</v>
      </c>
      <c r="G273" s="19">
        <v>53500</v>
      </c>
      <c r="H273" s="19">
        <v>59800</v>
      </c>
      <c r="I273" s="19">
        <f t="shared" si="8"/>
        <v>6300</v>
      </c>
      <c r="J273" s="20">
        <f t="shared" si="9"/>
        <v>0.11775700934579439</v>
      </c>
    </row>
    <row r="274" spans="1:10" x14ac:dyDescent="0.2">
      <c r="A274" s="17" t="s">
        <v>309</v>
      </c>
      <c r="B274" s="18">
        <v>46124</v>
      </c>
      <c r="C274" s="17" t="s">
        <v>289</v>
      </c>
      <c r="D274" s="17" t="s">
        <v>12</v>
      </c>
      <c r="E274" s="17" t="s">
        <v>26</v>
      </c>
      <c r="F274" s="17" t="s">
        <v>14</v>
      </c>
      <c r="G274" s="19">
        <v>153297</v>
      </c>
      <c r="H274" s="19">
        <v>152500</v>
      </c>
      <c r="I274" s="19">
        <f t="shared" si="8"/>
        <v>-797</v>
      </c>
      <c r="J274" s="20">
        <f t="shared" si="9"/>
        <v>-5.1990580376654466E-3</v>
      </c>
    </row>
    <row r="275" spans="1:10" x14ac:dyDescent="0.2">
      <c r="A275" s="17" t="s">
        <v>310</v>
      </c>
      <c r="B275" s="18">
        <v>46128</v>
      </c>
      <c r="C275" s="17" t="s">
        <v>289</v>
      </c>
      <c r="D275" s="17" t="s">
        <v>20</v>
      </c>
      <c r="E275" s="17" t="s">
        <v>13</v>
      </c>
      <c r="F275" s="17" t="s">
        <v>51</v>
      </c>
      <c r="G275" s="19">
        <v>109583</v>
      </c>
      <c r="H275" s="19">
        <v>134700</v>
      </c>
      <c r="I275" s="19">
        <f t="shared" si="8"/>
        <v>25117</v>
      </c>
      <c r="J275" s="20">
        <f t="shared" si="9"/>
        <v>0.22920525993995419</v>
      </c>
    </row>
    <row r="276" spans="1:10" x14ac:dyDescent="0.2">
      <c r="A276" s="17" t="s">
        <v>311</v>
      </c>
      <c r="B276" s="18">
        <v>46140</v>
      </c>
      <c r="C276" s="17" t="s">
        <v>289</v>
      </c>
      <c r="D276" s="17" t="s">
        <v>25</v>
      </c>
      <c r="E276" s="17" t="s">
        <v>35</v>
      </c>
      <c r="F276" s="17" t="s">
        <v>38</v>
      </c>
      <c r="G276" s="19">
        <v>60617</v>
      </c>
      <c r="H276" s="19">
        <v>53400</v>
      </c>
      <c r="I276" s="19">
        <f t="shared" si="8"/>
        <v>-7217</v>
      </c>
      <c r="J276" s="20">
        <f t="shared" si="9"/>
        <v>-0.11905900984872231</v>
      </c>
    </row>
    <row r="277" spans="1:10" x14ac:dyDescent="0.2">
      <c r="A277" s="17" t="s">
        <v>312</v>
      </c>
      <c r="B277" s="18">
        <v>46125</v>
      </c>
      <c r="C277" s="17" t="s">
        <v>289</v>
      </c>
      <c r="D277" s="17" t="s">
        <v>20</v>
      </c>
      <c r="E277" s="17" t="s">
        <v>26</v>
      </c>
      <c r="F277" s="17" t="s">
        <v>51</v>
      </c>
      <c r="G277" s="19">
        <v>182013</v>
      </c>
      <c r="H277" s="19">
        <v>164300</v>
      </c>
      <c r="I277" s="19">
        <f t="shared" si="8"/>
        <v>-17713</v>
      </c>
      <c r="J277" s="20">
        <f t="shared" si="9"/>
        <v>-9.7317224593847687E-2</v>
      </c>
    </row>
    <row r="278" spans="1:10" x14ac:dyDescent="0.2">
      <c r="A278" s="17" t="s">
        <v>313</v>
      </c>
      <c r="B278" s="18">
        <v>46118</v>
      </c>
      <c r="C278" s="17" t="s">
        <v>289</v>
      </c>
      <c r="D278" s="17" t="s">
        <v>16</v>
      </c>
      <c r="E278" s="17" t="s">
        <v>65</v>
      </c>
      <c r="F278" s="17" t="s">
        <v>32</v>
      </c>
      <c r="G278" s="19">
        <v>183771</v>
      </c>
      <c r="H278" s="19">
        <v>215700</v>
      </c>
      <c r="I278" s="19">
        <f t="shared" si="8"/>
        <v>31929</v>
      </c>
      <c r="J278" s="20">
        <f t="shared" si="9"/>
        <v>0.17374340891653198</v>
      </c>
    </row>
    <row r="279" spans="1:10" x14ac:dyDescent="0.2">
      <c r="A279" s="17" t="s">
        <v>314</v>
      </c>
      <c r="B279" s="18">
        <v>46136</v>
      </c>
      <c r="C279" s="17" t="s">
        <v>289</v>
      </c>
      <c r="D279" s="17" t="s">
        <v>20</v>
      </c>
      <c r="E279" s="17" t="s">
        <v>65</v>
      </c>
      <c r="F279" s="17" t="s">
        <v>18</v>
      </c>
      <c r="G279" s="19">
        <v>127704</v>
      </c>
      <c r="H279" s="19">
        <v>127200</v>
      </c>
      <c r="I279" s="19">
        <f t="shared" si="8"/>
        <v>-504</v>
      </c>
      <c r="J279" s="20">
        <f t="shared" si="9"/>
        <v>-3.946626573952265E-3</v>
      </c>
    </row>
    <row r="280" spans="1:10" x14ac:dyDescent="0.2">
      <c r="A280" s="17" t="s">
        <v>315</v>
      </c>
      <c r="B280" s="18">
        <v>46138</v>
      </c>
      <c r="C280" s="17" t="s">
        <v>289</v>
      </c>
      <c r="D280" s="17" t="s">
        <v>13</v>
      </c>
      <c r="E280" s="17" t="s">
        <v>13</v>
      </c>
      <c r="F280" s="17" t="s">
        <v>21</v>
      </c>
      <c r="G280" s="19">
        <v>94692</v>
      </c>
      <c r="H280" s="19">
        <v>109000</v>
      </c>
      <c r="I280" s="19">
        <f t="shared" si="8"/>
        <v>14308</v>
      </c>
      <c r="J280" s="20">
        <f t="shared" si="9"/>
        <v>0.15110040974950364</v>
      </c>
    </row>
    <row r="281" spans="1:10" x14ac:dyDescent="0.2">
      <c r="A281" s="17" t="s">
        <v>316</v>
      </c>
      <c r="B281" s="18">
        <v>46138</v>
      </c>
      <c r="C281" s="17" t="s">
        <v>289</v>
      </c>
      <c r="D281" s="17" t="s">
        <v>13</v>
      </c>
      <c r="E281" s="17" t="s">
        <v>13</v>
      </c>
      <c r="F281" s="17" t="s">
        <v>38</v>
      </c>
      <c r="G281" s="19">
        <v>82696</v>
      </c>
      <c r="H281" s="19">
        <v>80500</v>
      </c>
      <c r="I281" s="19">
        <f t="shared" si="8"/>
        <v>-2196</v>
      </c>
      <c r="J281" s="20">
        <f t="shared" si="9"/>
        <v>-2.655509335397117E-2</v>
      </c>
    </row>
    <row r="282" spans="1:10" x14ac:dyDescent="0.2">
      <c r="A282" s="17" t="s">
        <v>317</v>
      </c>
      <c r="B282" s="18">
        <v>46127</v>
      </c>
      <c r="C282" s="17" t="s">
        <v>289</v>
      </c>
      <c r="D282" s="17" t="s">
        <v>13</v>
      </c>
      <c r="E282" s="17" t="s">
        <v>31</v>
      </c>
      <c r="F282" s="17" t="s">
        <v>27</v>
      </c>
      <c r="G282" s="19">
        <v>197814</v>
      </c>
      <c r="H282" s="19">
        <v>243100</v>
      </c>
      <c r="I282" s="19">
        <f t="shared" si="8"/>
        <v>45286</v>
      </c>
      <c r="J282" s="20">
        <f t="shared" si="9"/>
        <v>0.22893222926587603</v>
      </c>
    </row>
    <row r="283" spans="1:10" x14ac:dyDescent="0.2">
      <c r="A283" s="17" t="s">
        <v>318</v>
      </c>
      <c r="B283" s="18">
        <v>46118</v>
      </c>
      <c r="C283" s="17" t="s">
        <v>289</v>
      </c>
      <c r="D283" s="17" t="s">
        <v>20</v>
      </c>
      <c r="E283" s="17" t="s">
        <v>26</v>
      </c>
      <c r="F283" s="17" t="s">
        <v>44</v>
      </c>
      <c r="G283" s="19">
        <v>151833</v>
      </c>
      <c r="H283" s="19">
        <v>161100</v>
      </c>
      <c r="I283" s="19">
        <f t="shared" si="8"/>
        <v>9267</v>
      </c>
      <c r="J283" s="20">
        <f t="shared" si="9"/>
        <v>6.103416253383652E-2</v>
      </c>
    </row>
    <row r="284" spans="1:10" x14ac:dyDescent="0.2">
      <c r="A284" s="17" t="s">
        <v>319</v>
      </c>
      <c r="B284" s="18">
        <v>46140</v>
      </c>
      <c r="C284" s="17" t="s">
        <v>289</v>
      </c>
      <c r="D284" s="17" t="s">
        <v>12</v>
      </c>
      <c r="E284" s="17" t="s">
        <v>17</v>
      </c>
      <c r="F284" s="17" t="s">
        <v>21</v>
      </c>
      <c r="G284" s="19">
        <v>33678</v>
      </c>
      <c r="H284" s="19">
        <v>37300</v>
      </c>
      <c r="I284" s="19">
        <f t="shared" si="8"/>
        <v>3622</v>
      </c>
      <c r="J284" s="20">
        <f t="shared" si="9"/>
        <v>0.10754795415404715</v>
      </c>
    </row>
    <row r="285" spans="1:10" x14ac:dyDescent="0.2">
      <c r="A285" s="17" t="s">
        <v>320</v>
      </c>
      <c r="B285" s="18">
        <v>46137</v>
      </c>
      <c r="C285" s="17" t="s">
        <v>289</v>
      </c>
      <c r="D285" s="17" t="s">
        <v>20</v>
      </c>
      <c r="E285" s="17" t="s">
        <v>31</v>
      </c>
      <c r="F285" s="17" t="s">
        <v>41</v>
      </c>
      <c r="G285" s="19">
        <v>52683</v>
      </c>
      <c r="H285" s="19">
        <v>50800</v>
      </c>
      <c r="I285" s="19">
        <f t="shared" si="8"/>
        <v>-1883</v>
      </c>
      <c r="J285" s="20">
        <f t="shared" si="9"/>
        <v>-3.5742079987851866E-2</v>
      </c>
    </row>
    <row r="286" spans="1:10" x14ac:dyDescent="0.2">
      <c r="A286" s="17" t="s">
        <v>321</v>
      </c>
      <c r="B286" s="18">
        <v>46126</v>
      </c>
      <c r="C286" s="17" t="s">
        <v>289</v>
      </c>
      <c r="D286" s="17" t="s">
        <v>25</v>
      </c>
      <c r="E286" s="17" t="s">
        <v>13</v>
      </c>
      <c r="F286" s="17" t="s">
        <v>41</v>
      </c>
      <c r="G286" s="19">
        <v>154572</v>
      </c>
      <c r="H286" s="19">
        <v>140500</v>
      </c>
      <c r="I286" s="19">
        <f t="shared" si="8"/>
        <v>-14072</v>
      </c>
      <c r="J286" s="20">
        <f t="shared" si="9"/>
        <v>-9.1038480449240483E-2</v>
      </c>
    </row>
    <row r="287" spans="1:10" x14ac:dyDescent="0.2">
      <c r="A287" s="17" t="s">
        <v>322</v>
      </c>
      <c r="B287" s="18">
        <v>46126</v>
      </c>
      <c r="C287" s="17" t="s">
        <v>289</v>
      </c>
      <c r="D287" s="17" t="s">
        <v>25</v>
      </c>
      <c r="E287" s="17" t="s">
        <v>23</v>
      </c>
      <c r="F287" s="17" t="s">
        <v>21</v>
      </c>
      <c r="G287" s="19">
        <v>111641</v>
      </c>
      <c r="H287" s="19">
        <v>136400</v>
      </c>
      <c r="I287" s="19">
        <f t="shared" si="8"/>
        <v>24759</v>
      </c>
      <c r="J287" s="20">
        <f t="shared" si="9"/>
        <v>0.22177336283265109</v>
      </c>
    </row>
    <row r="288" spans="1:10" x14ac:dyDescent="0.2">
      <c r="A288" s="17" t="s">
        <v>323</v>
      </c>
      <c r="B288" s="18">
        <v>46115</v>
      </c>
      <c r="C288" s="17" t="s">
        <v>289</v>
      </c>
      <c r="D288" s="17" t="s">
        <v>12</v>
      </c>
      <c r="E288" s="17" t="s">
        <v>13</v>
      </c>
      <c r="F288" s="17" t="s">
        <v>32</v>
      </c>
      <c r="G288" s="19">
        <v>118031</v>
      </c>
      <c r="H288" s="19">
        <v>111500</v>
      </c>
      <c r="I288" s="19">
        <f t="shared" si="8"/>
        <v>-6531</v>
      </c>
      <c r="J288" s="20">
        <f t="shared" si="9"/>
        <v>-5.5332921012276437E-2</v>
      </c>
    </row>
    <row r="289" spans="1:10" x14ac:dyDescent="0.2">
      <c r="A289" s="17" t="s">
        <v>324</v>
      </c>
      <c r="B289" s="18">
        <v>46139</v>
      </c>
      <c r="C289" s="17" t="s">
        <v>289</v>
      </c>
      <c r="D289" s="17" t="s">
        <v>16</v>
      </c>
      <c r="E289" s="17" t="s">
        <v>46</v>
      </c>
      <c r="F289" s="17" t="s">
        <v>51</v>
      </c>
      <c r="G289" s="19">
        <v>103541</v>
      </c>
      <c r="H289" s="19">
        <v>126600</v>
      </c>
      <c r="I289" s="19">
        <f t="shared" si="8"/>
        <v>23059</v>
      </c>
      <c r="J289" s="20">
        <f t="shared" si="9"/>
        <v>0.22270404960353871</v>
      </c>
    </row>
    <row r="290" spans="1:10" x14ac:dyDescent="0.2">
      <c r="A290" s="17" t="s">
        <v>325</v>
      </c>
      <c r="B290" s="18">
        <v>46139</v>
      </c>
      <c r="C290" s="17" t="s">
        <v>289</v>
      </c>
      <c r="D290" s="17" t="s">
        <v>13</v>
      </c>
      <c r="E290" s="17" t="s">
        <v>26</v>
      </c>
      <c r="F290" s="17" t="s">
        <v>41</v>
      </c>
      <c r="G290" s="19">
        <v>56070</v>
      </c>
      <c r="H290" s="19">
        <v>48500</v>
      </c>
      <c r="I290" s="19">
        <f t="shared" si="8"/>
        <v>-7570</v>
      </c>
      <c r="J290" s="20">
        <f t="shared" si="9"/>
        <v>-0.13500980916711253</v>
      </c>
    </row>
    <row r="291" spans="1:10" x14ac:dyDescent="0.2">
      <c r="A291" s="17" t="s">
        <v>326</v>
      </c>
      <c r="B291" s="18">
        <v>46115</v>
      </c>
      <c r="C291" s="17" t="s">
        <v>289</v>
      </c>
      <c r="D291" s="17" t="s">
        <v>25</v>
      </c>
      <c r="E291" s="17" t="s">
        <v>31</v>
      </c>
      <c r="F291" s="17" t="s">
        <v>14</v>
      </c>
      <c r="G291" s="19">
        <v>137598</v>
      </c>
      <c r="H291" s="19">
        <v>150800</v>
      </c>
      <c r="I291" s="19">
        <f t="shared" si="8"/>
        <v>13202</v>
      </c>
      <c r="J291" s="20">
        <f t="shared" si="9"/>
        <v>9.5946162008168717E-2</v>
      </c>
    </row>
    <row r="292" spans="1:10" x14ac:dyDescent="0.2">
      <c r="A292" s="17" t="s">
        <v>327</v>
      </c>
      <c r="B292" s="18">
        <v>46136</v>
      </c>
      <c r="C292" s="17" t="s">
        <v>289</v>
      </c>
      <c r="D292" s="17" t="s">
        <v>49</v>
      </c>
      <c r="E292" s="17" t="s">
        <v>23</v>
      </c>
      <c r="F292" s="17" t="s">
        <v>29</v>
      </c>
      <c r="G292" s="19">
        <v>59195</v>
      </c>
      <c r="H292" s="19">
        <v>63300</v>
      </c>
      <c r="I292" s="19">
        <f t="shared" si="8"/>
        <v>4105</v>
      </c>
      <c r="J292" s="20">
        <f t="shared" si="9"/>
        <v>6.9347073232536527E-2</v>
      </c>
    </row>
    <row r="293" spans="1:10" x14ac:dyDescent="0.2">
      <c r="A293" s="17" t="s">
        <v>328</v>
      </c>
      <c r="B293" s="18">
        <v>46116</v>
      </c>
      <c r="C293" s="17" t="s">
        <v>289</v>
      </c>
      <c r="D293" s="17" t="s">
        <v>25</v>
      </c>
      <c r="E293" s="17" t="s">
        <v>13</v>
      </c>
      <c r="F293" s="17" t="s">
        <v>27</v>
      </c>
      <c r="G293" s="19">
        <v>95524</v>
      </c>
      <c r="H293" s="19">
        <v>90300</v>
      </c>
      <c r="I293" s="19">
        <f t="shared" si="8"/>
        <v>-5224</v>
      </c>
      <c r="J293" s="20">
        <f t="shared" si="9"/>
        <v>-5.4687827142916964E-2</v>
      </c>
    </row>
    <row r="294" spans="1:10" x14ac:dyDescent="0.2">
      <c r="A294" s="17" t="s">
        <v>329</v>
      </c>
      <c r="B294" s="18">
        <v>46127</v>
      </c>
      <c r="C294" s="17" t="s">
        <v>289</v>
      </c>
      <c r="D294" s="17" t="s">
        <v>25</v>
      </c>
      <c r="E294" s="17" t="s">
        <v>17</v>
      </c>
      <c r="F294" s="17" t="s">
        <v>41</v>
      </c>
      <c r="G294" s="19">
        <v>187497</v>
      </c>
      <c r="H294" s="19">
        <v>218900</v>
      </c>
      <c r="I294" s="19">
        <f t="shared" si="8"/>
        <v>31403</v>
      </c>
      <c r="J294" s="20">
        <f t="shared" si="9"/>
        <v>0.16748534643220958</v>
      </c>
    </row>
    <row r="295" spans="1:10" x14ac:dyDescent="0.2">
      <c r="A295" s="17" t="s">
        <v>330</v>
      </c>
      <c r="B295" s="18">
        <v>46133</v>
      </c>
      <c r="C295" s="17" t="s">
        <v>289</v>
      </c>
      <c r="D295" s="17" t="s">
        <v>49</v>
      </c>
      <c r="E295" s="17" t="s">
        <v>13</v>
      </c>
      <c r="F295" s="17" t="s">
        <v>51</v>
      </c>
      <c r="G295" s="19">
        <v>176431</v>
      </c>
      <c r="H295" s="19">
        <v>187800</v>
      </c>
      <c r="I295" s="19">
        <f t="shared" si="8"/>
        <v>11369</v>
      </c>
      <c r="J295" s="20">
        <f t="shared" si="9"/>
        <v>6.4438789101688473E-2</v>
      </c>
    </row>
    <row r="296" spans="1:10" x14ac:dyDescent="0.2">
      <c r="A296" s="17" t="s">
        <v>331</v>
      </c>
      <c r="B296" s="18">
        <v>46132</v>
      </c>
      <c r="C296" s="17" t="s">
        <v>289</v>
      </c>
      <c r="D296" s="17" t="s">
        <v>12</v>
      </c>
      <c r="E296" s="17" t="s">
        <v>13</v>
      </c>
      <c r="F296" s="17" t="s">
        <v>18</v>
      </c>
      <c r="G296" s="19">
        <v>96355</v>
      </c>
      <c r="H296" s="19">
        <v>98400</v>
      </c>
      <c r="I296" s="19">
        <f t="shared" si="8"/>
        <v>2045</v>
      </c>
      <c r="J296" s="20">
        <f t="shared" si="9"/>
        <v>2.1223600228322349E-2</v>
      </c>
    </row>
    <row r="297" spans="1:10" x14ac:dyDescent="0.2">
      <c r="A297" s="17" t="s">
        <v>332</v>
      </c>
      <c r="B297" s="18">
        <v>46134</v>
      </c>
      <c r="C297" s="17" t="s">
        <v>289</v>
      </c>
      <c r="D297" s="17" t="s">
        <v>25</v>
      </c>
      <c r="E297" s="17" t="s">
        <v>46</v>
      </c>
      <c r="F297" s="17" t="s">
        <v>29</v>
      </c>
      <c r="G297" s="19">
        <v>129200</v>
      </c>
      <c r="H297" s="19">
        <v>119500</v>
      </c>
      <c r="I297" s="19">
        <f t="shared" si="8"/>
        <v>-9700</v>
      </c>
      <c r="J297" s="20">
        <f t="shared" si="9"/>
        <v>-7.507739938080496E-2</v>
      </c>
    </row>
    <row r="298" spans="1:10" x14ac:dyDescent="0.2">
      <c r="A298" s="17" t="s">
        <v>333</v>
      </c>
      <c r="B298" s="18">
        <v>46138</v>
      </c>
      <c r="C298" s="17" t="s">
        <v>289</v>
      </c>
      <c r="D298" s="17" t="s">
        <v>49</v>
      </c>
      <c r="E298" s="17" t="s">
        <v>35</v>
      </c>
      <c r="F298" s="17" t="s">
        <v>27</v>
      </c>
      <c r="G298" s="19">
        <v>157903</v>
      </c>
      <c r="H298" s="19">
        <v>168600</v>
      </c>
      <c r="I298" s="19">
        <f t="shared" si="8"/>
        <v>10697</v>
      </c>
      <c r="J298" s="20">
        <f t="shared" si="9"/>
        <v>6.7744121390980544E-2</v>
      </c>
    </row>
    <row r="299" spans="1:10" x14ac:dyDescent="0.2">
      <c r="A299" s="17" t="s">
        <v>334</v>
      </c>
      <c r="B299" s="18">
        <v>46125</v>
      </c>
      <c r="C299" s="17" t="s">
        <v>289</v>
      </c>
      <c r="D299" s="17" t="s">
        <v>12</v>
      </c>
      <c r="E299" s="17" t="s">
        <v>31</v>
      </c>
      <c r="F299" s="17" t="s">
        <v>32</v>
      </c>
      <c r="G299" s="19">
        <v>143243</v>
      </c>
      <c r="H299" s="19">
        <v>124300</v>
      </c>
      <c r="I299" s="19">
        <f t="shared" si="8"/>
        <v>-18943</v>
      </c>
      <c r="J299" s="20">
        <f t="shared" si="9"/>
        <v>-0.13224380947061987</v>
      </c>
    </row>
    <row r="300" spans="1:10" x14ac:dyDescent="0.2">
      <c r="A300" s="17" t="s">
        <v>335</v>
      </c>
      <c r="B300" s="18">
        <v>46124</v>
      </c>
      <c r="C300" s="17" t="s">
        <v>289</v>
      </c>
      <c r="D300" s="17" t="s">
        <v>20</v>
      </c>
      <c r="E300" s="17" t="s">
        <v>17</v>
      </c>
      <c r="F300" s="17" t="s">
        <v>18</v>
      </c>
      <c r="G300" s="19">
        <v>113610</v>
      </c>
      <c r="H300" s="19">
        <v>132400</v>
      </c>
      <c r="I300" s="19">
        <f t="shared" si="8"/>
        <v>18790</v>
      </c>
      <c r="J300" s="20">
        <f t="shared" si="9"/>
        <v>0.16539037056597131</v>
      </c>
    </row>
    <row r="301" spans="1:10" x14ac:dyDescent="0.2">
      <c r="A301" s="17" t="s">
        <v>336</v>
      </c>
      <c r="B301" s="18">
        <v>46124</v>
      </c>
      <c r="C301" s="17" t="s">
        <v>289</v>
      </c>
      <c r="D301" s="17" t="s">
        <v>49</v>
      </c>
      <c r="E301" s="17" t="s">
        <v>46</v>
      </c>
      <c r="F301" s="17" t="s">
        <v>51</v>
      </c>
      <c r="G301" s="19">
        <v>107167</v>
      </c>
      <c r="H301" s="19">
        <v>96800</v>
      </c>
      <c r="I301" s="19">
        <f t="shared" si="8"/>
        <v>-10367</v>
      </c>
      <c r="J301" s="20">
        <f t="shared" si="9"/>
        <v>-9.6736868625603031E-2</v>
      </c>
    </row>
    <row r="302" spans="1:10" x14ac:dyDescent="0.2">
      <c r="A302" s="17" t="s">
        <v>337</v>
      </c>
      <c r="B302" s="18">
        <v>46135</v>
      </c>
      <c r="C302" s="17" t="s">
        <v>289</v>
      </c>
      <c r="D302" s="17" t="s">
        <v>13</v>
      </c>
      <c r="E302" s="17" t="s">
        <v>26</v>
      </c>
      <c r="F302" s="17" t="s">
        <v>51</v>
      </c>
      <c r="G302" s="19">
        <v>199485</v>
      </c>
      <c r="H302" s="19">
        <v>206600</v>
      </c>
      <c r="I302" s="19">
        <f t="shared" si="8"/>
        <v>7115</v>
      </c>
      <c r="J302" s="20">
        <f t="shared" si="9"/>
        <v>3.5666842118455021E-2</v>
      </c>
    </row>
    <row r="303" spans="1:10" x14ac:dyDescent="0.2">
      <c r="A303" s="17" t="s">
        <v>338</v>
      </c>
      <c r="B303" s="18">
        <v>46127</v>
      </c>
      <c r="C303" s="17" t="s">
        <v>289</v>
      </c>
      <c r="D303" s="17" t="s">
        <v>25</v>
      </c>
      <c r="E303" s="17" t="s">
        <v>31</v>
      </c>
      <c r="F303" s="17" t="s">
        <v>14</v>
      </c>
      <c r="G303" s="19">
        <v>36541</v>
      </c>
      <c r="H303" s="19">
        <v>41500</v>
      </c>
      <c r="I303" s="19">
        <f t="shared" si="8"/>
        <v>4959</v>
      </c>
      <c r="J303" s="20">
        <f t="shared" si="9"/>
        <v>0.13571057168659861</v>
      </c>
    </row>
    <row r="304" spans="1:10" x14ac:dyDescent="0.2">
      <c r="A304" s="17" t="s">
        <v>339</v>
      </c>
      <c r="B304" s="18">
        <v>46114</v>
      </c>
      <c r="C304" s="17" t="s">
        <v>289</v>
      </c>
      <c r="D304" s="17" t="s">
        <v>12</v>
      </c>
      <c r="E304" s="17" t="s">
        <v>31</v>
      </c>
      <c r="F304" s="17" t="s">
        <v>21</v>
      </c>
      <c r="G304" s="19">
        <v>31483</v>
      </c>
      <c r="H304" s="19">
        <v>36700</v>
      </c>
      <c r="I304" s="19">
        <f t="shared" si="8"/>
        <v>5217</v>
      </c>
      <c r="J304" s="20">
        <f t="shared" si="9"/>
        <v>0.1657084775910809</v>
      </c>
    </row>
    <row r="305" spans="1:10" x14ac:dyDescent="0.2">
      <c r="A305" s="17" t="s">
        <v>340</v>
      </c>
      <c r="B305" s="18">
        <v>46130</v>
      </c>
      <c r="C305" s="17" t="s">
        <v>289</v>
      </c>
      <c r="D305" s="17" t="s">
        <v>13</v>
      </c>
      <c r="E305" s="17" t="s">
        <v>31</v>
      </c>
      <c r="F305" s="17" t="s">
        <v>32</v>
      </c>
      <c r="G305" s="19">
        <v>124392</v>
      </c>
      <c r="H305" s="19">
        <v>154900</v>
      </c>
      <c r="I305" s="19">
        <f t="shared" si="8"/>
        <v>30508</v>
      </c>
      <c r="J305" s="20">
        <f t="shared" si="9"/>
        <v>0.24525692970609042</v>
      </c>
    </row>
    <row r="306" spans="1:10" x14ac:dyDescent="0.2">
      <c r="A306" s="17" t="s">
        <v>341</v>
      </c>
      <c r="B306" s="18">
        <v>46124</v>
      </c>
      <c r="C306" s="17" t="s">
        <v>289</v>
      </c>
      <c r="D306" s="17" t="s">
        <v>25</v>
      </c>
      <c r="E306" s="17" t="s">
        <v>46</v>
      </c>
      <c r="F306" s="17" t="s">
        <v>44</v>
      </c>
      <c r="G306" s="19">
        <v>189581</v>
      </c>
      <c r="H306" s="19">
        <v>175600</v>
      </c>
      <c r="I306" s="19">
        <f t="shared" si="8"/>
        <v>-13981</v>
      </c>
      <c r="J306" s="20">
        <f t="shared" si="9"/>
        <v>-7.3746841719370612E-2</v>
      </c>
    </row>
    <row r="307" spans="1:10" x14ac:dyDescent="0.2">
      <c r="A307" s="17" t="s">
        <v>342</v>
      </c>
      <c r="B307" s="18">
        <v>46126</v>
      </c>
      <c r="C307" s="17" t="s">
        <v>289</v>
      </c>
      <c r="D307" s="17" t="s">
        <v>13</v>
      </c>
      <c r="E307" s="17" t="s">
        <v>65</v>
      </c>
      <c r="F307" s="17" t="s">
        <v>27</v>
      </c>
      <c r="G307" s="19">
        <v>52630</v>
      </c>
      <c r="H307" s="19">
        <v>61600</v>
      </c>
      <c r="I307" s="19">
        <f t="shared" si="8"/>
        <v>8970</v>
      </c>
      <c r="J307" s="20">
        <f t="shared" si="9"/>
        <v>0.1704351130533916</v>
      </c>
    </row>
    <row r="308" spans="1:10" x14ac:dyDescent="0.2">
      <c r="A308" s="17" t="s">
        <v>343</v>
      </c>
      <c r="B308" s="18">
        <v>46128</v>
      </c>
      <c r="C308" s="17" t="s">
        <v>289</v>
      </c>
      <c r="D308" s="17" t="s">
        <v>16</v>
      </c>
      <c r="E308" s="17" t="s">
        <v>65</v>
      </c>
      <c r="F308" s="17" t="s">
        <v>38</v>
      </c>
      <c r="G308" s="19">
        <v>108876</v>
      </c>
      <c r="H308" s="19">
        <v>135000</v>
      </c>
      <c r="I308" s="19">
        <f t="shared" si="8"/>
        <v>26124</v>
      </c>
      <c r="J308" s="20">
        <f t="shared" si="9"/>
        <v>0.23994268709357433</v>
      </c>
    </row>
    <row r="309" spans="1:10" x14ac:dyDescent="0.2">
      <c r="A309" s="17" t="s">
        <v>344</v>
      </c>
      <c r="B309" s="18">
        <v>46115</v>
      </c>
      <c r="C309" s="17" t="s">
        <v>289</v>
      </c>
      <c r="D309" s="17" t="s">
        <v>16</v>
      </c>
      <c r="E309" s="17" t="s">
        <v>23</v>
      </c>
      <c r="F309" s="17" t="s">
        <v>29</v>
      </c>
      <c r="G309" s="19">
        <v>156125</v>
      </c>
      <c r="H309" s="19">
        <v>149400</v>
      </c>
      <c r="I309" s="19">
        <f t="shared" si="8"/>
        <v>-6725</v>
      </c>
      <c r="J309" s="20">
        <f t="shared" si="9"/>
        <v>-4.3074459567654121E-2</v>
      </c>
    </row>
    <row r="310" spans="1:10" x14ac:dyDescent="0.2">
      <c r="A310" s="17" t="s">
        <v>345</v>
      </c>
      <c r="B310" s="18">
        <v>46139</v>
      </c>
      <c r="C310" s="17" t="s">
        <v>289</v>
      </c>
      <c r="D310" s="17" t="s">
        <v>20</v>
      </c>
      <c r="E310" s="17" t="s">
        <v>31</v>
      </c>
      <c r="F310" s="17" t="s">
        <v>38</v>
      </c>
      <c r="G310" s="19">
        <v>132881</v>
      </c>
      <c r="H310" s="19">
        <v>145000</v>
      </c>
      <c r="I310" s="19">
        <f t="shared" si="8"/>
        <v>12119</v>
      </c>
      <c r="J310" s="20">
        <f t="shared" si="9"/>
        <v>9.1201902454075445E-2</v>
      </c>
    </row>
    <row r="311" spans="1:10" x14ac:dyDescent="0.2">
      <c r="A311" s="17" t="s">
        <v>346</v>
      </c>
      <c r="B311" s="18">
        <v>46134</v>
      </c>
      <c r="C311" s="17" t="s">
        <v>289</v>
      </c>
      <c r="D311" s="17" t="s">
        <v>12</v>
      </c>
      <c r="E311" s="17" t="s">
        <v>31</v>
      </c>
      <c r="F311" s="17" t="s">
        <v>41</v>
      </c>
      <c r="G311" s="19">
        <v>46895</v>
      </c>
      <c r="H311" s="19">
        <v>41400</v>
      </c>
      <c r="I311" s="19">
        <f t="shared" si="8"/>
        <v>-5495</v>
      </c>
      <c r="J311" s="20">
        <f t="shared" si="9"/>
        <v>-0.11717667128691758</v>
      </c>
    </row>
    <row r="312" spans="1:10" x14ac:dyDescent="0.2">
      <c r="A312" s="17" t="s">
        <v>347</v>
      </c>
      <c r="B312" s="18">
        <v>46118</v>
      </c>
      <c r="C312" s="17" t="s">
        <v>289</v>
      </c>
      <c r="D312" s="17" t="s">
        <v>16</v>
      </c>
      <c r="E312" s="17" t="s">
        <v>65</v>
      </c>
      <c r="F312" s="17" t="s">
        <v>38</v>
      </c>
      <c r="G312" s="19">
        <v>177973</v>
      </c>
      <c r="H312" s="19">
        <v>202400</v>
      </c>
      <c r="I312" s="19">
        <f t="shared" si="8"/>
        <v>24427</v>
      </c>
      <c r="J312" s="20">
        <f t="shared" si="9"/>
        <v>0.13725115607423599</v>
      </c>
    </row>
    <row r="313" spans="1:10" x14ac:dyDescent="0.2">
      <c r="A313" s="17" t="s">
        <v>348</v>
      </c>
      <c r="B313" s="18">
        <v>46140</v>
      </c>
      <c r="C313" s="17" t="s">
        <v>289</v>
      </c>
      <c r="D313" s="17" t="s">
        <v>12</v>
      </c>
      <c r="E313" s="17" t="s">
        <v>23</v>
      </c>
      <c r="F313" s="17" t="s">
        <v>44</v>
      </c>
      <c r="G313" s="19">
        <v>137212</v>
      </c>
      <c r="H313" s="19">
        <v>119000</v>
      </c>
      <c r="I313" s="19">
        <f t="shared" si="8"/>
        <v>-18212</v>
      </c>
      <c r="J313" s="20">
        <f t="shared" si="9"/>
        <v>-0.13272891583826488</v>
      </c>
    </row>
    <row r="314" spans="1:10" x14ac:dyDescent="0.2">
      <c r="A314" s="17" t="s">
        <v>349</v>
      </c>
      <c r="B314" s="18">
        <v>46114</v>
      </c>
      <c r="C314" s="17" t="s">
        <v>289</v>
      </c>
      <c r="D314" s="17" t="s">
        <v>25</v>
      </c>
      <c r="E314" s="17" t="s">
        <v>23</v>
      </c>
      <c r="F314" s="17" t="s">
        <v>38</v>
      </c>
      <c r="G314" s="19">
        <v>187633</v>
      </c>
      <c r="H314" s="19">
        <v>233000</v>
      </c>
      <c r="I314" s="19">
        <f t="shared" si="8"/>
        <v>45367</v>
      </c>
      <c r="J314" s="20">
        <f t="shared" si="9"/>
        <v>0.24178582658700762</v>
      </c>
    </row>
    <row r="315" spans="1:10" x14ac:dyDescent="0.2">
      <c r="A315" s="17" t="s">
        <v>350</v>
      </c>
      <c r="B315" s="18">
        <v>46134</v>
      </c>
      <c r="C315" s="17" t="s">
        <v>289</v>
      </c>
      <c r="D315" s="17" t="s">
        <v>20</v>
      </c>
      <c r="E315" s="17" t="s">
        <v>35</v>
      </c>
      <c r="F315" s="17" t="s">
        <v>51</v>
      </c>
      <c r="G315" s="19">
        <v>154502</v>
      </c>
      <c r="H315" s="19">
        <v>180800</v>
      </c>
      <c r="I315" s="19">
        <f t="shared" si="8"/>
        <v>26298</v>
      </c>
      <c r="J315" s="20">
        <f t="shared" si="9"/>
        <v>0.17021138884933529</v>
      </c>
    </row>
    <row r="316" spans="1:10" x14ac:dyDescent="0.2">
      <c r="A316" s="17" t="s">
        <v>351</v>
      </c>
      <c r="B316" s="18">
        <v>46127</v>
      </c>
      <c r="C316" s="17" t="s">
        <v>289</v>
      </c>
      <c r="D316" s="17" t="s">
        <v>25</v>
      </c>
      <c r="E316" s="17" t="s">
        <v>26</v>
      </c>
      <c r="F316" s="17" t="s">
        <v>29</v>
      </c>
      <c r="G316" s="19">
        <v>179271</v>
      </c>
      <c r="H316" s="19">
        <v>201000</v>
      </c>
      <c r="I316" s="19">
        <f t="shared" si="8"/>
        <v>21729</v>
      </c>
      <c r="J316" s="20">
        <f t="shared" si="9"/>
        <v>0.12120755727362485</v>
      </c>
    </row>
    <row r="317" spans="1:10" x14ac:dyDescent="0.2">
      <c r="A317" s="17" t="s">
        <v>352</v>
      </c>
      <c r="B317" s="18">
        <v>46124</v>
      </c>
      <c r="C317" s="17" t="s">
        <v>289</v>
      </c>
      <c r="D317" s="17" t="s">
        <v>12</v>
      </c>
      <c r="E317" s="17" t="s">
        <v>23</v>
      </c>
      <c r="F317" s="17" t="s">
        <v>18</v>
      </c>
      <c r="G317" s="19">
        <v>81864</v>
      </c>
      <c r="H317" s="19">
        <v>95100</v>
      </c>
      <c r="I317" s="19">
        <f t="shared" si="8"/>
        <v>13236</v>
      </c>
      <c r="J317" s="20">
        <f t="shared" si="9"/>
        <v>0.16168279097038993</v>
      </c>
    </row>
    <row r="318" spans="1:10" x14ac:dyDescent="0.2">
      <c r="A318" s="17" t="s">
        <v>353</v>
      </c>
      <c r="B318" s="18">
        <v>46134</v>
      </c>
      <c r="C318" s="17" t="s">
        <v>289</v>
      </c>
      <c r="D318" s="17" t="s">
        <v>13</v>
      </c>
      <c r="E318" s="17" t="s">
        <v>46</v>
      </c>
      <c r="F318" s="17" t="s">
        <v>38</v>
      </c>
      <c r="G318" s="19">
        <v>28489</v>
      </c>
      <c r="H318" s="19">
        <v>31100</v>
      </c>
      <c r="I318" s="19">
        <f t="shared" si="8"/>
        <v>2611</v>
      </c>
      <c r="J318" s="20">
        <f t="shared" si="9"/>
        <v>9.164940854364842E-2</v>
      </c>
    </row>
    <row r="319" spans="1:10" x14ac:dyDescent="0.2">
      <c r="A319" s="17" t="s">
        <v>354</v>
      </c>
      <c r="B319" s="18">
        <v>46131</v>
      </c>
      <c r="C319" s="17" t="s">
        <v>289</v>
      </c>
      <c r="D319" s="17" t="s">
        <v>20</v>
      </c>
      <c r="E319" s="17" t="s">
        <v>46</v>
      </c>
      <c r="F319" s="17" t="s">
        <v>27</v>
      </c>
      <c r="G319" s="19">
        <v>136376</v>
      </c>
      <c r="H319" s="19">
        <v>157500</v>
      </c>
      <c r="I319" s="19">
        <f t="shared" si="8"/>
        <v>21124</v>
      </c>
      <c r="J319" s="20">
        <f t="shared" si="9"/>
        <v>0.15489528949375256</v>
      </c>
    </row>
    <row r="320" spans="1:10" x14ac:dyDescent="0.2">
      <c r="A320" s="17" t="s">
        <v>355</v>
      </c>
      <c r="B320" s="18">
        <v>46120</v>
      </c>
      <c r="C320" s="17" t="s">
        <v>289</v>
      </c>
      <c r="D320" s="17" t="s">
        <v>25</v>
      </c>
      <c r="E320" s="17" t="s">
        <v>35</v>
      </c>
      <c r="F320" s="17" t="s">
        <v>51</v>
      </c>
      <c r="G320" s="19">
        <v>102414</v>
      </c>
      <c r="H320" s="19">
        <v>113700</v>
      </c>
      <c r="I320" s="19">
        <f t="shared" si="8"/>
        <v>11286</v>
      </c>
      <c r="J320" s="20">
        <f t="shared" si="9"/>
        <v>0.11019977737418712</v>
      </c>
    </row>
    <row r="321" spans="1:10" x14ac:dyDescent="0.2">
      <c r="A321" s="17" t="s">
        <v>356</v>
      </c>
      <c r="B321" s="18">
        <v>46130</v>
      </c>
      <c r="C321" s="17" t="s">
        <v>289</v>
      </c>
      <c r="D321" s="17" t="s">
        <v>25</v>
      </c>
      <c r="E321" s="17" t="s">
        <v>31</v>
      </c>
      <c r="F321" s="17" t="s">
        <v>44</v>
      </c>
      <c r="G321" s="19">
        <v>150821</v>
      </c>
      <c r="H321" s="19">
        <v>159400</v>
      </c>
      <c r="I321" s="19">
        <f t="shared" si="8"/>
        <v>8579</v>
      </c>
      <c r="J321" s="20">
        <f t="shared" si="9"/>
        <v>5.6881999191094081E-2</v>
      </c>
    </row>
    <row r="322" spans="1:10" x14ac:dyDescent="0.2">
      <c r="A322" s="17" t="s">
        <v>357</v>
      </c>
      <c r="B322" s="18">
        <v>46132</v>
      </c>
      <c r="C322" s="17" t="s">
        <v>289</v>
      </c>
      <c r="D322" s="17" t="s">
        <v>12</v>
      </c>
      <c r="E322" s="17" t="s">
        <v>65</v>
      </c>
      <c r="F322" s="17" t="s">
        <v>14</v>
      </c>
      <c r="G322" s="19">
        <v>136987</v>
      </c>
      <c r="H322" s="19">
        <v>128200</v>
      </c>
      <c r="I322" s="19">
        <f t="shared" ref="I322:I385" si="10">H322-G322</f>
        <v>-8787</v>
      </c>
      <c r="J322" s="20">
        <f t="shared" ref="J322:J385" si="11">IFERROR(I322/G322,0)</f>
        <v>-6.41447728616584E-2</v>
      </c>
    </row>
    <row r="323" spans="1:10" x14ac:dyDescent="0.2">
      <c r="A323" s="17" t="s">
        <v>358</v>
      </c>
      <c r="B323" s="18">
        <v>46115</v>
      </c>
      <c r="C323" s="17" t="s">
        <v>289</v>
      </c>
      <c r="D323" s="17" t="s">
        <v>13</v>
      </c>
      <c r="E323" s="17" t="s">
        <v>26</v>
      </c>
      <c r="F323" s="17" t="s">
        <v>41</v>
      </c>
      <c r="G323" s="19">
        <v>52148</v>
      </c>
      <c r="H323" s="19">
        <v>47200</v>
      </c>
      <c r="I323" s="19">
        <f t="shared" si="10"/>
        <v>-4948</v>
      </c>
      <c r="J323" s="20">
        <f t="shared" si="11"/>
        <v>-9.4883792283500801E-2</v>
      </c>
    </row>
    <row r="324" spans="1:10" x14ac:dyDescent="0.2">
      <c r="A324" s="17" t="s">
        <v>359</v>
      </c>
      <c r="B324" s="18">
        <v>46140</v>
      </c>
      <c r="C324" s="17" t="s">
        <v>289</v>
      </c>
      <c r="D324" s="17" t="s">
        <v>12</v>
      </c>
      <c r="E324" s="17" t="s">
        <v>46</v>
      </c>
      <c r="F324" s="17" t="s">
        <v>29</v>
      </c>
      <c r="G324" s="19">
        <v>43013</v>
      </c>
      <c r="H324" s="19">
        <v>50500</v>
      </c>
      <c r="I324" s="19">
        <f t="shared" si="10"/>
        <v>7487</v>
      </c>
      <c r="J324" s="20">
        <f t="shared" si="11"/>
        <v>0.17406365517401715</v>
      </c>
    </row>
    <row r="325" spans="1:10" x14ac:dyDescent="0.2">
      <c r="A325" s="17" t="s">
        <v>360</v>
      </c>
      <c r="B325" s="18">
        <v>46122</v>
      </c>
      <c r="C325" s="17" t="s">
        <v>289</v>
      </c>
      <c r="D325" s="17" t="s">
        <v>20</v>
      </c>
      <c r="E325" s="17" t="s">
        <v>26</v>
      </c>
      <c r="F325" s="17" t="s">
        <v>38</v>
      </c>
      <c r="G325" s="19">
        <v>164178</v>
      </c>
      <c r="H325" s="19">
        <v>175200</v>
      </c>
      <c r="I325" s="19">
        <f t="shared" si="10"/>
        <v>11022</v>
      </c>
      <c r="J325" s="20">
        <f t="shared" si="11"/>
        <v>6.7134451631765527E-2</v>
      </c>
    </row>
    <row r="326" spans="1:10" x14ac:dyDescent="0.2">
      <c r="A326" s="17" t="s">
        <v>361</v>
      </c>
      <c r="B326" s="18">
        <v>46119</v>
      </c>
      <c r="C326" s="17" t="s">
        <v>289</v>
      </c>
      <c r="D326" s="17" t="s">
        <v>20</v>
      </c>
      <c r="E326" s="17" t="s">
        <v>13</v>
      </c>
      <c r="F326" s="17" t="s">
        <v>41</v>
      </c>
      <c r="G326" s="19">
        <v>153367</v>
      </c>
      <c r="H326" s="19">
        <v>144100</v>
      </c>
      <c r="I326" s="19">
        <f t="shared" si="10"/>
        <v>-9267</v>
      </c>
      <c r="J326" s="20">
        <f t="shared" si="11"/>
        <v>-6.0423689581200653E-2</v>
      </c>
    </row>
    <row r="327" spans="1:10" x14ac:dyDescent="0.2">
      <c r="A327" s="17" t="s">
        <v>362</v>
      </c>
      <c r="B327" s="18">
        <v>46131</v>
      </c>
      <c r="C327" s="17" t="s">
        <v>289</v>
      </c>
      <c r="D327" s="17" t="s">
        <v>12</v>
      </c>
      <c r="E327" s="17" t="s">
        <v>65</v>
      </c>
      <c r="F327" s="17" t="s">
        <v>21</v>
      </c>
      <c r="G327" s="19">
        <v>26890</v>
      </c>
      <c r="H327" s="19">
        <v>26700</v>
      </c>
      <c r="I327" s="19">
        <f t="shared" si="10"/>
        <v>-190</v>
      </c>
      <c r="J327" s="20">
        <f t="shared" si="11"/>
        <v>-7.0658237262923021E-3</v>
      </c>
    </row>
    <row r="328" spans="1:10" x14ac:dyDescent="0.2">
      <c r="A328" s="17" t="s">
        <v>363</v>
      </c>
      <c r="B328" s="18">
        <v>46115</v>
      </c>
      <c r="C328" s="17" t="s">
        <v>289</v>
      </c>
      <c r="D328" s="17" t="s">
        <v>25</v>
      </c>
      <c r="E328" s="17" t="s">
        <v>31</v>
      </c>
      <c r="F328" s="17" t="s">
        <v>27</v>
      </c>
      <c r="G328" s="19">
        <v>54018</v>
      </c>
      <c r="H328" s="19">
        <v>59100</v>
      </c>
      <c r="I328" s="19">
        <f t="shared" si="10"/>
        <v>5082</v>
      </c>
      <c r="J328" s="20">
        <f t="shared" si="11"/>
        <v>9.4079751194046435E-2</v>
      </c>
    </row>
    <row r="329" spans="1:10" x14ac:dyDescent="0.2">
      <c r="A329" s="17" t="s">
        <v>364</v>
      </c>
      <c r="B329" s="18">
        <v>46137</v>
      </c>
      <c r="C329" s="17" t="s">
        <v>289</v>
      </c>
      <c r="D329" s="17" t="s">
        <v>13</v>
      </c>
      <c r="E329" s="17" t="s">
        <v>17</v>
      </c>
      <c r="F329" s="17" t="s">
        <v>51</v>
      </c>
      <c r="G329" s="19">
        <v>145479</v>
      </c>
      <c r="H329" s="19">
        <v>154200</v>
      </c>
      <c r="I329" s="19">
        <f t="shared" si="10"/>
        <v>8721</v>
      </c>
      <c r="J329" s="20">
        <f t="shared" si="11"/>
        <v>5.9946796444847711E-2</v>
      </c>
    </row>
    <row r="330" spans="1:10" x14ac:dyDescent="0.2">
      <c r="A330" s="17" t="s">
        <v>365</v>
      </c>
      <c r="B330" s="18">
        <v>46127</v>
      </c>
      <c r="C330" s="17" t="s">
        <v>289</v>
      </c>
      <c r="D330" s="17" t="s">
        <v>13</v>
      </c>
      <c r="E330" s="17" t="s">
        <v>46</v>
      </c>
      <c r="F330" s="17" t="s">
        <v>51</v>
      </c>
      <c r="G330" s="19">
        <v>103106</v>
      </c>
      <c r="H330" s="19">
        <v>114100</v>
      </c>
      <c r="I330" s="19">
        <f t="shared" si="10"/>
        <v>10994</v>
      </c>
      <c r="J330" s="20">
        <f t="shared" si="11"/>
        <v>0.10662813027369891</v>
      </c>
    </row>
    <row r="331" spans="1:10" x14ac:dyDescent="0.2">
      <c r="A331" s="17" t="s">
        <v>366</v>
      </c>
      <c r="B331" s="18">
        <v>46118</v>
      </c>
      <c r="C331" s="17" t="s">
        <v>289</v>
      </c>
      <c r="D331" s="17" t="s">
        <v>20</v>
      </c>
      <c r="E331" s="17" t="s">
        <v>23</v>
      </c>
      <c r="F331" s="17" t="s">
        <v>21</v>
      </c>
      <c r="G331" s="19">
        <v>164520</v>
      </c>
      <c r="H331" s="19">
        <v>181900</v>
      </c>
      <c r="I331" s="19">
        <f t="shared" si="10"/>
        <v>17380</v>
      </c>
      <c r="J331" s="20">
        <f t="shared" si="11"/>
        <v>0.10564065159251154</v>
      </c>
    </row>
    <row r="332" spans="1:10" x14ac:dyDescent="0.2">
      <c r="A332" s="17" t="s">
        <v>367</v>
      </c>
      <c r="B332" s="18">
        <v>46129</v>
      </c>
      <c r="C332" s="17" t="s">
        <v>289</v>
      </c>
      <c r="D332" s="17" t="s">
        <v>20</v>
      </c>
      <c r="E332" s="17" t="s">
        <v>31</v>
      </c>
      <c r="F332" s="17" t="s">
        <v>51</v>
      </c>
      <c r="G332" s="19">
        <v>34526</v>
      </c>
      <c r="H332" s="19">
        <v>40800</v>
      </c>
      <c r="I332" s="19">
        <f t="shared" si="10"/>
        <v>6274</v>
      </c>
      <c r="J332" s="20">
        <f t="shared" si="11"/>
        <v>0.1817181254706598</v>
      </c>
    </row>
    <row r="333" spans="1:10" x14ac:dyDescent="0.2">
      <c r="A333" s="17" t="s">
        <v>368</v>
      </c>
      <c r="B333" s="18">
        <v>46135</v>
      </c>
      <c r="C333" s="17" t="s">
        <v>289</v>
      </c>
      <c r="D333" s="17" t="s">
        <v>20</v>
      </c>
      <c r="E333" s="17" t="s">
        <v>46</v>
      </c>
      <c r="F333" s="17" t="s">
        <v>21</v>
      </c>
      <c r="G333" s="19">
        <v>62458</v>
      </c>
      <c r="H333" s="19">
        <v>61200</v>
      </c>
      <c r="I333" s="19">
        <f t="shared" si="10"/>
        <v>-1258</v>
      </c>
      <c r="J333" s="20">
        <f t="shared" si="11"/>
        <v>-2.0141535111594992E-2</v>
      </c>
    </row>
    <row r="334" spans="1:10" x14ac:dyDescent="0.2">
      <c r="A334" s="17" t="s">
        <v>369</v>
      </c>
      <c r="B334" s="18">
        <v>46121</v>
      </c>
      <c r="C334" s="17" t="s">
        <v>289</v>
      </c>
      <c r="D334" s="17" t="s">
        <v>20</v>
      </c>
      <c r="E334" s="17" t="s">
        <v>31</v>
      </c>
      <c r="F334" s="17" t="s">
        <v>51</v>
      </c>
      <c r="G334" s="19">
        <v>94461</v>
      </c>
      <c r="H334" s="19">
        <v>112300</v>
      </c>
      <c r="I334" s="19">
        <f t="shared" si="10"/>
        <v>17839</v>
      </c>
      <c r="J334" s="20">
        <f t="shared" si="11"/>
        <v>0.18885042504313951</v>
      </c>
    </row>
    <row r="335" spans="1:10" x14ac:dyDescent="0.2">
      <c r="A335" s="17" t="s">
        <v>370</v>
      </c>
      <c r="B335" s="18">
        <v>46130</v>
      </c>
      <c r="C335" s="17" t="s">
        <v>289</v>
      </c>
      <c r="D335" s="17" t="s">
        <v>25</v>
      </c>
      <c r="E335" s="17" t="s">
        <v>26</v>
      </c>
      <c r="F335" s="17" t="s">
        <v>18</v>
      </c>
      <c r="G335" s="19">
        <v>183845</v>
      </c>
      <c r="H335" s="19">
        <v>178500</v>
      </c>
      <c r="I335" s="19">
        <f t="shared" si="10"/>
        <v>-5345</v>
      </c>
      <c r="J335" s="20">
        <f t="shared" si="11"/>
        <v>-2.9073404226386358E-2</v>
      </c>
    </row>
    <row r="336" spans="1:10" x14ac:dyDescent="0.2">
      <c r="A336" s="17" t="s">
        <v>371</v>
      </c>
      <c r="B336" s="18">
        <v>46134</v>
      </c>
      <c r="C336" s="17" t="s">
        <v>289</v>
      </c>
      <c r="D336" s="17" t="s">
        <v>49</v>
      </c>
      <c r="E336" s="17" t="s">
        <v>46</v>
      </c>
      <c r="F336" s="17" t="s">
        <v>18</v>
      </c>
      <c r="G336" s="19">
        <v>172212</v>
      </c>
      <c r="H336" s="19">
        <v>157000</v>
      </c>
      <c r="I336" s="19">
        <f t="shared" si="10"/>
        <v>-15212</v>
      </c>
      <c r="J336" s="20">
        <f t="shared" si="11"/>
        <v>-8.8332984925556871E-2</v>
      </c>
    </row>
    <row r="337" spans="1:10" x14ac:dyDescent="0.2">
      <c r="A337" s="17" t="s">
        <v>372</v>
      </c>
      <c r="B337" s="18">
        <v>46113</v>
      </c>
      <c r="C337" s="17" t="s">
        <v>289</v>
      </c>
      <c r="D337" s="17" t="s">
        <v>25</v>
      </c>
      <c r="E337" s="17" t="s">
        <v>35</v>
      </c>
      <c r="F337" s="17" t="s">
        <v>18</v>
      </c>
      <c r="G337" s="19">
        <v>30798</v>
      </c>
      <c r="H337" s="19">
        <v>36300</v>
      </c>
      <c r="I337" s="19">
        <f t="shared" si="10"/>
        <v>5502</v>
      </c>
      <c r="J337" s="20">
        <f t="shared" si="11"/>
        <v>0.17864796415351647</v>
      </c>
    </row>
    <row r="338" spans="1:10" x14ac:dyDescent="0.2">
      <c r="A338" s="17" t="s">
        <v>373</v>
      </c>
      <c r="B338" s="18">
        <v>46167</v>
      </c>
      <c r="C338" s="17" t="s">
        <v>374</v>
      </c>
      <c r="D338" s="17" t="s">
        <v>49</v>
      </c>
      <c r="E338" s="17" t="s">
        <v>23</v>
      </c>
      <c r="F338" s="17" t="s">
        <v>18</v>
      </c>
      <c r="G338" s="19">
        <v>89377</v>
      </c>
      <c r="H338" s="19">
        <v>99200</v>
      </c>
      <c r="I338" s="19">
        <f t="shared" si="10"/>
        <v>9823</v>
      </c>
      <c r="J338" s="20">
        <f t="shared" si="11"/>
        <v>0.10990523288989337</v>
      </c>
    </row>
    <row r="339" spans="1:10" x14ac:dyDescent="0.2">
      <c r="A339" s="17" t="s">
        <v>375</v>
      </c>
      <c r="B339" s="18">
        <v>46163</v>
      </c>
      <c r="C339" s="17" t="s">
        <v>374</v>
      </c>
      <c r="D339" s="17" t="s">
        <v>49</v>
      </c>
      <c r="E339" s="17" t="s">
        <v>31</v>
      </c>
      <c r="F339" s="17" t="s">
        <v>44</v>
      </c>
      <c r="G339" s="19">
        <v>187507</v>
      </c>
      <c r="H339" s="19">
        <v>161700</v>
      </c>
      <c r="I339" s="19">
        <f t="shared" si="10"/>
        <v>-25807</v>
      </c>
      <c r="J339" s="20">
        <f t="shared" si="11"/>
        <v>-0.13763219506471758</v>
      </c>
    </row>
    <row r="340" spans="1:10" x14ac:dyDescent="0.2">
      <c r="A340" s="17" t="s">
        <v>376</v>
      </c>
      <c r="B340" s="18">
        <v>46168</v>
      </c>
      <c r="C340" s="17" t="s">
        <v>374</v>
      </c>
      <c r="D340" s="17" t="s">
        <v>16</v>
      </c>
      <c r="E340" s="17" t="s">
        <v>23</v>
      </c>
      <c r="F340" s="17" t="s">
        <v>44</v>
      </c>
      <c r="G340" s="19">
        <v>146601</v>
      </c>
      <c r="H340" s="19">
        <v>139000</v>
      </c>
      <c r="I340" s="19">
        <f t="shared" si="10"/>
        <v>-7601</v>
      </c>
      <c r="J340" s="20">
        <f t="shared" si="11"/>
        <v>-5.1848213859387045E-2</v>
      </c>
    </row>
    <row r="341" spans="1:10" x14ac:dyDescent="0.2">
      <c r="A341" s="17" t="s">
        <v>377</v>
      </c>
      <c r="B341" s="18">
        <v>46144</v>
      </c>
      <c r="C341" s="17" t="s">
        <v>374</v>
      </c>
      <c r="D341" s="17" t="s">
        <v>20</v>
      </c>
      <c r="E341" s="17" t="s">
        <v>65</v>
      </c>
      <c r="F341" s="17" t="s">
        <v>27</v>
      </c>
      <c r="G341" s="19">
        <v>138893</v>
      </c>
      <c r="H341" s="19">
        <v>122100</v>
      </c>
      <c r="I341" s="19">
        <f t="shared" si="10"/>
        <v>-16793</v>
      </c>
      <c r="J341" s="20">
        <f t="shared" si="11"/>
        <v>-0.12090602118177302</v>
      </c>
    </row>
    <row r="342" spans="1:10" x14ac:dyDescent="0.2">
      <c r="A342" s="17" t="s">
        <v>378</v>
      </c>
      <c r="B342" s="18">
        <v>46153</v>
      </c>
      <c r="C342" s="17" t="s">
        <v>374</v>
      </c>
      <c r="D342" s="17" t="s">
        <v>49</v>
      </c>
      <c r="E342" s="17" t="s">
        <v>26</v>
      </c>
      <c r="F342" s="17" t="s">
        <v>38</v>
      </c>
      <c r="G342" s="19">
        <v>146943</v>
      </c>
      <c r="H342" s="19">
        <v>152200</v>
      </c>
      <c r="I342" s="19">
        <f t="shared" si="10"/>
        <v>5257</v>
      </c>
      <c r="J342" s="20">
        <f t="shared" si="11"/>
        <v>3.5775777001966748E-2</v>
      </c>
    </row>
    <row r="343" spans="1:10" x14ac:dyDescent="0.2">
      <c r="A343" s="17" t="s">
        <v>379</v>
      </c>
      <c r="B343" s="18">
        <v>46170</v>
      </c>
      <c r="C343" s="17" t="s">
        <v>374</v>
      </c>
      <c r="D343" s="17" t="s">
        <v>12</v>
      </c>
      <c r="E343" s="17" t="s">
        <v>23</v>
      </c>
      <c r="F343" s="17" t="s">
        <v>51</v>
      </c>
      <c r="G343" s="19">
        <v>103706</v>
      </c>
      <c r="H343" s="19">
        <v>118600</v>
      </c>
      <c r="I343" s="19">
        <f t="shared" si="10"/>
        <v>14894</v>
      </c>
      <c r="J343" s="20">
        <f t="shared" si="11"/>
        <v>0.14361753418317166</v>
      </c>
    </row>
    <row r="344" spans="1:10" x14ac:dyDescent="0.2">
      <c r="A344" s="17" t="s">
        <v>380</v>
      </c>
      <c r="B344" s="18">
        <v>46146</v>
      </c>
      <c r="C344" s="17" t="s">
        <v>374</v>
      </c>
      <c r="D344" s="17" t="s">
        <v>12</v>
      </c>
      <c r="E344" s="17" t="s">
        <v>13</v>
      </c>
      <c r="F344" s="17" t="s">
        <v>41</v>
      </c>
      <c r="G344" s="19">
        <v>117134</v>
      </c>
      <c r="H344" s="19">
        <v>123700</v>
      </c>
      <c r="I344" s="19">
        <f t="shared" si="10"/>
        <v>6566</v>
      </c>
      <c r="J344" s="20">
        <f t="shared" si="11"/>
        <v>5.6055457851691227E-2</v>
      </c>
    </row>
    <row r="345" spans="1:10" x14ac:dyDescent="0.2">
      <c r="A345" s="17" t="s">
        <v>381</v>
      </c>
      <c r="B345" s="18">
        <v>46150</v>
      </c>
      <c r="C345" s="17" t="s">
        <v>374</v>
      </c>
      <c r="D345" s="17" t="s">
        <v>20</v>
      </c>
      <c r="E345" s="17" t="s">
        <v>17</v>
      </c>
      <c r="F345" s="17" t="s">
        <v>32</v>
      </c>
      <c r="G345" s="19">
        <v>52118</v>
      </c>
      <c r="H345" s="19">
        <v>49900</v>
      </c>
      <c r="I345" s="19">
        <f t="shared" si="10"/>
        <v>-2218</v>
      </c>
      <c r="J345" s="20">
        <f t="shared" si="11"/>
        <v>-4.2557273878506469E-2</v>
      </c>
    </row>
    <row r="346" spans="1:10" x14ac:dyDescent="0.2">
      <c r="A346" s="17" t="s">
        <v>382</v>
      </c>
      <c r="B346" s="18">
        <v>46170</v>
      </c>
      <c r="C346" s="17" t="s">
        <v>374</v>
      </c>
      <c r="D346" s="17" t="s">
        <v>49</v>
      </c>
      <c r="E346" s="17" t="s">
        <v>23</v>
      </c>
      <c r="F346" s="17" t="s">
        <v>14</v>
      </c>
      <c r="G346" s="19">
        <v>96077</v>
      </c>
      <c r="H346" s="19">
        <v>118000</v>
      </c>
      <c r="I346" s="19">
        <f t="shared" si="10"/>
        <v>21923</v>
      </c>
      <c r="J346" s="20">
        <f t="shared" si="11"/>
        <v>0.22818156270491377</v>
      </c>
    </row>
    <row r="347" spans="1:10" x14ac:dyDescent="0.2">
      <c r="A347" s="17" t="s">
        <v>383</v>
      </c>
      <c r="B347" s="18">
        <v>46161</v>
      </c>
      <c r="C347" s="17" t="s">
        <v>374</v>
      </c>
      <c r="D347" s="17" t="s">
        <v>16</v>
      </c>
      <c r="E347" s="17" t="s">
        <v>46</v>
      </c>
      <c r="F347" s="17" t="s">
        <v>14</v>
      </c>
      <c r="G347" s="19">
        <v>61864</v>
      </c>
      <c r="H347" s="19">
        <v>72700</v>
      </c>
      <c r="I347" s="19">
        <f t="shared" si="10"/>
        <v>10836</v>
      </c>
      <c r="J347" s="20">
        <f t="shared" si="11"/>
        <v>0.17515841200051727</v>
      </c>
    </row>
    <row r="348" spans="1:10" x14ac:dyDescent="0.2">
      <c r="A348" s="17" t="s">
        <v>384</v>
      </c>
      <c r="B348" s="18">
        <v>46159</v>
      </c>
      <c r="C348" s="17" t="s">
        <v>374</v>
      </c>
      <c r="D348" s="17" t="s">
        <v>13</v>
      </c>
      <c r="E348" s="17" t="s">
        <v>65</v>
      </c>
      <c r="F348" s="17" t="s">
        <v>44</v>
      </c>
      <c r="G348" s="19">
        <v>61770</v>
      </c>
      <c r="H348" s="19">
        <v>64800</v>
      </c>
      <c r="I348" s="19">
        <f t="shared" si="10"/>
        <v>3030</v>
      </c>
      <c r="J348" s="20">
        <f t="shared" si="11"/>
        <v>4.9052938319572609E-2</v>
      </c>
    </row>
    <row r="349" spans="1:10" x14ac:dyDescent="0.2">
      <c r="A349" s="17" t="s">
        <v>385</v>
      </c>
      <c r="B349" s="18">
        <v>46155</v>
      </c>
      <c r="C349" s="17" t="s">
        <v>374</v>
      </c>
      <c r="D349" s="17" t="s">
        <v>49</v>
      </c>
      <c r="E349" s="17" t="s">
        <v>65</v>
      </c>
      <c r="F349" s="17" t="s">
        <v>14</v>
      </c>
      <c r="G349" s="19">
        <v>150382</v>
      </c>
      <c r="H349" s="19">
        <v>129200</v>
      </c>
      <c r="I349" s="19">
        <f t="shared" si="10"/>
        <v>-21182</v>
      </c>
      <c r="J349" s="20">
        <f t="shared" si="11"/>
        <v>-0.14085462355867059</v>
      </c>
    </row>
    <row r="350" spans="1:10" x14ac:dyDescent="0.2">
      <c r="A350" s="17" t="s">
        <v>386</v>
      </c>
      <c r="B350" s="18">
        <v>46144</v>
      </c>
      <c r="C350" s="17" t="s">
        <v>374</v>
      </c>
      <c r="D350" s="17" t="s">
        <v>25</v>
      </c>
      <c r="E350" s="17" t="s">
        <v>31</v>
      </c>
      <c r="F350" s="17" t="s">
        <v>41</v>
      </c>
      <c r="G350" s="19">
        <v>76398</v>
      </c>
      <c r="H350" s="19">
        <v>82800</v>
      </c>
      <c r="I350" s="19">
        <f t="shared" si="10"/>
        <v>6402</v>
      </c>
      <c r="J350" s="20">
        <f t="shared" si="11"/>
        <v>8.3798005183381763E-2</v>
      </c>
    </row>
    <row r="351" spans="1:10" x14ac:dyDescent="0.2">
      <c r="A351" s="17" t="s">
        <v>387</v>
      </c>
      <c r="B351" s="18">
        <v>46163</v>
      </c>
      <c r="C351" s="17" t="s">
        <v>374</v>
      </c>
      <c r="D351" s="17" t="s">
        <v>16</v>
      </c>
      <c r="E351" s="17" t="s">
        <v>65</v>
      </c>
      <c r="F351" s="17" t="s">
        <v>44</v>
      </c>
      <c r="G351" s="19">
        <v>176635</v>
      </c>
      <c r="H351" s="19">
        <v>212500</v>
      </c>
      <c r="I351" s="19">
        <f t="shared" si="10"/>
        <v>35865</v>
      </c>
      <c r="J351" s="20">
        <f t="shared" si="11"/>
        <v>0.20304582896934356</v>
      </c>
    </row>
    <row r="352" spans="1:10" x14ac:dyDescent="0.2">
      <c r="A352" s="17" t="s">
        <v>388</v>
      </c>
      <c r="B352" s="18">
        <v>46146</v>
      </c>
      <c r="C352" s="17" t="s">
        <v>374</v>
      </c>
      <c r="D352" s="17" t="s">
        <v>13</v>
      </c>
      <c r="E352" s="17" t="s">
        <v>26</v>
      </c>
      <c r="F352" s="17" t="s">
        <v>44</v>
      </c>
      <c r="G352" s="19">
        <v>160690</v>
      </c>
      <c r="H352" s="19">
        <v>137100</v>
      </c>
      <c r="I352" s="19">
        <f t="shared" si="10"/>
        <v>-23590</v>
      </c>
      <c r="J352" s="20">
        <f t="shared" si="11"/>
        <v>-0.14680440599912875</v>
      </c>
    </row>
    <row r="353" spans="1:10" x14ac:dyDescent="0.2">
      <c r="A353" s="17" t="s">
        <v>389</v>
      </c>
      <c r="B353" s="18">
        <v>46154</v>
      </c>
      <c r="C353" s="17" t="s">
        <v>374</v>
      </c>
      <c r="D353" s="17" t="s">
        <v>25</v>
      </c>
      <c r="E353" s="17" t="s">
        <v>23</v>
      </c>
      <c r="F353" s="17" t="s">
        <v>32</v>
      </c>
      <c r="G353" s="19">
        <v>115886</v>
      </c>
      <c r="H353" s="19">
        <v>133900</v>
      </c>
      <c r="I353" s="19">
        <f t="shared" si="10"/>
        <v>18014</v>
      </c>
      <c r="J353" s="20">
        <f t="shared" si="11"/>
        <v>0.15544586921629877</v>
      </c>
    </row>
    <row r="354" spans="1:10" x14ac:dyDescent="0.2">
      <c r="A354" s="17" t="s">
        <v>390</v>
      </c>
      <c r="B354" s="18">
        <v>46154</v>
      </c>
      <c r="C354" s="17" t="s">
        <v>374</v>
      </c>
      <c r="D354" s="17" t="s">
        <v>49</v>
      </c>
      <c r="E354" s="17" t="s">
        <v>31</v>
      </c>
      <c r="F354" s="17" t="s">
        <v>29</v>
      </c>
      <c r="G354" s="19">
        <v>169495</v>
      </c>
      <c r="H354" s="19">
        <v>182200</v>
      </c>
      <c r="I354" s="19">
        <f t="shared" si="10"/>
        <v>12705</v>
      </c>
      <c r="J354" s="20">
        <f t="shared" si="11"/>
        <v>7.495796336175109E-2</v>
      </c>
    </row>
    <row r="355" spans="1:10" x14ac:dyDescent="0.2">
      <c r="A355" s="17" t="s">
        <v>391</v>
      </c>
      <c r="B355" s="18">
        <v>46167</v>
      </c>
      <c r="C355" s="17" t="s">
        <v>374</v>
      </c>
      <c r="D355" s="17" t="s">
        <v>49</v>
      </c>
      <c r="E355" s="17" t="s">
        <v>31</v>
      </c>
      <c r="F355" s="17" t="s">
        <v>18</v>
      </c>
      <c r="G355" s="19">
        <v>121279</v>
      </c>
      <c r="H355" s="19">
        <v>127500</v>
      </c>
      <c r="I355" s="19">
        <f t="shared" si="10"/>
        <v>6221</v>
      </c>
      <c r="J355" s="20">
        <f t="shared" si="11"/>
        <v>5.1294948012434137E-2</v>
      </c>
    </row>
    <row r="356" spans="1:10" x14ac:dyDescent="0.2">
      <c r="A356" s="17" t="s">
        <v>392</v>
      </c>
      <c r="B356" s="18">
        <v>46147</v>
      </c>
      <c r="C356" s="17" t="s">
        <v>374</v>
      </c>
      <c r="D356" s="17" t="s">
        <v>25</v>
      </c>
      <c r="E356" s="17" t="s">
        <v>23</v>
      </c>
      <c r="F356" s="17" t="s">
        <v>38</v>
      </c>
      <c r="G356" s="19">
        <v>198362</v>
      </c>
      <c r="H356" s="19">
        <v>217100</v>
      </c>
      <c r="I356" s="19">
        <f t="shared" si="10"/>
        <v>18738</v>
      </c>
      <c r="J356" s="20">
        <f t="shared" si="11"/>
        <v>9.4463657353727026E-2</v>
      </c>
    </row>
    <row r="357" spans="1:10" x14ac:dyDescent="0.2">
      <c r="A357" s="17" t="s">
        <v>393</v>
      </c>
      <c r="B357" s="18">
        <v>46154</v>
      </c>
      <c r="C357" s="17" t="s">
        <v>374</v>
      </c>
      <c r="D357" s="17" t="s">
        <v>20</v>
      </c>
      <c r="E357" s="17" t="s">
        <v>13</v>
      </c>
      <c r="F357" s="17" t="s">
        <v>18</v>
      </c>
      <c r="G357" s="19">
        <v>108889</v>
      </c>
      <c r="H357" s="19">
        <v>116900</v>
      </c>
      <c r="I357" s="19">
        <f t="shared" si="10"/>
        <v>8011</v>
      </c>
      <c r="J357" s="20">
        <f t="shared" si="11"/>
        <v>7.357033309149684E-2</v>
      </c>
    </row>
    <row r="358" spans="1:10" x14ac:dyDescent="0.2">
      <c r="A358" s="17" t="s">
        <v>394</v>
      </c>
      <c r="B358" s="18">
        <v>46144</v>
      </c>
      <c r="C358" s="17" t="s">
        <v>374</v>
      </c>
      <c r="D358" s="17" t="s">
        <v>25</v>
      </c>
      <c r="E358" s="17" t="s">
        <v>35</v>
      </c>
      <c r="F358" s="17" t="s">
        <v>51</v>
      </c>
      <c r="G358" s="19">
        <v>153463</v>
      </c>
      <c r="H358" s="19">
        <v>155100</v>
      </c>
      <c r="I358" s="19">
        <f t="shared" si="10"/>
        <v>1637</v>
      </c>
      <c r="J358" s="20">
        <f t="shared" si="11"/>
        <v>1.0667066328691606E-2</v>
      </c>
    </row>
    <row r="359" spans="1:10" x14ac:dyDescent="0.2">
      <c r="A359" s="17" t="s">
        <v>395</v>
      </c>
      <c r="B359" s="18">
        <v>46159</v>
      </c>
      <c r="C359" s="17" t="s">
        <v>374</v>
      </c>
      <c r="D359" s="17" t="s">
        <v>13</v>
      </c>
      <c r="E359" s="17" t="s">
        <v>26</v>
      </c>
      <c r="F359" s="17" t="s">
        <v>18</v>
      </c>
      <c r="G359" s="19">
        <v>107304</v>
      </c>
      <c r="H359" s="19">
        <v>125700</v>
      </c>
      <c r="I359" s="19">
        <f t="shared" si="10"/>
        <v>18396</v>
      </c>
      <c r="J359" s="20">
        <f t="shared" si="11"/>
        <v>0.17143815701185416</v>
      </c>
    </row>
    <row r="360" spans="1:10" x14ac:dyDescent="0.2">
      <c r="A360" s="17" t="s">
        <v>396</v>
      </c>
      <c r="B360" s="18">
        <v>46162</v>
      </c>
      <c r="C360" s="17" t="s">
        <v>374</v>
      </c>
      <c r="D360" s="17" t="s">
        <v>12</v>
      </c>
      <c r="E360" s="17" t="s">
        <v>26</v>
      </c>
      <c r="F360" s="17" t="s">
        <v>27</v>
      </c>
      <c r="G360" s="19">
        <v>155136</v>
      </c>
      <c r="H360" s="19">
        <v>140500</v>
      </c>
      <c r="I360" s="19">
        <f t="shared" si="10"/>
        <v>-14636</v>
      </c>
      <c r="J360" s="20">
        <f t="shared" si="11"/>
        <v>-9.4343028052805283E-2</v>
      </c>
    </row>
    <row r="361" spans="1:10" x14ac:dyDescent="0.2">
      <c r="A361" s="17" t="s">
        <v>397</v>
      </c>
      <c r="B361" s="18">
        <v>46152</v>
      </c>
      <c r="C361" s="17" t="s">
        <v>374</v>
      </c>
      <c r="D361" s="17" t="s">
        <v>49</v>
      </c>
      <c r="E361" s="17" t="s">
        <v>46</v>
      </c>
      <c r="F361" s="17" t="s">
        <v>21</v>
      </c>
      <c r="G361" s="19">
        <v>181611</v>
      </c>
      <c r="H361" s="19">
        <v>208100</v>
      </c>
      <c r="I361" s="19">
        <f t="shared" si="10"/>
        <v>26489</v>
      </c>
      <c r="J361" s="20">
        <f t="shared" si="11"/>
        <v>0.14585570257308203</v>
      </c>
    </row>
    <row r="362" spans="1:10" x14ac:dyDescent="0.2">
      <c r="A362" s="17" t="s">
        <v>398</v>
      </c>
      <c r="B362" s="18">
        <v>46165</v>
      </c>
      <c r="C362" s="17" t="s">
        <v>374</v>
      </c>
      <c r="D362" s="17" t="s">
        <v>49</v>
      </c>
      <c r="E362" s="17" t="s">
        <v>31</v>
      </c>
      <c r="F362" s="17" t="s">
        <v>41</v>
      </c>
      <c r="G362" s="19">
        <v>153618</v>
      </c>
      <c r="H362" s="19">
        <v>163300</v>
      </c>
      <c r="I362" s="19">
        <f t="shared" si="10"/>
        <v>9682</v>
      </c>
      <c r="J362" s="20">
        <f t="shared" si="11"/>
        <v>6.3026468252418338E-2</v>
      </c>
    </row>
    <row r="363" spans="1:10" x14ac:dyDescent="0.2">
      <c r="A363" s="17" t="s">
        <v>399</v>
      </c>
      <c r="B363" s="18">
        <v>46164</v>
      </c>
      <c r="C363" s="17" t="s">
        <v>374</v>
      </c>
      <c r="D363" s="17" t="s">
        <v>25</v>
      </c>
      <c r="E363" s="17" t="s">
        <v>23</v>
      </c>
      <c r="F363" s="17" t="s">
        <v>18</v>
      </c>
      <c r="G363" s="19">
        <v>24361</v>
      </c>
      <c r="H363" s="19">
        <v>24300</v>
      </c>
      <c r="I363" s="19">
        <f t="shared" si="10"/>
        <v>-61</v>
      </c>
      <c r="J363" s="20">
        <f t="shared" si="11"/>
        <v>-2.5040022987562085E-3</v>
      </c>
    </row>
    <row r="364" spans="1:10" x14ac:dyDescent="0.2">
      <c r="A364" s="17" t="s">
        <v>400</v>
      </c>
      <c r="B364" s="18">
        <v>46166</v>
      </c>
      <c r="C364" s="17" t="s">
        <v>374</v>
      </c>
      <c r="D364" s="17" t="s">
        <v>16</v>
      </c>
      <c r="E364" s="17" t="s">
        <v>35</v>
      </c>
      <c r="F364" s="17" t="s">
        <v>18</v>
      </c>
      <c r="G364" s="19">
        <v>100655</v>
      </c>
      <c r="H364" s="19">
        <v>117600</v>
      </c>
      <c r="I364" s="19">
        <f t="shared" si="10"/>
        <v>16945</v>
      </c>
      <c r="J364" s="20">
        <f t="shared" si="11"/>
        <v>0.16834732502111172</v>
      </c>
    </row>
    <row r="365" spans="1:10" x14ac:dyDescent="0.2">
      <c r="A365" s="17" t="s">
        <v>401</v>
      </c>
      <c r="B365" s="18">
        <v>46163</v>
      </c>
      <c r="C365" s="17" t="s">
        <v>374</v>
      </c>
      <c r="D365" s="17" t="s">
        <v>49</v>
      </c>
      <c r="E365" s="17" t="s">
        <v>13</v>
      </c>
      <c r="F365" s="17" t="s">
        <v>32</v>
      </c>
      <c r="G365" s="19">
        <v>144410</v>
      </c>
      <c r="H365" s="19">
        <v>138100</v>
      </c>
      <c r="I365" s="19">
        <f t="shared" si="10"/>
        <v>-6310</v>
      </c>
      <c r="J365" s="20">
        <f t="shared" si="11"/>
        <v>-4.3695034969877429E-2</v>
      </c>
    </row>
    <row r="366" spans="1:10" x14ac:dyDescent="0.2">
      <c r="A366" s="17" t="s">
        <v>402</v>
      </c>
      <c r="B366" s="18">
        <v>46159</v>
      </c>
      <c r="C366" s="17" t="s">
        <v>374</v>
      </c>
      <c r="D366" s="17" t="s">
        <v>16</v>
      </c>
      <c r="E366" s="17" t="s">
        <v>23</v>
      </c>
      <c r="F366" s="17" t="s">
        <v>51</v>
      </c>
      <c r="G366" s="19">
        <v>172967</v>
      </c>
      <c r="H366" s="19">
        <v>180300</v>
      </c>
      <c r="I366" s="19">
        <f t="shared" si="10"/>
        <v>7333</v>
      </c>
      <c r="J366" s="20">
        <f t="shared" si="11"/>
        <v>4.2395370215127744E-2</v>
      </c>
    </row>
    <row r="367" spans="1:10" x14ac:dyDescent="0.2">
      <c r="A367" s="17" t="s">
        <v>403</v>
      </c>
      <c r="B367" s="18">
        <v>46161</v>
      </c>
      <c r="C367" s="17" t="s">
        <v>374</v>
      </c>
      <c r="D367" s="17" t="s">
        <v>16</v>
      </c>
      <c r="E367" s="17" t="s">
        <v>17</v>
      </c>
      <c r="F367" s="17" t="s">
        <v>14</v>
      </c>
      <c r="G367" s="19">
        <v>198448</v>
      </c>
      <c r="H367" s="19">
        <v>187900</v>
      </c>
      <c r="I367" s="19">
        <f t="shared" si="10"/>
        <v>-10548</v>
      </c>
      <c r="J367" s="20">
        <f t="shared" si="11"/>
        <v>-5.3152463113762802E-2</v>
      </c>
    </row>
    <row r="368" spans="1:10" x14ac:dyDescent="0.2">
      <c r="A368" s="17" t="s">
        <v>404</v>
      </c>
      <c r="B368" s="18">
        <v>46156</v>
      </c>
      <c r="C368" s="17" t="s">
        <v>374</v>
      </c>
      <c r="D368" s="17" t="s">
        <v>20</v>
      </c>
      <c r="E368" s="17" t="s">
        <v>23</v>
      </c>
      <c r="F368" s="17" t="s">
        <v>14</v>
      </c>
      <c r="G368" s="19">
        <v>24964</v>
      </c>
      <c r="H368" s="19">
        <v>25600</v>
      </c>
      <c r="I368" s="19">
        <f t="shared" si="10"/>
        <v>636</v>
      </c>
      <c r="J368" s="20">
        <f t="shared" si="11"/>
        <v>2.5476686428456977E-2</v>
      </c>
    </row>
    <row r="369" spans="1:10" x14ac:dyDescent="0.2">
      <c r="A369" s="17" t="s">
        <v>405</v>
      </c>
      <c r="B369" s="18">
        <v>46162</v>
      </c>
      <c r="C369" s="17" t="s">
        <v>374</v>
      </c>
      <c r="D369" s="17" t="s">
        <v>13</v>
      </c>
      <c r="E369" s="17" t="s">
        <v>35</v>
      </c>
      <c r="F369" s="17" t="s">
        <v>51</v>
      </c>
      <c r="G369" s="19">
        <v>127577</v>
      </c>
      <c r="H369" s="19">
        <v>134000</v>
      </c>
      <c r="I369" s="19">
        <f t="shared" si="10"/>
        <v>6423</v>
      </c>
      <c r="J369" s="20">
        <f t="shared" si="11"/>
        <v>5.0346065513376233E-2</v>
      </c>
    </row>
    <row r="370" spans="1:10" x14ac:dyDescent="0.2">
      <c r="A370" s="17" t="s">
        <v>406</v>
      </c>
      <c r="B370" s="18">
        <v>46153</v>
      </c>
      <c r="C370" s="17" t="s">
        <v>374</v>
      </c>
      <c r="D370" s="17" t="s">
        <v>16</v>
      </c>
      <c r="E370" s="17" t="s">
        <v>65</v>
      </c>
      <c r="F370" s="17" t="s">
        <v>21</v>
      </c>
      <c r="G370" s="19">
        <v>155969</v>
      </c>
      <c r="H370" s="19">
        <v>145500</v>
      </c>
      <c r="I370" s="19">
        <f t="shared" si="10"/>
        <v>-10469</v>
      </c>
      <c r="J370" s="20">
        <f t="shared" si="11"/>
        <v>-6.7122312767280673E-2</v>
      </c>
    </row>
    <row r="371" spans="1:10" x14ac:dyDescent="0.2">
      <c r="A371" s="17" t="s">
        <v>407</v>
      </c>
      <c r="B371" s="18">
        <v>46148</v>
      </c>
      <c r="C371" s="17" t="s">
        <v>374</v>
      </c>
      <c r="D371" s="17" t="s">
        <v>13</v>
      </c>
      <c r="E371" s="17" t="s">
        <v>46</v>
      </c>
      <c r="F371" s="17" t="s">
        <v>21</v>
      </c>
      <c r="G371" s="19">
        <v>118782</v>
      </c>
      <c r="H371" s="19">
        <v>115900</v>
      </c>
      <c r="I371" s="19">
        <f t="shared" si="10"/>
        <v>-2882</v>
      </c>
      <c r="J371" s="20">
        <f t="shared" si="11"/>
        <v>-2.4262935461601926E-2</v>
      </c>
    </row>
    <row r="372" spans="1:10" x14ac:dyDescent="0.2">
      <c r="A372" s="17" t="s">
        <v>408</v>
      </c>
      <c r="B372" s="18">
        <v>46170</v>
      </c>
      <c r="C372" s="17" t="s">
        <v>374</v>
      </c>
      <c r="D372" s="17" t="s">
        <v>16</v>
      </c>
      <c r="E372" s="17" t="s">
        <v>31</v>
      </c>
      <c r="F372" s="17" t="s">
        <v>18</v>
      </c>
      <c r="G372" s="19">
        <v>112874</v>
      </c>
      <c r="H372" s="19">
        <v>126500</v>
      </c>
      <c r="I372" s="19">
        <f t="shared" si="10"/>
        <v>13626</v>
      </c>
      <c r="J372" s="20">
        <f t="shared" si="11"/>
        <v>0.12071867746336623</v>
      </c>
    </row>
    <row r="373" spans="1:10" x14ac:dyDescent="0.2">
      <c r="A373" s="17" t="s">
        <v>409</v>
      </c>
      <c r="B373" s="18">
        <v>46150</v>
      </c>
      <c r="C373" s="17" t="s">
        <v>374</v>
      </c>
      <c r="D373" s="17" t="s">
        <v>12</v>
      </c>
      <c r="E373" s="17" t="s">
        <v>31</v>
      </c>
      <c r="F373" s="17" t="s">
        <v>14</v>
      </c>
      <c r="G373" s="19">
        <v>146924</v>
      </c>
      <c r="H373" s="19">
        <v>136200</v>
      </c>
      <c r="I373" s="19">
        <f t="shared" si="10"/>
        <v>-10724</v>
      </c>
      <c r="J373" s="20">
        <f t="shared" si="11"/>
        <v>-7.2990117339576929E-2</v>
      </c>
    </row>
    <row r="374" spans="1:10" x14ac:dyDescent="0.2">
      <c r="A374" s="17" t="s">
        <v>410</v>
      </c>
      <c r="B374" s="18">
        <v>46165</v>
      </c>
      <c r="C374" s="17" t="s">
        <v>374</v>
      </c>
      <c r="D374" s="17" t="s">
        <v>20</v>
      </c>
      <c r="E374" s="17" t="s">
        <v>65</v>
      </c>
      <c r="F374" s="17" t="s">
        <v>38</v>
      </c>
      <c r="G374" s="19">
        <v>98017</v>
      </c>
      <c r="H374" s="19">
        <v>113500</v>
      </c>
      <c r="I374" s="19">
        <f t="shared" si="10"/>
        <v>15483</v>
      </c>
      <c r="J374" s="20">
        <f t="shared" si="11"/>
        <v>0.15796239427854353</v>
      </c>
    </row>
    <row r="375" spans="1:10" x14ac:dyDescent="0.2">
      <c r="A375" s="17" t="s">
        <v>411</v>
      </c>
      <c r="B375" s="18">
        <v>46168</v>
      </c>
      <c r="C375" s="17" t="s">
        <v>374</v>
      </c>
      <c r="D375" s="17" t="s">
        <v>16</v>
      </c>
      <c r="E375" s="17" t="s">
        <v>31</v>
      </c>
      <c r="F375" s="17" t="s">
        <v>44</v>
      </c>
      <c r="G375" s="19">
        <v>145777</v>
      </c>
      <c r="H375" s="19">
        <v>144200</v>
      </c>
      <c r="I375" s="19">
        <f t="shared" si="10"/>
        <v>-1577</v>
      </c>
      <c r="J375" s="20">
        <f t="shared" si="11"/>
        <v>-1.0817893083271024E-2</v>
      </c>
    </row>
    <row r="376" spans="1:10" x14ac:dyDescent="0.2">
      <c r="A376" s="17" t="s">
        <v>412</v>
      </c>
      <c r="B376" s="18">
        <v>46160</v>
      </c>
      <c r="C376" s="17" t="s">
        <v>374</v>
      </c>
      <c r="D376" s="17" t="s">
        <v>13</v>
      </c>
      <c r="E376" s="17" t="s">
        <v>23</v>
      </c>
      <c r="F376" s="17" t="s">
        <v>38</v>
      </c>
      <c r="G376" s="19">
        <v>51948</v>
      </c>
      <c r="H376" s="19">
        <v>56100</v>
      </c>
      <c r="I376" s="19">
        <f t="shared" si="10"/>
        <v>4152</v>
      </c>
      <c r="J376" s="20">
        <f t="shared" si="11"/>
        <v>7.9926079926079932E-2</v>
      </c>
    </row>
    <row r="377" spans="1:10" x14ac:dyDescent="0.2">
      <c r="A377" s="17" t="s">
        <v>413</v>
      </c>
      <c r="B377" s="18">
        <v>46152</v>
      </c>
      <c r="C377" s="17" t="s">
        <v>374</v>
      </c>
      <c r="D377" s="17" t="s">
        <v>16</v>
      </c>
      <c r="E377" s="17" t="s">
        <v>17</v>
      </c>
      <c r="F377" s="17" t="s">
        <v>38</v>
      </c>
      <c r="G377" s="19">
        <v>58397</v>
      </c>
      <c r="H377" s="19">
        <v>56400</v>
      </c>
      <c r="I377" s="19">
        <f t="shared" si="10"/>
        <v>-1997</v>
      </c>
      <c r="J377" s="20">
        <f t="shared" si="11"/>
        <v>-3.4196962172714354E-2</v>
      </c>
    </row>
    <row r="378" spans="1:10" x14ac:dyDescent="0.2">
      <c r="A378" s="17" t="s">
        <v>414</v>
      </c>
      <c r="B378" s="18">
        <v>46166</v>
      </c>
      <c r="C378" s="17" t="s">
        <v>374</v>
      </c>
      <c r="D378" s="17" t="s">
        <v>13</v>
      </c>
      <c r="E378" s="17" t="s">
        <v>13</v>
      </c>
      <c r="F378" s="17" t="s">
        <v>14</v>
      </c>
      <c r="G378" s="19">
        <v>135966</v>
      </c>
      <c r="H378" s="19">
        <v>151200</v>
      </c>
      <c r="I378" s="19">
        <f t="shared" si="10"/>
        <v>15234</v>
      </c>
      <c r="J378" s="20">
        <f t="shared" si="11"/>
        <v>0.11204271656149331</v>
      </c>
    </row>
    <row r="379" spans="1:10" x14ac:dyDescent="0.2">
      <c r="A379" s="17" t="s">
        <v>415</v>
      </c>
      <c r="B379" s="18">
        <v>46160</v>
      </c>
      <c r="C379" s="17" t="s">
        <v>374</v>
      </c>
      <c r="D379" s="17" t="s">
        <v>16</v>
      </c>
      <c r="E379" s="17" t="s">
        <v>31</v>
      </c>
      <c r="F379" s="17" t="s">
        <v>51</v>
      </c>
      <c r="G379" s="19">
        <v>161184</v>
      </c>
      <c r="H379" s="19">
        <v>154500</v>
      </c>
      <c r="I379" s="19">
        <f t="shared" si="10"/>
        <v>-6684</v>
      </c>
      <c r="J379" s="20">
        <f t="shared" si="11"/>
        <v>-4.1468135795116143E-2</v>
      </c>
    </row>
    <row r="380" spans="1:10" x14ac:dyDescent="0.2">
      <c r="A380" s="17" t="s">
        <v>416</v>
      </c>
      <c r="B380" s="18">
        <v>46161</v>
      </c>
      <c r="C380" s="17" t="s">
        <v>374</v>
      </c>
      <c r="D380" s="17" t="s">
        <v>20</v>
      </c>
      <c r="E380" s="17" t="s">
        <v>13</v>
      </c>
      <c r="F380" s="17" t="s">
        <v>32</v>
      </c>
      <c r="G380" s="19">
        <v>48633</v>
      </c>
      <c r="H380" s="19">
        <v>53300</v>
      </c>
      <c r="I380" s="19">
        <f t="shared" si="10"/>
        <v>4667</v>
      </c>
      <c r="J380" s="20">
        <f t="shared" si="11"/>
        <v>9.5963646083934775E-2</v>
      </c>
    </row>
    <row r="381" spans="1:10" x14ac:dyDescent="0.2">
      <c r="A381" s="17" t="s">
        <v>417</v>
      </c>
      <c r="B381" s="18">
        <v>46150</v>
      </c>
      <c r="C381" s="17" t="s">
        <v>374</v>
      </c>
      <c r="D381" s="17" t="s">
        <v>16</v>
      </c>
      <c r="E381" s="17" t="s">
        <v>13</v>
      </c>
      <c r="F381" s="17" t="s">
        <v>32</v>
      </c>
      <c r="G381" s="19">
        <v>195592</v>
      </c>
      <c r="H381" s="19">
        <v>237100</v>
      </c>
      <c r="I381" s="19">
        <f t="shared" si="10"/>
        <v>41508</v>
      </c>
      <c r="J381" s="20">
        <f t="shared" si="11"/>
        <v>0.21221726859994275</v>
      </c>
    </row>
    <row r="382" spans="1:10" x14ac:dyDescent="0.2">
      <c r="A382" s="17" t="s">
        <v>418</v>
      </c>
      <c r="B382" s="18">
        <v>46165</v>
      </c>
      <c r="C382" s="17" t="s">
        <v>374</v>
      </c>
      <c r="D382" s="17" t="s">
        <v>13</v>
      </c>
      <c r="E382" s="17" t="s">
        <v>17</v>
      </c>
      <c r="F382" s="17" t="s">
        <v>51</v>
      </c>
      <c r="G382" s="19">
        <v>46266</v>
      </c>
      <c r="H382" s="19">
        <v>47000</v>
      </c>
      <c r="I382" s="19">
        <f t="shared" si="10"/>
        <v>734</v>
      </c>
      <c r="J382" s="20">
        <f t="shared" si="11"/>
        <v>1.5864781913284054E-2</v>
      </c>
    </row>
    <row r="383" spans="1:10" x14ac:dyDescent="0.2">
      <c r="A383" s="17" t="s">
        <v>419</v>
      </c>
      <c r="B383" s="18">
        <v>46148</v>
      </c>
      <c r="C383" s="17" t="s">
        <v>374</v>
      </c>
      <c r="D383" s="17" t="s">
        <v>13</v>
      </c>
      <c r="E383" s="17" t="s">
        <v>65</v>
      </c>
      <c r="F383" s="17" t="s">
        <v>41</v>
      </c>
      <c r="G383" s="19">
        <v>21358</v>
      </c>
      <c r="H383" s="19">
        <v>26400</v>
      </c>
      <c r="I383" s="19">
        <f t="shared" si="10"/>
        <v>5042</v>
      </c>
      <c r="J383" s="20">
        <f t="shared" si="11"/>
        <v>0.23607079314542559</v>
      </c>
    </row>
    <row r="384" spans="1:10" x14ac:dyDescent="0.2">
      <c r="A384" s="17" t="s">
        <v>420</v>
      </c>
      <c r="B384" s="18">
        <v>46152</v>
      </c>
      <c r="C384" s="17" t="s">
        <v>374</v>
      </c>
      <c r="D384" s="17" t="s">
        <v>12</v>
      </c>
      <c r="E384" s="17" t="s">
        <v>31</v>
      </c>
      <c r="F384" s="17" t="s">
        <v>32</v>
      </c>
      <c r="G384" s="19">
        <v>190534</v>
      </c>
      <c r="H384" s="19">
        <v>177200</v>
      </c>
      <c r="I384" s="19">
        <f t="shared" si="10"/>
        <v>-13334</v>
      </c>
      <c r="J384" s="20">
        <f t="shared" si="11"/>
        <v>-6.9982260383973469E-2</v>
      </c>
    </row>
    <row r="385" spans="1:10" x14ac:dyDescent="0.2">
      <c r="A385" s="17" t="s">
        <v>421</v>
      </c>
      <c r="B385" s="18">
        <v>46150</v>
      </c>
      <c r="C385" s="17" t="s">
        <v>374</v>
      </c>
      <c r="D385" s="17" t="s">
        <v>49</v>
      </c>
      <c r="E385" s="17" t="s">
        <v>35</v>
      </c>
      <c r="F385" s="17" t="s">
        <v>51</v>
      </c>
      <c r="G385" s="19">
        <v>43451</v>
      </c>
      <c r="H385" s="19">
        <v>48300</v>
      </c>
      <c r="I385" s="19">
        <f t="shared" si="10"/>
        <v>4849</v>
      </c>
      <c r="J385" s="20">
        <f t="shared" si="11"/>
        <v>0.11159697130100574</v>
      </c>
    </row>
    <row r="386" spans="1:10" x14ac:dyDescent="0.2">
      <c r="A386" s="17" t="s">
        <v>422</v>
      </c>
      <c r="B386" s="18">
        <v>46148</v>
      </c>
      <c r="C386" s="17" t="s">
        <v>374</v>
      </c>
      <c r="D386" s="17" t="s">
        <v>25</v>
      </c>
      <c r="E386" s="17" t="s">
        <v>23</v>
      </c>
      <c r="F386" s="17" t="s">
        <v>41</v>
      </c>
      <c r="G386" s="19">
        <v>129546</v>
      </c>
      <c r="H386" s="19">
        <v>155800</v>
      </c>
      <c r="I386" s="19">
        <f t="shared" ref="I386:I449" si="12">H386-G386</f>
        <v>26254</v>
      </c>
      <c r="J386" s="20">
        <f t="shared" ref="J386:J449" si="13">IFERROR(I386/G386,0)</f>
        <v>0.20266160282833898</v>
      </c>
    </row>
    <row r="387" spans="1:10" x14ac:dyDescent="0.2">
      <c r="A387" s="17" t="s">
        <v>423</v>
      </c>
      <c r="B387" s="18">
        <v>46170</v>
      </c>
      <c r="C387" s="17" t="s">
        <v>374</v>
      </c>
      <c r="D387" s="17" t="s">
        <v>12</v>
      </c>
      <c r="E387" s="17" t="s">
        <v>35</v>
      </c>
      <c r="F387" s="17" t="s">
        <v>32</v>
      </c>
      <c r="G387" s="19">
        <v>68840</v>
      </c>
      <c r="H387" s="19">
        <v>84300</v>
      </c>
      <c r="I387" s="19">
        <f t="shared" si="12"/>
        <v>15460</v>
      </c>
      <c r="J387" s="20">
        <f t="shared" si="13"/>
        <v>0.22457873329459616</v>
      </c>
    </row>
    <row r="388" spans="1:10" x14ac:dyDescent="0.2">
      <c r="A388" s="17" t="s">
        <v>424</v>
      </c>
      <c r="B388" s="18">
        <v>46146</v>
      </c>
      <c r="C388" s="17" t="s">
        <v>374</v>
      </c>
      <c r="D388" s="17" t="s">
        <v>12</v>
      </c>
      <c r="E388" s="17" t="s">
        <v>31</v>
      </c>
      <c r="F388" s="17" t="s">
        <v>41</v>
      </c>
      <c r="G388" s="19">
        <v>98221</v>
      </c>
      <c r="H388" s="19">
        <v>105800</v>
      </c>
      <c r="I388" s="19">
        <f t="shared" si="12"/>
        <v>7579</v>
      </c>
      <c r="J388" s="20">
        <f t="shared" si="13"/>
        <v>7.7162724875535785E-2</v>
      </c>
    </row>
    <row r="389" spans="1:10" x14ac:dyDescent="0.2">
      <c r="A389" s="17" t="s">
        <v>425</v>
      </c>
      <c r="B389" s="18">
        <v>46158</v>
      </c>
      <c r="C389" s="17" t="s">
        <v>374</v>
      </c>
      <c r="D389" s="17" t="s">
        <v>20</v>
      </c>
      <c r="E389" s="17" t="s">
        <v>65</v>
      </c>
      <c r="F389" s="17" t="s">
        <v>44</v>
      </c>
      <c r="G389" s="19">
        <v>188116</v>
      </c>
      <c r="H389" s="19">
        <v>200800</v>
      </c>
      <c r="I389" s="19">
        <f t="shared" si="12"/>
        <v>12684</v>
      </c>
      <c r="J389" s="20">
        <f t="shared" si="13"/>
        <v>6.7426481532671334E-2</v>
      </c>
    </row>
    <row r="390" spans="1:10" x14ac:dyDescent="0.2">
      <c r="A390" s="17" t="s">
        <v>426</v>
      </c>
      <c r="B390" s="18">
        <v>46153</v>
      </c>
      <c r="C390" s="17" t="s">
        <v>374</v>
      </c>
      <c r="D390" s="17" t="s">
        <v>20</v>
      </c>
      <c r="E390" s="17" t="s">
        <v>65</v>
      </c>
      <c r="F390" s="17" t="s">
        <v>44</v>
      </c>
      <c r="G390" s="19">
        <v>70544</v>
      </c>
      <c r="H390" s="19">
        <v>82800</v>
      </c>
      <c r="I390" s="19">
        <f t="shared" si="12"/>
        <v>12256</v>
      </c>
      <c r="J390" s="20">
        <f t="shared" si="13"/>
        <v>0.17373554093898844</v>
      </c>
    </row>
    <row r="391" spans="1:10" x14ac:dyDescent="0.2">
      <c r="A391" s="17" t="s">
        <v>427</v>
      </c>
      <c r="B391" s="18">
        <v>46153</v>
      </c>
      <c r="C391" s="17" t="s">
        <v>374</v>
      </c>
      <c r="D391" s="17" t="s">
        <v>12</v>
      </c>
      <c r="E391" s="17" t="s">
        <v>13</v>
      </c>
      <c r="F391" s="17" t="s">
        <v>51</v>
      </c>
      <c r="G391" s="19">
        <v>68810</v>
      </c>
      <c r="H391" s="19">
        <v>58900</v>
      </c>
      <c r="I391" s="19">
        <f t="shared" si="12"/>
        <v>-9910</v>
      </c>
      <c r="J391" s="20">
        <f t="shared" si="13"/>
        <v>-0.14401976456910331</v>
      </c>
    </row>
    <row r="392" spans="1:10" x14ac:dyDescent="0.2">
      <c r="A392" s="17" t="s">
        <v>428</v>
      </c>
      <c r="B392" s="18">
        <v>46155</v>
      </c>
      <c r="C392" s="17" t="s">
        <v>374</v>
      </c>
      <c r="D392" s="17" t="s">
        <v>13</v>
      </c>
      <c r="E392" s="17" t="s">
        <v>46</v>
      </c>
      <c r="F392" s="17" t="s">
        <v>29</v>
      </c>
      <c r="G392" s="19">
        <v>180158</v>
      </c>
      <c r="H392" s="19">
        <v>214800</v>
      </c>
      <c r="I392" s="19">
        <f t="shared" si="12"/>
        <v>34642</v>
      </c>
      <c r="J392" s="20">
        <f t="shared" si="13"/>
        <v>0.19228677050144874</v>
      </c>
    </row>
    <row r="393" spans="1:10" x14ac:dyDescent="0.2">
      <c r="A393" s="17" t="s">
        <v>429</v>
      </c>
      <c r="B393" s="18">
        <v>46148</v>
      </c>
      <c r="C393" s="17" t="s">
        <v>374</v>
      </c>
      <c r="D393" s="17" t="s">
        <v>20</v>
      </c>
      <c r="E393" s="17" t="s">
        <v>65</v>
      </c>
      <c r="F393" s="17" t="s">
        <v>38</v>
      </c>
      <c r="G393" s="19">
        <v>125076</v>
      </c>
      <c r="H393" s="19">
        <v>139800</v>
      </c>
      <c r="I393" s="19">
        <f t="shared" si="12"/>
        <v>14724</v>
      </c>
      <c r="J393" s="20">
        <f t="shared" si="13"/>
        <v>0.11772042598100355</v>
      </c>
    </row>
    <row r="394" spans="1:10" x14ac:dyDescent="0.2">
      <c r="A394" s="17" t="s">
        <v>430</v>
      </c>
      <c r="B394" s="18">
        <v>46155</v>
      </c>
      <c r="C394" s="17" t="s">
        <v>374</v>
      </c>
      <c r="D394" s="17" t="s">
        <v>20</v>
      </c>
      <c r="E394" s="17" t="s">
        <v>65</v>
      </c>
      <c r="F394" s="17" t="s">
        <v>44</v>
      </c>
      <c r="G394" s="19">
        <v>85024</v>
      </c>
      <c r="H394" s="19">
        <v>72500</v>
      </c>
      <c r="I394" s="19">
        <f t="shared" si="12"/>
        <v>-12524</v>
      </c>
      <c r="J394" s="20">
        <f t="shared" si="13"/>
        <v>-0.14729958599924728</v>
      </c>
    </row>
    <row r="395" spans="1:10" x14ac:dyDescent="0.2">
      <c r="A395" s="17" t="s">
        <v>431</v>
      </c>
      <c r="B395" s="18">
        <v>46166</v>
      </c>
      <c r="C395" s="17" t="s">
        <v>374</v>
      </c>
      <c r="D395" s="17" t="s">
        <v>49</v>
      </c>
      <c r="E395" s="17" t="s">
        <v>35</v>
      </c>
      <c r="F395" s="17" t="s">
        <v>44</v>
      </c>
      <c r="G395" s="19">
        <v>106409</v>
      </c>
      <c r="H395" s="19">
        <v>103300</v>
      </c>
      <c r="I395" s="19">
        <f t="shared" si="12"/>
        <v>-3109</v>
      </c>
      <c r="J395" s="20">
        <f t="shared" si="13"/>
        <v>-2.9217453410895693E-2</v>
      </c>
    </row>
    <row r="396" spans="1:10" x14ac:dyDescent="0.2">
      <c r="A396" s="17" t="s">
        <v>432</v>
      </c>
      <c r="B396" s="18">
        <v>46150</v>
      </c>
      <c r="C396" s="17" t="s">
        <v>374</v>
      </c>
      <c r="D396" s="17" t="s">
        <v>25</v>
      </c>
      <c r="E396" s="17" t="s">
        <v>17</v>
      </c>
      <c r="F396" s="17" t="s">
        <v>41</v>
      </c>
      <c r="G396" s="19">
        <v>191359</v>
      </c>
      <c r="H396" s="19">
        <v>190200</v>
      </c>
      <c r="I396" s="19">
        <f t="shared" si="12"/>
        <v>-1159</v>
      </c>
      <c r="J396" s="20">
        <f t="shared" si="13"/>
        <v>-6.0566788078951078E-3</v>
      </c>
    </row>
    <row r="397" spans="1:10" x14ac:dyDescent="0.2">
      <c r="A397" s="17" t="s">
        <v>433</v>
      </c>
      <c r="B397" s="18">
        <v>46164</v>
      </c>
      <c r="C397" s="17" t="s">
        <v>374</v>
      </c>
      <c r="D397" s="17" t="s">
        <v>49</v>
      </c>
      <c r="E397" s="17" t="s">
        <v>31</v>
      </c>
      <c r="F397" s="17" t="s">
        <v>29</v>
      </c>
      <c r="G397" s="19">
        <v>100427</v>
      </c>
      <c r="H397" s="19">
        <v>91800</v>
      </c>
      <c r="I397" s="19">
        <f t="shared" si="12"/>
        <v>-8627</v>
      </c>
      <c r="J397" s="20">
        <f t="shared" si="13"/>
        <v>-8.5903193364334288E-2</v>
      </c>
    </row>
    <row r="398" spans="1:10" x14ac:dyDescent="0.2">
      <c r="A398" s="17" t="s">
        <v>434</v>
      </c>
      <c r="B398" s="18">
        <v>46152</v>
      </c>
      <c r="C398" s="17" t="s">
        <v>374</v>
      </c>
      <c r="D398" s="17" t="s">
        <v>12</v>
      </c>
      <c r="E398" s="17" t="s">
        <v>13</v>
      </c>
      <c r="F398" s="17" t="s">
        <v>14</v>
      </c>
      <c r="G398" s="19">
        <v>187434</v>
      </c>
      <c r="H398" s="19">
        <v>228000</v>
      </c>
      <c r="I398" s="19">
        <f t="shared" si="12"/>
        <v>40566</v>
      </c>
      <c r="J398" s="20">
        <f t="shared" si="13"/>
        <v>0.21642818272031755</v>
      </c>
    </row>
    <row r="399" spans="1:10" x14ac:dyDescent="0.2">
      <c r="A399" s="17" t="s">
        <v>435</v>
      </c>
      <c r="B399" s="18">
        <v>46157</v>
      </c>
      <c r="C399" s="17" t="s">
        <v>374</v>
      </c>
      <c r="D399" s="17" t="s">
        <v>16</v>
      </c>
      <c r="E399" s="17" t="s">
        <v>46</v>
      </c>
      <c r="F399" s="17" t="s">
        <v>27</v>
      </c>
      <c r="G399" s="19">
        <v>55014</v>
      </c>
      <c r="H399" s="19">
        <v>57300</v>
      </c>
      <c r="I399" s="19">
        <f t="shared" si="12"/>
        <v>2286</v>
      </c>
      <c r="J399" s="20">
        <f t="shared" si="13"/>
        <v>4.1553059221289129E-2</v>
      </c>
    </row>
    <row r="400" spans="1:10" x14ac:dyDescent="0.2">
      <c r="A400" s="17" t="s">
        <v>436</v>
      </c>
      <c r="B400" s="18">
        <v>46167</v>
      </c>
      <c r="C400" s="17" t="s">
        <v>374</v>
      </c>
      <c r="D400" s="17" t="s">
        <v>49</v>
      </c>
      <c r="E400" s="17" t="s">
        <v>13</v>
      </c>
      <c r="F400" s="17" t="s">
        <v>14</v>
      </c>
      <c r="G400" s="19">
        <v>163978</v>
      </c>
      <c r="H400" s="19">
        <v>199300</v>
      </c>
      <c r="I400" s="19">
        <f t="shared" si="12"/>
        <v>35322</v>
      </c>
      <c r="J400" s="20">
        <f t="shared" si="13"/>
        <v>0.21540694483406311</v>
      </c>
    </row>
    <row r="401" spans="1:10" x14ac:dyDescent="0.2">
      <c r="A401" s="17" t="s">
        <v>437</v>
      </c>
      <c r="B401" s="18">
        <v>46170</v>
      </c>
      <c r="C401" s="17" t="s">
        <v>374</v>
      </c>
      <c r="D401" s="17" t="s">
        <v>25</v>
      </c>
      <c r="E401" s="17" t="s">
        <v>65</v>
      </c>
      <c r="F401" s="17" t="s">
        <v>21</v>
      </c>
      <c r="G401" s="19">
        <v>198347</v>
      </c>
      <c r="H401" s="19">
        <v>228500</v>
      </c>
      <c r="I401" s="19">
        <f t="shared" si="12"/>
        <v>30153</v>
      </c>
      <c r="J401" s="20">
        <f t="shared" si="13"/>
        <v>0.15202145734495606</v>
      </c>
    </row>
    <row r="402" spans="1:10" x14ac:dyDescent="0.2">
      <c r="A402" s="17" t="s">
        <v>438</v>
      </c>
      <c r="B402" s="18">
        <v>46161</v>
      </c>
      <c r="C402" s="17" t="s">
        <v>374</v>
      </c>
      <c r="D402" s="17" t="s">
        <v>25</v>
      </c>
      <c r="E402" s="17" t="s">
        <v>35</v>
      </c>
      <c r="F402" s="17" t="s">
        <v>21</v>
      </c>
      <c r="G402" s="19">
        <v>114839</v>
      </c>
      <c r="H402" s="19">
        <v>101200</v>
      </c>
      <c r="I402" s="19">
        <f t="shared" si="12"/>
        <v>-13639</v>
      </c>
      <c r="J402" s="20">
        <f t="shared" si="13"/>
        <v>-0.11876627278189465</v>
      </c>
    </row>
    <row r="403" spans="1:10" x14ac:dyDescent="0.2">
      <c r="A403" s="17" t="s">
        <v>439</v>
      </c>
      <c r="B403" s="18">
        <v>46160</v>
      </c>
      <c r="C403" s="17" t="s">
        <v>374</v>
      </c>
      <c r="D403" s="17" t="s">
        <v>20</v>
      </c>
      <c r="E403" s="17" t="s">
        <v>26</v>
      </c>
      <c r="F403" s="17" t="s">
        <v>38</v>
      </c>
      <c r="G403" s="19">
        <v>152510</v>
      </c>
      <c r="H403" s="19">
        <v>142000</v>
      </c>
      <c r="I403" s="19">
        <f t="shared" si="12"/>
        <v>-10510</v>
      </c>
      <c r="J403" s="20">
        <f t="shared" si="13"/>
        <v>-6.8913513867943088E-2</v>
      </c>
    </row>
    <row r="404" spans="1:10" x14ac:dyDescent="0.2">
      <c r="A404" s="17" t="s">
        <v>440</v>
      </c>
      <c r="B404" s="18">
        <v>46164</v>
      </c>
      <c r="C404" s="17" t="s">
        <v>374</v>
      </c>
      <c r="D404" s="17" t="s">
        <v>20</v>
      </c>
      <c r="E404" s="17" t="s">
        <v>65</v>
      </c>
      <c r="F404" s="17" t="s">
        <v>29</v>
      </c>
      <c r="G404" s="19">
        <v>156404</v>
      </c>
      <c r="H404" s="19">
        <v>160600</v>
      </c>
      <c r="I404" s="19">
        <f t="shared" si="12"/>
        <v>4196</v>
      </c>
      <c r="J404" s="20">
        <f t="shared" si="13"/>
        <v>2.682795836423621E-2</v>
      </c>
    </row>
    <row r="405" spans="1:10" x14ac:dyDescent="0.2">
      <c r="A405" s="17" t="s">
        <v>441</v>
      </c>
      <c r="B405" s="18">
        <v>46144</v>
      </c>
      <c r="C405" s="17" t="s">
        <v>374</v>
      </c>
      <c r="D405" s="17" t="s">
        <v>13</v>
      </c>
      <c r="E405" s="17" t="s">
        <v>26</v>
      </c>
      <c r="F405" s="17" t="s">
        <v>21</v>
      </c>
      <c r="G405" s="19">
        <v>153791</v>
      </c>
      <c r="H405" s="19">
        <v>158100</v>
      </c>
      <c r="I405" s="19">
        <f t="shared" si="12"/>
        <v>4309</v>
      </c>
      <c r="J405" s="20">
        <f t="shared" si="13"/>
        <v>2.8018544648256399E-2</v>
      </c>
    </row>
    <row r="406" spans="1:10" x14ac:dyDescent="0.2">
      <c r="A406" s="17" t="s">
        <v>442</v>
      </c>
      <c r="B406" s="18">
        <v>46144</v>
      </c>
      <c r="C406" s="17" t="s">
        <v>374</v>
      </c>
      <c r="D406" s="17" t="s">
        <v>49</v>
      </c>
      <c r="E406" s="17" t="s">
        <v>65</v>
      </c>
      <c r="F406" s="17" t="s">
        <v>44</v>
      </c>
      <c r="G406" s="19">
        <v>128901</v>
      </c>
      <c r="H406" s="19">
        <v>133100</v>
      </c>
      <c r="I406" s="19">
        <f t="shared" si="12"/>
        <v>4199</v>
      </c>
      <c r="J406" s="20">
        <f t="shared" si="13"/>
        <v>3.2575387312743891E-2</v>
      </c>
    </row>
    <row r="407" spans="1:10" x14ac:dyDescent="0.2">
      <c r="A407" s="17" t="s">
        <v>443</v>
      </c>
      <c r="B407" s="18">
        <v>46169</v>
      </c>
      <c r="C407" s="17" t="s">
        <v>374</v>
      </c>
      <c r="D407" s="17" t="s">
        <v>25</v>
      </c>
      <c r="E407" s="17" t="s">
        <v>13</v>
      </c>
      <c r="F407" s="17" t="s">
        <v>18</v>
      </c>
      <c r="G407" s="19">
        <v>25706</v>
      </c>
      <c r="H407" s="19">
        <v>25900</v>
      </c>
      <c r="I407" s="19">
        <f t="shared" si="12"/>
        <v>194</v>
      </c>
      <c r="J407" s="20">
        <f t="shared" si="13"/>
        <v>7.5468762156694937E-3</v>
      </c>
    </row>
    <row r="408" spans="1:10" x14ac:dyDescent="0.2">
      <c r="A408" s="17" t="s">
        <v>444</v>
      </c>
      <c r="B408" s="18">
        <v>46154</v>
      </c>
      <c r="C408" s="17" t="s">
        <v>374</v>
      </c>
      <c r="D408" s="17" t="s">
        <v>16</v>
      </c>
      <c r="E408" s="17" t="s">
        <v>17</v>
      </c>
      <c r="F408" s="17" t="s">
        <v>21</v>
      </c>
      <c r="G408" s="19">
        <v>39144</v>
      </c>
      <c r="H408" s="19">
        <v>34000</v>
      </c>
      <c r="I408" s="19">
        <f t="shared" si="12"/>
        <v>-5144</v>
      </c>
      <c r="J408" s="20">
        <f t="shared" si="13"/>
        <v>-0.1314122215409769</v>
      </c>
    </row>
    <row r="409" spans="1:10" x14ac:dyDescent="0.2">
      <c r="A409" s="17" t="s">
        <v>445</v>
      </c>
      <c r="B409" s="18">
        <v>46145</v>
      </c>
      <c r="C409" s="17" t="s">
        <v>374</v>
      </c>
      <c r="D409" s="17" t="s">
        <v>13</v>
      </c>
      <c r="E409" s="17" t="s">
        <v>35</v>
      </c>
      <c r="F409" s="17" t="s">
        <v>44</v>
      </c>
      <c r="G409" s="19">
        <v>35795</v>
      </c>
      <c r="H409" s="19">
        <v>43800</v>
      </c>
      <c r="I409" s="19">
        <f t="shared" si="12"/>
        <v>8005</v>
      </c>
      <c r="J409" s="20">
        <f t="shared" si="13"/>
        <v>0.22363458583601062</v>
      </c>
    </row>
    <row r="410" spans="1:10" x14ac:dyDescent="0.2">
      <c r="A410" s="17" t="s">
        <v>446</v>
      </c>
      <c r="B410" s="18">
        <v>46147</v>
      </c>
      <c r="C410" s="17" t="s">
        <v>374</v>
      </c>
      <c r="D410" s="17" t="s">
        <v>16</v>
      </c>
      <c r="E410" s="17" t="s">
        <v>23</v>
      </c>
      <c r="F410" s="17" t="s">
        <v>38</v>
      </c>
      <c r="G410" s="19">
        <v>127182</v>
      </c>
      <c r="H410" s="19">
        <v>117300</v>
      </c>
      <c r="I410" s="19">
        <f t="shared" si="12"/>
        <v>-9882</v>
      </c>
      <c r="J410" s="20">
        <f t="shared" si="13"/>
        <v>-7.7699674482238051E-2</v>
      </c>
    </row>
    <row r="411" spans="1:10" x14ac:dyDescent="0.2">
      <c r="A411" s="17" t="s">
        <v>447</v>
      </c>
      <c r="B411" s="18">
        <v>46155</v>
      </c>
      <c r="C411" s="17" t="s">
        <v>374</v>
      </c>
      <c r="D411" s="17" t="s">
        <v>13</v>
      </c>
      <c r="E411" s="17" t="s">
        <v>17</v>
      </c>
      <c r="F411" s="17" t="s">
        <v>21</v>
      </c>
      <c r="G411" s="19">
        <v>120264</v>
      </c>
      <c r="H411" s="19">
        <v>123800</v>
      </c>
      <c r="I411" s="19">
        <f t="shared" si="12"/>
        <v>3536</v>
      </c>
      <c r="J411" s="20">
        <f t="shared" si="13"/>
        <v>2.9401982305594359E-2</v>
      </c>
    </row>
    <row r="412" spans="1:10" x14ac:dyDescent="0.2">
      <c r="A412" s="17" t="s">
        <v>448</v>
      </c>
      <c r="B412" s="18">
        <v>46154</v>
      </c>
      <c r="C412" s="17" t="s">
        <v>374</v>
      </c>
      <c r="D412" s="17" t="s">
        <v>25</v>
      </c>
      <c r="E412" s="17" t="s">
        <v>26</v>
      </c>
      <c r="F412" s="17" t="s">
        <v>21</v>
      </c>
      <c r="G412" s="19">
        <v>54862</v>
      </c>
      <c r="H412" s="19">
        <v>61000</v>
      </c>
      <c r="I412" s="19">
        <f t="shared" si="12"/>
        <v>6138</v>
      </c>
      <c r="J412" s="20">
        <f t="shared" si="13"/>
        <v>0.11188071889468119</v>
      </c>
    </row>
    <row r="413" spans="1:10" x14ac:dyDescent="0.2">
      <c r="A413" s="17" t="s">
        <v>449</v>
      </c>
      <c r="B413" s="18">
        <v>46166</v>
      </c>
      <c r="C413" s="17" t="s">
        <v>374</v>
      </c>
      <c r="D413" s="17" t="s">
        <v>20</v>
      </c>
      <c r="E413" s="17" t="s">
        <v>35</v>
      </c>
      <c r="F413" s="17" t="s">
        <v>32</v>
      </c>
      <c r="G413" s="19">
        <v>123037</v>
      </c>
      <c r="H413" s="19">
        <v>130600</v>
      </c>
      <c r="I413" s="19">
        <f t="shared" si="12"/>
        <v>7563</v>
      </c>
      <c r="J413" s="20">
        <f t="shared" si="13"/>
        <v>6.146931410876403E-2</v>
      </c>
    </row>
    <row r="414" spans="1:10" x14ac:dyDescent="0.2">
      <c r="A414" s="17" t="s">
        <v>450</v>
      </c>
      <c r="B414" s="18">
        <v>46166</v>
      </c>
      <c r="C414" s="17" t="s">
        <v>374</v>
      </c>
      <c r="D414" s="17" t="s">
        <v>49</v>
      </c>
      <c r="E414" s="17" t="s">
        <v>23</v>
      </c>
      <c r="F414" s="17" t="s">
        <v>21</v>
      </c>
      <c r="G414" s="19">
        <v>98214</v>
      </c>
      <c r="H414" s="19">
        <v>101700</v>
      </c>
      <c r="I414" s="19">
        <f t="shared" si="12"/>
        <v>3486</v>
      </c>
      <c r="J414" s="20">
        <f t="shared" si="13"/>
        <v>3.5493921436862363E-2</v>
      </c>
    </row>
    <row r="415" spans="1:10" x14ac:dyDescent="0.2">
      <c r="A415" s="17" t="s">
        <v>451</v>
      </c>
      <c r="B415" s="18">
        <v>46150</v>
      </c>
      <c r="C415" s="17" t="s">
        <v>374</v>
      </c>
      <c r="D415" s="17" t="s">
        <v>13</v>
      </c>
      <c r="E415" s="17" t="s">
        <v>46</v>
      </c>
      <c r="F415" s="17" t="s">
        <v>51</v>
      </c>
      <c r="G415" s="19">
        <v>119425</v>
      </c>
      <c r="H415" s="19">
        <v>140800</v>
      </c>
      <c r="I415" s="19">
        <f t="shared" si="12"/>
        <v>21375</v>
      </c>
      <c r="J415" s="20">
        <f t="shared" si="13"/>
        <v>0.17898262507850116</v>
      </c>
    </row>
    <row r="416" spans="1:10" x14ac:dyDescent="0.2">
      <c r="A416" s="17" t="s">
        <v>452</v>
      </c>
      <c r="B416" s="18">
        <v>46166</v>
      </c>
      <c r="C416" s="17" t="s">
        <v>374</v>
      </c>
      <c r="D416" s="17" t="s">
        <v>25</v>
      </c>
      <c r="E416" s="17" t="s">
        <v>35</v>
      </c>
      <c r="F416" s="17" t="s">
        <v>27</v>
      </c>
      <c r="G416" s="19">
        <v>92259</v>
      </c>
      <c r="H416" s="19">
        <v>85400</v>
      </c>
      <c r="I416" s="19">
        <f t="shared" si="12"/>
        <v>-6859</v>
      </c>
      <c r="J416" s="20">
        <f t="shared" si="13"/>
        <v>-7.4345050347391584E-2</v>
      </c>
    </row>
    <row r="417" spans="1:10" x14ac:dyDescent="0.2">
      <c r="A417" s="17" t="s">
        <v>453</v>
      </c>
      <c r="B417" s="18">
        <v>46143</v>
      </c>
      <c r="C417" s="17" t="s">
        <v>374</v>
      </c>
      <c r="D417" s="17" t="s">
        <v>20</v>
      </c>
      <c r="E417" s="17" t="s">
        <v>13</v>
      </c>
      <c r="F417" s="17" t="s">
        <v>29</v>
      </c>
      <c r="G417" s="19">
        <v>181198</v>
      </c>
      <c r="H417" s="19">
        <v>209500</v>
      </c>
      <c r="I417" s="19">
        <f t="shared" si="12"/>
        <v>28302</v>
      </c>
      <c r="J417" s="20">
        <f t="shared" si="13"/>
        <v>0.15619377697325579</v>
      </c>
    </row>
    <row r="418" spans="1:10" x14ac:dyDescent="0.2">
      <c r="A418" s="17" t="s">
        <v>454</v>
      </c>
      <c r="B418" s="18">
        <v>46157</v>
      </c>
      <c r="C418" s="17" t="s">
        <v>374</v>
      </c>
      <c r="D418" s="17" t="s">
        <v>49</v>
      </c>
      <c r="E418" s="17" t="s">
        <v>35</v>
      </c>
      <c r="F418" s="17" t="s">
        <v>14</v>
      </c>
      <c r="G418" s="19">
        <v>46449</v>
      </c>
      <c r="H418" s="19">
        <v>50500</v>
      </c>
      <c r="I418" s="19">
        <f t="shared" si="12"/>
        <v>4051</v>
      </c>
      <c r="J418" s="20">
        <f t="shared" si="13"/>
        <v>8.7213933561540613E-2</v>
      </c>
    </row>
    <row r="419" spans="1:10" x14ac:dyDescent="0.2">
      <c r="A419" s="17" t="s">
        <v>455</v>
      </c>
      <c r="B419" s="18">
        <v>46150</v>
      </c>
      <c r="C419" s="17" t="s">
        <v>374</v>
      </c>
      <c r="D419" s="17" t="s">
        <v>49</v>
      </c>
      <c r="E419" s="17" t="s">
        <v>13</v>
      </c>
      <c r="F419" s="17" t="s">
        <v>32</v>
      </c>
      <c r="G419" s="19">
        <v>31596</v>
      </c>
      <c r="H419" s="19">
        <v>31900</v>
      </c>
      <c r="I419" s="19">
        <f t="shared" si="12"/>
        <v>304</v>
      </c>
      <c r="J419" s="20">
        <f t="shared" si="13"/>
        <v>9.621471072287632E-3</v>
      </c>
    </row>
    <row r="420" spans="1:10" x14ac:dyDescent="0.2">
      <c r="A420" s="17" t="s">
        <v>456</v>
      </c>
      <c r="B420" s="18">
        <v>46152</v>
      </c>
      <c r="C420" s="17" t="s">
        <v>374</v>
      </c>
      <c r="D420" s="17" t="s">
        <v>20</v>
      </c>
      <c r="E420" s="17" t="s">
        <v>46</v>
      </c>
      <c r="F420" s="17" t="s">
        <v>18</v>
      </c>
      <c r="G420" s="19">
        <v>56735</v>
      </c>
      <c r="H420" s="19">
        <v>59700</v>
      </c>
      <c r="I420" s="19">
        <f t="shared" si="12"/>
        <v>2965</v>
      </c>
      <c r="J420" s="20">
        <f t="shared" si="13"/>
        <v>5.2260509385740728E-2</v>
      </c>
    </row>
    <row r="421" spans="1:10" x14ac:dyDescent="0.2">
      <c r="A421" s="17" t="s">
        <v>457</v>
      </c>
      <c r="B421" s="18">
        <v>46200</v>
      </c>
      <c r="C421" s="17" t="s">
        <v>458</v>
      </c>
      <c r="D421" s="17" t="s">
        <v>12</v>
      </c>
      <c r="E421" s="17" t="s">
        <v>13</v>
      </c>
      <c r="F421" s="17" t="s">
        <v>44</v>
      </c>
      <c r="G421" s="19">
        <v>176740</v>
      </c>
      <c r="H421" s="19">
        <v>204800</v>
      </c>
      <c r="I421" s="19">
        <f t="shared" si="12"/>
        <v>28060</v>
      </c>
      <c r="J421" s="20">
        <f t="shared" si="13"/>
        <v>0.15876428652257554</v>
      </c>
    </row>
    <row r="422" spans="1:10" x14ac:dyDescent="0.2">
      <c r="A422" s="17" t="s">
        <v>459</v>
      </c>
      <c r="B422" s="18">
        <v>46190</v>
      </c>
      <c r="C422" s="17" t="s">
        <v>458</v>
      </c>
      <c r="D422" s="17" t="s">
        <v>20</v>
      </c>
      <c r="E422" s="17" t="s">
        <v>23</v>
      </c>
      <c r="F422" s="17" t="s">
        <v>44</v>
      </c>
      <c r="G422" s="19">
        <v>57554</v>
      </c>
      <c r="H422" s="19">
        <v>71600</v>
      </c>
      <c r="I422" s="19">
        <f t="shared" si="12"/>
        <v>14046</v>
      </c>
      <c r="J422" s="20">
        <f t="shared" si="13"/>
        <v>0.24404906696319978</v>
      </c>
    </row>
    <row r="423" spans="1:10" x14ac:dyDescent="0.2">
      <c r="A423" s="17" t="s">
        <v>460</v>
      </c>
      <c r="B423" s="18">
        <v>46192</v>
      </c>
      <c r="C423" s="17" t="s">
        <v>458</v>
      </c>
      <c r="D423" s="17" t="s">
        <v>16</v>
      </c>
      <c r="E423" s="17" t="s">
        <v>26</v>
      </c>
      <c r="F423" s="17" t="s">
        <v>27</v>
      </c>
      <c r="G423" s="19">
        <v>92129</v>
      </c>
      <c r="H423" s="19">
        <v>80600</v>
      </c>
      <c r="I423" s="19">
        <f t="shared" si="12"/>
        <v>-11529</v>
      </c>
      <c r="J423" s="20">
        <f t="shared" si="13"/>
        <v>-0.12513974969879191</v>
      </c>
    </row>
    <row r="424" spans="1:10" x14ac:dyDescent="0.2">
      <c r="A424" s="17" t="s">
        <v>461</v>
      </c>
      <c r="B424" s="18">
        <v>46185</v>
      </c>
      <c r="C424" s="17" t="s">
        <v>458</v>
      </c>
      <c r="D424" s="17" t="s">
        <v>16</v>
      </c>
      <c r="E424" s="17" t="s">
        <v>23</v>
      </c>
      <c r="F424" s="17" t="s">
        <v>21</v>
      </c>
      <c r="G424" s="19">
        <v>165712</v>
      </c>
      <c r="H424" s="19">
        <v>173700</v>
      </c>
      <c r="I424" s="19">
        <f t="shared" si="12"/>
        <v>7988</v>
      </c>
      <c r="J424" s="20">
        <f t="shared" si="13"/>
        <v>4.8204113160181521E-2</v>
      </c>
    </row>
    <row r="425" spans="1:10" x14ac:dyDescent="0.2">
      <c r="A425" s="17" t="s">
        <v>462</v>
      </c>
      <c r="B425" s="18">
        <v>46187</v>
      </c>
      <c r="C425" s="17" t="s">
        <v>458</v>
      </c>
      <c r="D425" s="17" t="s">
        <v>20</v>
      </c>
      <c r="E425" s="17" t="s">
        <v>31</v>
      </c>
      <c r="F425" s="17" t="s">
        <v>27</v>
      </c>
      <c r="G425" s="19">
        <v>103554</v>
      </c>
      <c r="H425" s="19">
        <v>116900</v>
      </c>
      <c r="I425" s="19">
        <f t="shared" si="12"/>
        <v>13346</v>
      </c>
      <c r="J425" s="20">
        <f t="shared" si="13"/>
        <v>0.12887961836336598</v>
      </c>
    </row>
    <row r="426" spans="1:10" x14ac:dyDescent="0.2">
      <c r="A426" s="17" t="s">
        <v>463</v>
      </c>
      <c r="B426" s="18">
        <v>46189</v>
      </c>
      <c r="C426" s="17" t="s">
        <v>458</v>
      </c>
      <c r="D426" s="17" t="s">
        <v>20</v>
      </c>
      <c r="E426" s="17" t="s">
        <v>13</v>
      </c>
      <c r="F426" s="17" t="s">
        <v>44</v>
      </c>
      <c r="G426" s="19">
        <v>68202</v>
      </c>
      <c r="H426" s="19">
        <v>78600</v>
      </c>
      <c r="I426" s="19">
        <f t="shared" si="12"/>
        <v>10398</v>
      </c>
      <c r="J426" s="20">
        <f t="shared" si="13"/>
        <v>0.15245887217383655</v>
      </c>
    </row>
    <row r="427" spans="1:10" x14ac:dyDescent="0.2">
      <c r="A427" s="17" t="s">
        <v>464</v>
      </c>
      <c r="B427" s="18">
        <v>46175</v>
      </c>
      <c r="C427" s="17" t="s">
        <v>458</v>
      </c>
      <c r="D427" s="17" t="s">
        <v>49</v>
      </c>
      <c r="E427" s="17" t="s">
        <v>23</v>
      </c>
      <c r="F427" s="17" t="s">
        <v>27</v>
      </c>
      <c r="G427" s="19">
        <v>57840</v>
      </c>
      <c r="H427" s="19">
        <v>67800</v>
      </c>
      <c r="I427" s="19">
        <f t="shared" si="12"/>
        <v>9960</v>
      </c>
      <c r="J427" s="20">
        <f t="shared" si="13"/>
        <v>0.17219917012448133</v>
      </c>
    </row>
    <row r="428" spans="1:10" x14ac:dyDescent="0.2">
      <c r="A428" s="17" t="s">
        <v>465</v>
      </c>
      <c r="B428" s="18">
        <v>46186</v>
      </c>
      <c r="C428" s="17" t="s">
        <v>458</v>
      </c>
      <c r="D428" s="17" t="s">
        <v>20</v>
      </c>
      <c r="E428" s="17" t="s">
        <v>31</v>
      </c>
      <c r="F428" s="17" t="s">
        <v>14</v>
      </c>
      <c r="G428" s="19">
        <v>166089</v>
      </c>
      <c r="H428" s="19">
        <v>176400</v>
      </c>
      <c r="I428" s="19">
        <f t="shared" si="12"/>
        <v>10311</v>
      </c>
      <c r="J428" s="20">
        <f t="shared" si="13"/>
        <v>6.2081173346820076E-2</v>
      </c>
    </row>
    <row r="429" spans="1:10" x14ac:dyDescent="0.2">
      <c r="A429" s="17" t="s">
        <v>466</v>
      </c>
      <c r="B429" s="18">
        <v>46188</v>
      </c>
      <c r="C429" s="17" t="s">
        <v>458</v>
      </c>
      <c r="D429" s="17" t="s">
        <v>12</v>
      </c>
      <c r="E429" s="17" t="s">
        <v>17</v>
      </c>
      <c r="F429" s="17" t="s">
        <v>21</v>
      </c>
      <c r="G429" s="19">
        <v>106576</v>
      </c>
      <c r="H429" s="19">
        <v>118200</v>
      </c>
      <c r="I429" s="19">
        <f t="shared" si="12"/>
        <v>11624</v>
      </c>
      <c r="J429" s="20">
        <f t="shared" si="13"/>
        <v>0.1090677075514187</v>
      </c>
    </row>
    <row r="430" spans="1:10" x14ac:dyDescent="0.2">
      <c r="A430" s="17" t="s">
        <v>467</v>
      </c>
      <c r="B430" s="18">
        <v>46186</v>
      </c>
      <c r="C430" s="17" t="s">
        <v>458</v>
      </c>
      <c r="D430" s="17" t="s">
        <v>16</v>
      </c>
      <c r="E430" s="17" t="s">
        <v>35</v>
      </c>
      <c r="F430" s="17" t="s">
        <v>29</v>
      </c>
      <c r="G430" s="19">
        <v>69933</v>
      </c>
      <c r="H430" s="19">
        <v>60900</v>
      </c>
      <c r="I430" s="19">
        <f t="shared" si="12"/>
        <v>-9033</v>
      </c>
      <c r="J430" s="20">
        <f t="shared" si="13"/>
        <v>-0.12916648792415597</v>
      </c>
    </row>
    <row r="431" spans="1:10" x14ac:dyDescent="0.2">
      <c r="A431" s="17" t="s">
        <v>468</v>
      </c>
      <c r="B431" s="18">
        <v>46192</v>
      </c>
      <c r="C431" s="17" t="s">
        <v>458</v>
      </c>
      <c r="D431" s="17" t="s">
        <v>16</v>
      </c>
      <c r="E431" s="17" t="s">
        <v>13</v>
      </c>
      <c r="F431" s="17" t="s">
        <v>41</v>
      </c>
      <c r="G431" s="19">
        <v>69325</v>
      </c>
      <c r="H431" s="19">
        <v>81200</v>
      </c>
      <c r="I431" s="19">
        <f t="shared" si="12"/>
        <v>11875</v>
      </c>
      <c r="J431" s="20">
        <f t="shared" si="13"/>
        <v>0.17129462675802379</v>
      </c>
    </row>
    <row r="432" spans="1:10" x14ac:dyDescent="0.2">
      <c r="A432" s="17" t="s">
        <v>469</v>
      </c>
      <c r="B432" s="18">
        <v>46184</v>
      </c>
      <c r="C432" s="17" t="s">
        <v>458</v>
      </c>
      <c r="D432" s="17" t="s">
        <v>12</v>
      </c>
      <c r="E432" s="17" t="s">
        <v>35</v>
      </c>
      <c r="F432" s="17" t="s">
        <v>14</v>
      </c>
      <c r="G432" s="19">
        <v>74759</v>
      </c>
      <c r="H432" s="19">
        <v>89500</v>
      </c>
      <c r="I432" s="19">
        <f t="shared" si="12"/>
        <v>14741</v>
      </c>
      <c r="J432" s="20">
        <f t="shared" si="13"/>
        <v>0.19718027260931795</v>
      </c>
    </row>
    <row r="433" spans="1:10" x14ac:dyDescent="0.2">
      <c r="A433" s="17" t="s">
        <v>470</v>
      </c>
      <c r="B433" s="18">
        <v>46177</v>
      </c>
      <c r="C433" s="17" t="s">
        <v>458</v>
      </c>
      <c r="D433" s="17" t="s">
        <v>16</v>
      </c>
      <c r="E433" s="17" t="s">
        <v>65</v>
      </c>
      <c r="F433" s="17" t="s">
        <v>14</v>
      </c>
      <c r="G433" s="19">
        <v>69813</v>
      </c>
      <c r="H433" s="19">
        <v>86200</v>
      </c>
      <c r="I433" s="19">
        <f t="shared" si="12"/>
        <v>16387</v>
      </c>
      <c r="J433" s="20">
        <f t="shared" si="13"/>
        <v>0.23472705656539614</v>
      </c>
    </row>
    <row r="434" spans="1:10" x14ac:dyDescent="0.2">
      <c r="A434" s="17" t="s">
        <v>471</v>
      </c>
      <c r="B434" s="18">
        <v>46186</v>
      </c>
      <c r="C434" s="17" t="s">
        <v>458</v>
      </c>
      <c r="D434" s="17" t="s">
        <v>20</v>
      </c>
      <c r="E434" s="17" t="s">
        <v>46</v>
      </c>
      <c r="F434" s="17" t="s">
        <v>44</v>
      </c>
      <c r="G434" s="19">
        <v>178440</v>
      </c>
      <c r="H434" s="19">
        <v>201900</v>
      </c>
      <c r="I434" s="19">
        <f t="shared" si="12"/>
        <v>23460</v>
      </c>
      <c r="J434" s="20">
        <f t="shared" si="13"/>
        <v>0.13147276395427035</v>
      </c>
    </row>
    <row r="435" spans="1:10" x14ac:dyDescent="0.2">
      <c r="A435" s="17" t="s">
        <v>472</v>
      </c>
      <c r="B435" s="18">
        <v>46194</v>
      </c>
      <c r="C435" s="17" t="s">
        <v>458</v>
      </c>
      <c r="D435" s="17" t="s">
        <v>12</v>
      </c>
      <c r="E435" s="17" t="s">
        <v>31</v>
      </c>
      <c r="F435" s="17" t="s">
        <v>44</v>
      </c>
      <c r="G435" s="19">
        <v>119788</v>
      </c>
      <c r="H435" s="19">
        <v>124200</v>
      </c>
      <c r="I435" s="19">
        <f t="shared" si="12"/>
        <v>4412</v>
      </c>
      <c r="J435" s="20">
        <f t="shared" si="13"/>
        <v>3.6831736067051792E-2</v>
      </c>
    </row>
    <row r="436" spans="1:10" x14ac:dyDescent="0.2">
      <c r="A436" s="17" t="s">
        <v>473</v>
      </c>
      <c r="B436" s="18">
        <v>46189</v>
      </c>
      <c r="C436" s="17" t="s">
        <v>458</v>
      </c>
      <c r="D436" s="17" t="s">
        <v>13</v>
      </c>
      <c r="E436" s="17" t="s">
        <v>17</v>
      </c>
      <c r="F436" s="17" t="s">
        <v>41</v>
      </c>
      <c r="G436" s="19">
        <v>114278</v>
      </c>
      <c r="H436" s="19">
        <v>120600</v>
      </c>
      <c r="I436" s="19">
        <f t="shared" si="12"/>
        <v>6322</v>
      </c>
      <c r="J436" s="20">
        <f t="shared" si="13"/>
        <v>5.5321234183307373E-2</v>
      </c>
    </row>
    <row r="437" spans="1:10" x14ac:dyDescent="0.2">
      <c r="A437" s="17" t="s">
        <v>474</v>
      </c>
      <c r="B437" s="18">
        <v>46185</v>
      </c>
      <c r="C437" s="17" t="s">
        <v>458</v>
      </c>
      <c r="D437" s="17" t="s">
        <v>12</v>
      </c>
      <c r="E437" s="17" t="s">
        <v>23</v>
      </c>
      <c r="F437" s="17" t="s">
        <v>32</v>
      </c>
      <c r="G437" s="19">
        <v>103947</v>
      </c>
      <c r="H437" s="19">
        <v>126400</v>
      </c>
      <c r="I437" s="19">
        <f t="shared" si="12"/>
        <v>22453</v>
      </c>
      <c r="J437" s="20">
        <f t="shared" si="13"/>
        <v>0.21600430988869326</v>
      </c>
    </row>
    <row r="438" spans="1:10" x14ac:dyDescent="0.2">
      <c r="A438" s="17" t="s">
        <v>475</v>
      </c>
      <c r="B438" s="18">
        <v>46197</v>
      </c>
      <c r="C438" s="17" t="s">
        <v>458</v>
      </c>
      <c r="D438" s="17" t="s">
        <v>20</v>
      </c>
      <c r="E438" s="17" t="s">
        <v>35</v>
      </c>
      <c r="F438" s="17" t="s">
        <v>44</v>
      </c>
      <c r="G438" s="19">
        <v>167462</v>
      </c>
      <c r="H438" s="19">
        <v>200200</v>
      </c>
      <c r="I438" s="19">
        <f t="shared" si="12"/>
        <v>32738</v>
      </c>
      <c r="J438" s="20">
        <f t="shared" si="13"/>
        <v>0.19549509739522997</v>
      </c>
    </row>
    <row r="439" spans="1:10" x14ac:dyDescent="0.2">
      <c r="A439" s="17" t="s">
        <v>476</v>
      </c>
      <c r="B439" s="18">
        <v>46192</v>
      </c>
      <c r="C439" s="17" t="s">
        <v>458</v>
      </c>
      <c r="D439" s="17" t="s">
        <v>16</v>
      </c>
      <c r="E439" s="17" t="s">
        <v>23</v>
      </c>
      <c r="F439" s="17" t="s">
        <v>44</v>
      </c>
      <c r="G439" s="19">
        <v>165047</v>
      </c>
      <c r="H439" s="19">
        <v>202000</v>
      </c>
      <c r="I439" s="19">
        <f t="shared" si="12"/>
        <v>36953</v>
      </c>
      <c r="J439" s="20">
        <f t="shared" si="13"/>
        <v>0.22389379994789363</v>
      </c>
    </row>
    <row r="440" spans="1:10" x14ac:dyDescent="0.2">
      <c r="A440" s="17" t="s">
        <v>477</v>
      </c>
      <c r="B440" s="18">
        <v>46181</v>
      </c>
      <c r="C440" s="17" t="s">
        <v>458</v>
      </c>
      <c r="D440" s="17" t="s">
        <v>13</v>
      </c>
      <c r="E440" s="17" t="s">
        <v>13</v>
      </c>
      <c r="F440" s="17" t="s">
        <v>41</v>
      </c>
      <c r="G440" s="19">
        <v>59953</v>
      </c>
      <c r="H440" s="19">
        <v>55700</v>
      </c>
      <c r="I440" s="19">
        <f t="shared" si="12"/>
        <v>-4253</v>
      </c>
      <c r="J440" s="20">
        <f t="shared" si="13"/>
        <v>-7.0938902140009669E-2</v>
      </c>
    </row>
    <row r="441" spans="1:10" x14ac:dyDescent="0.2">
      <c r="A441" s="17" t="s">
        <v>478</v>
      </c>
      <c r="B441" s="18">
        <v>46195</v>
      </c>
      <c r="C441" s="17" t="s">
        <v>458</v>
      </c>
      <c r="D441" s="17" t="s">
        <v>12</v>
      </c>
      <c r="E441" s="17" t="s">
        <v>31</v>
      </c>
      <c r="F441" s="17" t="s">
        <v>41</v>
      </c>
      <c r="G441" s="19">
        <v>164347</v>
      </c>
      <c r="H441" s="19">
        <v>182700</v>
      </c>
      <c r="I441" s="19">
        <f t="shared" si="12"/>
        <v>18353</v>
      </c>
      <c r="J441" s="20">
        <f t="shared" si="13"/>
        <v>0.11167225443725776</v>
      </c>
    </row>
    <row r="442" spans="1:10" x14ac:dyDescent="0.2">
      <c r="A442" s="17" t="s">
        <v>479</v>
      </c>
      <c r="B442" s="18">
        <v>46188</v>
      </c>
      <c r="C442" s="17" t="s">
        <v>458</v>
      </c>
      <c r="D442" s="17" t="s">
        <v>20</v>
      </c>
      <c r="E442" s="17" t="s">
        <v>46</v>
      </c>
      <c r="F442" s="17" t="s">
        <v>51</v>
      </c>
      <c r="G442" s="19">
        <v>188216</v>
      </c>
      <c r="H442" s="19">
        <v>215700</v>
      </c>
      <c r="I442" s="19">
        <f t="shared" si="12"/>
        <v>27484</v>
      </c>
      <c r="J442" s="20">
        <f t="shared" si="13"/>
        <v>0.14602371743103668</v>
      </c>
    </row>
    <row r="443" spans="1:10" x14ac:dyDescent="0.2">
      <c r="A443" s="17" t="s">
        <v>480</v>
      </c>
      <c r="B443" s="18">
        <v>46189</v>
      </c>
      <c r="C443" s="17" t="s">
        <v>458</v>
      </c>
      <c r="D443" s="17" t="s">
        <v>20</v>
      </c>
      <c r="E443" s="17" t="s">
        <v>35</v>
      </c>
      <c r="F443" s="17" t="s">
        <v>21</v>
      </c>
      <c r="G443" s="19">
        <v>56689</v>
      </c>
      <c r="H443" s="19">
        <v>64500</v>
      </c>
      <c r="I443" s="19">
        <f t="shared" si="12"/>
        <v>7811</v>
      </c>
      <c r="J443" s="20">
        <f t="shared" si="13"/>
        <v>0.13778687223270827</v>
      </c>
    </row>
    <row r="444" spans="1:10" x14ac:dyDescent="0.2">
      <c r="A444" s="17" t="s">
        <v>481</v>
      </c>
      <c r="B444" s="18">
        <v>46176</v>
      </c>
      <c r="C444" s="17" t="s">
        <v>458</v>
      </c>
      <c r="D444" s="17" t="s">
        <v>16</v>
      </c>
      <c r="E444" s="17" t="s">
        <v>35</v>
      </c>
      <c r="F444" s="17" t="s">
        <v>32</v>
      </c>
      <c r="G444" s="19">
        <v>28866</v>
      </c>
      <c r="H444" s="19">
        <v>34200</v>
      </c>
      <c r="I444" s="19">
        <f t="shared" si="12"/>
        <v>5334</v>
      </c>
      <c r="J444" s="20">
        <f t="shared" si="13"/>
        <v>0.18478486801080857</v>
      </c>
    </row>
    <row r="445" spans="1:10" x14ac:dyDescent="0.2">
      <c r="A445" s="17" t="s">
        <v>482</v>
      </c>
      <c r="B445" s="18">
        <v>46194</v>
      </c>
      <c r="C445" s="17" t="s">
        <v>458</v>
      </c>
      <c r="D445" s="17" t="s">
        <v>20</v>
      </c>
      <c r="E445" s="17" t="s">
        <v>17</v>
      </c>
      <c r="F445" s="17" t="s">
        <v>51</v>
      </c>
      <c r="G445" s="19">
        <v>128106</v>
      </c>
      <c r="H445" s="19">
        <v>115900</v>
      </c>
      <c r="I445" s="19">
        <f t="shared" si="12"/>
        <v>-12206</v>
      </c>
      <c r="J445" s="20">
        <f t="shared" si="13"/>
        <v>-9.5280470860069008E-2</v>
      </c>
    </row>
    <row r="446" spans="1:10" x14ac:dyDescent="0.2">
      <c r="A446" s="17" t="s">
        <v>483</v>
      </c>
      <c r="B446" s="18">
        <v>46188</v>
      </c>
      <c r="C446" s="17" t="s">
        <v>458</v>
      </c>
      <c r="D446" s="17" t="s">
        <v>12</v>
      </c>
      <c r="E446" s="17" t="s">
        <v>35</v>
      </c>
      <c r="F446" s="17" t="s">
        <v>18</v>
      </c>
      <c r="G446" s="19">
        <v>22396</v>
      </c>
      <c r="H446" s="19">
        <v>21000</v>
      </c>
      <c r="I446" s="19">
        <f t="shared" si="12"/>
        <v>-1396</v>
      </c>
      <c r="J446" s="20">
        <f t="shared" si="13"/>
        <v>-6.2332559385604572E-2</v>
      </c>
    </row>
    <row r="447" spans="1:10" x14ac:dyDescent="0.2">
      <c r="A447" s="17" t="s">
        <v>484</v>
      </c>
      <c r="B447" s="18">
        <v>46193</v>
      </c>
      <c r="C447" s="17" t="s">
        <v>458</v>
      </c>
      <c r="D447" s="17" t="s">
        <v>13</v>
      </c>
      <c r="E447" s="17" t="s">
        <v>65</v>
      </c>
      <c r="F447" s="17" t="s">
        <v>32</v>
      </c>
      <c r="G447" s="19">
        <v>187176</v>
      </c>
      <c r="H447" s="19">
        <v>209000</v>
      </c>
      <c r="I447" s="19">
        <f t="shared" si="12"/>
        <v>21824</v>
      </c>
      <c r="J447" s="20">
        <f t="shared" si="13"/>
        <v>0.11659614480488951</v>
      </c>
    </row>
    <row r="448" spans="1:10" x14ac:dyDescent="0.2">
      <c r="A448" s="17" t="s">
        <v>485</v>
      </c>
      <c r="B448" s="18">
        <v>46187</v>
      </c>
      <c r="C448" s="17" t="s">
        <v>458</v>
      </c>
      <c r="D448" s="17" t="s">
        <v>25</v>
      </c>
      <c r="E448" s="17" t="s">
        <v>35</v>
      </c>
      <c r="F448" s="17" t="s">
        <v>21</v>
      </c>
      <c r="G448" s="19">
        <v>21733</v>
      </c>
      <c r="H448" s="19">
        <v>23100</v>
      </c>
      <c r="I448" s="19">
        <f t="shared" si="12"/>
        <v>1367</v>
      </c>
      <c r="J448" s="20">
        <f t="shared" si="13"/>
        <v>6.289973772603874E-2</v>
      </c>
    </row>
    <row r="449" spans="1:10" x14ac:dyDescent="0.2">
      <c r="A449" s="17" t="s">
        <v>486</v>
      </c>
      <c r="B449" s="18">
        <v>46183</v>
      </c>
      <c r="C449" s="17" t="s">
        <v>458</v>
      </c>
      <c r="D449" s="17" t="s">
        <v>25</v>
      </c>
      <c r="E449" s="17" t="s">
        <v>23</v>
      </c>
      <c r="F449" s="17" t="s">
        <v>51</v>
      </c>
      <c r="G449" s="19">
        <v>92021</v>
      </c>
      <c r="H449" s="19">
        <v>97900</v>
      </c>
      <c r="I449" s="19">
        <f t="shared" si="12"/>
        <v>5879</v>
      </c>
      <c r="J449" s="20">
        <f t="shared" si="13"/>
        <v>6.3887590875995701E-2</v>
      </c>
    </row>
    <row r="450" spans="1:10" x14ac:dyDescent="0.2">
      <c r="A450" s="17" t="s">
        <v>487</v>
      </c>
      <c r="B450" s="18">
        <v>46190</v>
      </c>
      <c r="C450" s="17" t="s">
        <v>458</v>
      </c>
      <c r="D450" s="17" t="s">
        <v>20</v>
      </c>
      <c r="E450" s="17" t="s">
        <v>13</v>
      </c>
      <c r="F450" s="17" t="s">
        <v>14</v>
      </c>
      <c r="G450" s="19">
        <v>48053</v>
      </c>
      <c r="H450" s="19">
        <v>58500</v>
      </c>
      <c r="I450" s="19">
        <f t="shared" ref="I450:I513" si="14">H450-G450</f>
        <v>10447</v>
      </c>
      <c r="J450" s="20">
        <f t="shared" ref="J450:J513" si="15">IFERROR(I450/G450,0)</f>
        <v>0.21740578111668366</v>
      </c>
    </row>
    <row r="451" spans="1:10" x14ac:dyDescent="0.2">
      <c r="A451" s="17" t="s">
        <v>488</v>
      </c>
      <c r="B451" s="18">
        <v>46200</v>
      </c>
      <c r="C451" s="17" t="s">
        <v>458</v>
      </c>
      <c r="D451" s="17" t="s">
        <v>12</v>
      </c>
      <c r="E451" s="17" t="s">
        <v>31</v>
      </c>
      <c r="F451" s="17" t="s">
        <v>27</v>
      </c>
      <c r="G451" s="19">
        <v>182471</v>
      </c>
      <c r="H451" s="19">
        <v>193500</v>
      </c>
      <c r="I451" s="19">
        <f t="shared" si="14"/>
        <v>11029</v>
      </c>
      <c r="J451" s="20">
        <f t="shared" si="15"/>
        <v>6.0442481270996488E-2</v>
      </c>
    </row>
    <row r="452" spans="1:10" x14ac:dyDescent="0.2">
      <c r="A452" s="17" t="s">
        <v>489</v>
      </c>
      <c r="B452" s="18">
        <v>46186</v>
      </c>
      <c r="C452" s="17" t="s">
        <v>458</v>
      </c>
      <c r="D452" s="17" t="s">
        <v>13</v>
      </c>
      <c r="E452" s="17" t="s">
        <v>13</v>
      </c>
      <c r="F452" s="17" t="s">
        <v>14</v>
      </c>
      <c r="G452" s="19">
        <v>40714</v>
      </c>
      <c r="H452" s="19">
        <v>40700</v>
      </c>
      <c r="I452" s="19">
        <f t="shared" si="14"/>
        <v>-14</v>
      </c>
      <c r="J452" s="20">
        <f t="shared" si="15"/>
        <v>-3.4386206218991013E-4</v>
      </c>
    </row>
    <row r="453" spans="1:10" x14ac:dyDescent="0.2">
      <c r="A453" s="17" t="s">
        <v>490</v>
      </c>
      <c r="B453" s="18">
        <v>46201</v>
      </c>
      <c r="C453" s="17" t="s">
        <v>458</v>
      </c>
      <c r="D453" s="17" t="s">
        <v>25</v>
      </c>
      <c r="E453" s="17" t="s">
        <v>35</v>
      </c>
      <c r="F453" s="17" t="s">
        <v>29</v>
      </c>
      <c r="G453" s="19">
        <v>98636</v>
      </c>
      <c r="H453" s="19">
        <v>110800</v>
      </c>
      <c r="I453" s="19">
        <f t="shared" si="14"/>
        <v>12164</v>
      </c>
      <c r="J453" s="20">
        <f t="shared" si="15"/>
        <v>0.12332211362991199</v>
      </c>
    </row>
    <row r="454" spans="1:10" x14ac:dyDescent="0.2">
      <c r="A454" s="17" t="s">
        <v>491</v>
      </c>
      <c r="B454" s="18">
        <v>46191</v>
      </c>
      <c r="C454" s="17" t="s">
        <v>458</v>
      </c>
      <c r="D454" s="17" t="s">
        <v>13</v>
      </c>
      <c r="E454" s="17" t="s">
        <v>35</v>
      </c>
      <c r="F454" s="17" t="s">
        <v>32</v>
      </c>
      <c r="G454" s="19">
        <v>126241</v>
      </c>
      <c r="H454" s="19">
        <v>126500</v>
      </c>
      <c r="I454" s="19">
        <f t="shared" si="14"/>
        <v>259</v>
      </c>
      <c r="J454" s="20">
        <f t="shared" si="15"/>
        <v>2.0516314034267789E-3</v>
      </c>
    </row>
    <row r="455" spans="1:10" x14ac:dyDescent="0.2">
      <c r="A455" s="17" t="s">
        <v>492</v>
      </c>
      <c r="B455" s="18">
        <v>46201</v>
      </c>
      <c r="C455" s="17" t="s">
        <v>458</v>
      </c>
      <c r="D455" s="17" t="s">
        <v>13</v>
      </c>
      <c r="E455" s="17" t="s">
        <v>46</v>
      </c>
      <c r="F455" s="17" t="s">
        <v>18</v>
      </c>
      <c r="G455" s="19">
        <v>64927</v>
      </c>
      <c r="H455" s="19">
        <v>57300</v>
      </c>
      <c r="I455" s="19">
        <f t="shared" si="14"/>
        <v>-7627</v>
      </c>
      <c r="J455" s="20">
        <f t="shared" si="15"/>
        <v>-0.11747038982241595</v>
      </c>
    </row>
    <row r="456" spans="1:10" x14ac:dyDescent="0.2">
      <c r="A456" s="17" t="s">
        <v>493</v>
      </c>
      <c r="B456" s="18">
        <v>46175</v>
      </c>
      <c r="C456" s="17" t="s">
        <v>458</v>
      </c>
      <c r="D456" s="17" t="s">
        <v>20</v>
      </c>
      <c r="E456" s="17" t="s">
        <v>13</v>
      </c>
      <c r="F456" s="17" t="s">
        <v>18</v>
      </c>
      <c r="G456" s="19">
        <v>44998</v>
      </c>
      <c r="H456" s="19">
        <v>54400</v>
      </c>
      <c r="I456" s="19">
        <f t="shared" si="14"/>
        <v>9402</v>
      </c>
      <c r="J456" s="20">
        <f t="shared" si="15"/>
        <v>0.20894261967198541</v>
      </c>
    </row>
    <row r="457" spans="1:10" x14ac:dyDescent="0.2">
      <c r="A457" s="17" t="s">
        <v>494</v>
      </c>
      <c r="B457" s="18">
        <v>46176</v>
      </c>
      <c r="C457" s="17" t="s">
        <v>458</v>
      </c>
      <c r="D457" s="17" t="s">
        <v>16</v>
      </c>
      <c r="E457" s="17" t="s">
        <v>31</v>
      </c>
      <c r="F457" s="17" t="s">
        <v>21</v>
      </c>
      <c r="G457" s="19">
        <v>144649</v>
      </c>
      <c r="H457" s="19">
        <v>138600</v>
      </c>
      <c r="I457" s="19">
        <f t="shared" si="14"/>
        <v>-6049</v>
      </c>
      <c r="J457" s="20">
        <f t="shared" si="15"/>
        <v>-4.1818470919259727E-2</v>
      </c>
    </row>
    <row r="458" spans="1:10" x14ac:dyDescent="0.2">
      <c r="A458" s="17" t="s">
        <v>495</v>
      </c>
      <c r="B458" s="18">
        <v>46179</v>
      </c>
      <c r="C458" s="17" t="s">
        <v>458</v>
      </c>
      <c r="D458" s="17" t="s">
        <v>12</v>
      </c>
      <c r="E458" s="17" t="s">
        <v>35</v>
      </c>
      <c r="F458" s="17" t="s">
        <v>14</v>
      </c>
      <c r="G458" s="19">
        <v>167720</v>
      </c>
      <c r="H458" s="19">
        <v>186700</v>
      </c>
      <c r="I458" s="19">
        <f t="shared" si="14"/>
        <v>18980</v>
      </c>
      <c r="J458" s="20">
        <f t="shared" si="15"/>
        <v>0.11316479847364655</v>
      </c>
    </row>
    <row r="459" spans="1:10" x14ac:dyDescent="0.2">
      <c r="A459" s="17" t="s">
        <v>496</v>
      </c>
      <c r="B459" s="18">
        <v>46200</v>
      </c>
      <c r="C459" s="17" t="s">
        <v>458</v>
      </c>
      <c r="D459" s="17" t="s">
        <v>16</v>
      </c>
      <c r="E459" s="17" t="s">
        <v>23</v>
      </c>
      <c r="F459" s="17" t="s">
        <v>29</v>
      </c>
      <c r="G459" s="19">
        <v>173887</v>
      </c>
      <c r="H459" s="19">
        <v>157800</v>
      </c>
      <c r="I459" s="19">
        <f t="shared" si="14"/>
        <v>-16087</v>
      </c>
      <c r="J459" s="20">
        <f t="shared" si="15"/>
        <v>-9.2514103987072063E-2</v>
      </c>
    </row>
    <row r="460" spans="1:10" x14ac:dyDescent="0.2">
      <c r="A460" s="17" t="s">
        <v>497</v>
      </c>
      <c r="B460" s="18">
        <v>46181</v>
      </c>
      <c r="C460" s="17" t="s">
        <v>458</v>
      </c>
      <c r="D460" s="17" t="s">
        <v>49</v>
      </c>
      <c r="E460" s="17" t="s">
        <v>23</v>
      </c>
      <c r="F460" s="17" t="s">
        <v>21</v>
      </c>
      <c r="G460" s="19">
        <v>98453</v>
      </c>
      <c r="H460" s="19">
        <v>90100</v>
      </c>
      <c r="I460" s="19">
        <f t="shared" si="14"/>
        <v>-8353</v>
      </c>
      <c r="J460" s="20">
        <f t="shared" si="15"/>
        <v>-8.4842513686733775E-2</v>
      </c>
    </row>
    <row r="461" spans="1:10" x14ac:dyDescent="0.2">
      <c r="A461" s="17" t="s">
        <v>498</v>
      </c>
      <c r="B461" s="18">
        <v>46197</v>
      </c>
      <c r="C461" s="17" t="s">
        <v>458</v>
      </c>
      <c r="D461" s="17" t="s">
        <v>20</v>
      </c>
      <c r="E461" s="17" t="s">
        <v>17</v>
      </c>
      <c r="F461" s="17" t="s">
        <v>21</v>
      </c>
      <c r="G461" s="19">
        <v>106960</v>
      </c>
      <c r="H461" s="19">
        <v>107300</v>
      </c>
      <c r="I461" s="19">
        <f t="shared" si="14"/>
        <v>340</v>
      </c>
      <c r="J461" s="20">
        <f t="shared" si="15"/>
        <v>3.1787584143605084E-3</v>
      </c>
    </row>
    <row r="462" spans="1:10" x14ac:dyDescent="0.2">
      <c r="A462" s="17" t="s">
        <v>499</v>
      </c>
      <c r="B462" s="18">
        <v>46187</v>
      </c>
      <c r="C462" s="17" t="s">
        <v>458</v>
      </c>
      <c r="D462" s="17" t="s">
        <v>20</v>
      </c>
      <c r="E462" s="17" t="s">
        <v>17</v>
      </c>
      <c r="F462" s="17" t="s">
        <v>38</v>
      </c>
      <c r="G462" s="19">
        <v>110664</v>
      </c>
      <c r="H462" s="19">
        <v>96400</v>
      </c>
      <c r="I462" s="19">
        <f t="shared" si="14"/>
        <v>-14264</v>
      </c>
      <c r="J462" s="20">
        <f t="shared" si="15"/>
        <v>-0.12889467216077496</v>
      </c>
    </row>
    <row r="463" spans="1:10" x14ac:dyDescent="0.2">
      <c r="A463" s="17" t="s">
        <v>500</v>
      </c>
      <c r="B463" s="18">
        <v>46193</v>
      </c>
      <c r="C463" s="17" t="s">
        <v>458</v>
      </c>
      <c r="D463" s="17" t="s">
        <v>13</v>
      </c>
      <c r="E463" s="17" t="s">
        <v>46</v>
      </c>
      <c r="F463" s="17" t="s">
        <v>32</v>
      </c>
      <c r="G463" s="19">
        <v>178641</v>
      </c>
      <c r="H463" s="19">
        <v>206800</v>
      </c>
      <c r="I463" s="19">
        <f t="shared" si="14"/>
        <v>28159</v>
      </c>
      <c r="J463" s="20">
        <f t="shared" si="15"/>
        <v>0.15762898774637402</v>
      </c>
    </row>
    <row r="464" spans="1:10" x14ac:dyDescent="0.2">
      <c r="A464" s="17" t="s">
        <v>501</v>
      </c>
      <c r="B464" s="18">
        <v>46188</v>
      </c>
      <c r="C464" s="17" t="s">
        <v>458</v>
      </c>
      <c r="D464" s="17" t="s">
        <v>13</v>
      </c>
      <c r="E464" s="17" t="s">
        <v>13</v>
      </c>
      <c r="F464" s="17" t="s">
        <v>38</v>
      </c>
      <c r="G464" s="19">
        <v>186231</v>
      </c>
      <c r="H464" s="19">
        <v>178700</v>
      </c>
      <c r="I464" s="19">
        <f t="shared" si="14"/>
        <v>-7531</v>
      </c>
      <c r="J464" s="20">
        <f t="shared" si="15"/>
        <v>-4.043902465217928E-2</v>
      </c>
    </row>
    <row r="465" spans="1:10" x14ac:dyDescent="0.2">
      <c r="A465" s="17" t="s">
        <v>502</v>
      </c>
      <c r="B465" s="18">
        <v>46187</v>
      </c>
      <c r="C465" s="17" t="s">
        <v>458</v>
      </c>
      <c r="D465" s="17" t="s">
        <v>20</v>
      </c>
      <c r="E465" s="17" t="s">
        <v>23</v>
      </c>
      <c r="F465" s="17" t="s">
        <v>29</v>
      </c>
      <c r="G465" s="19">
        <v>164975</v>
      </c>
      <c r="H465" s="19">
        <v>202300</v>
      </c>
      <c r="I465" s="19">
        <f t="shared" si="14"/>
        <v>37325</v>
      </c>
      <c r="J465" s="20">
        <f t="shared" si="15"/>
        <v>0.22624640096984391</v>
      </c>
    </row>
    <row r="466" spans="1:10" x14ac:dyDescent="0.2">
      <c r="A466" s="17" t="s">
        <v>503</v>
      </c>
      <c r="B466" s="18">
        <v>46181</v>
      </c>
      <c r="C466" s="17" t="s">
        <v>458</v>
      </c>
      <c r="D466" s="17" t="s">
        <v>16</v>
      </c>
      <c r="E466" s="17" t="s">
        <v>17</v>
      </c>
      <c r="F466" s="17" t="s">
        <v>29</v>
      </c>
      <c r="G466" s="19">
        <v>182166</v>
      </c>
      <c r="H466" s="19">
        <v>176400</v>
      </c>
      <c r="I466" s="19">
        <f t="shared" si="14"/>
        <v>-5766</v>
      </c>
      <c r="J466" s="20">
        <f t="shared" si="15"/>
        <v>-3.1652448865320641E-2</v>
      </c>
    </row>
    <row r="467" spans="1:10" x14ac:dyDescent="0.2">
      <c r="A467" s="17" t="s">
        <v>504</v>
      </c>
      <c r="B467" s="18">
        <v>46196</v>
      </c>
      <c r="C467" s="17" t="s">
        <v>458</v>
      </c>
      <c r="D467" s="17" t="s">
        <v>16</v>
      </c>
      <c r="E467" s="17" t="s">
        <v>26</v>
      </c>
      <c r="F467" s="17" t="s">
        <v>27</v>
      </c>
      <c r="G467" s="19">
        <v>90247</v>
      </c>
      <c r="H467" s="19">
        <v>82300</v>
      </c>
      <c r="I467" s="19">
        <f t="shared" si="14"/>
        <v>-7947</v>
      </c>
      <c r="J467" s="20">
        <f t="shared" si="15"/>
        <v>-8.8058328808713865E-2</v>
      </c>
    </row>
    <row r="468" spans="1:10" x14ac:dyDescent="0.2">
      <c r="A468" s="17" t="s">
        <v>505</v>
      </c>
      <c r="B468" s="18">
        <v>46176</v>
      </c>
      <c r="C468" s="17" t="s">
        <v>458</v>
      </c>
      <c r="D468" s="17" t="s">
        <v>25</v>
      </c>
      <c r="E468" s="17" t="s">
        <v>31</v>
      </c>
      <c r="F468" s="17" t="s">
        <v>41</v>
      </c>
      <c r="G468" s="19">
        <v>103015</v>
      </c>
      <c r="H468" s="19">
        <v>102400</v>
      </c>
      <c r="I468" s="19">
        <f t="shared" si="14"/>
        <v>-615</v>
      </c>
      <c r="J468" s="20">
        <f t="shared" si="15"/>
        <v>-5.9700043682958791E-3</v>
      </c>
    </row>
    <row r="469" spans="1:10" x14ac:dyDescent="0.2">
      <c r="A469" s="17" t="s">
        <v>506</v>
      </c>
      <c r="B469" s="18">
        <v>46177</v>
      </c>
      <c r="C469" s="17" t="s">
        <v>458</v>
      </c>
      <c r="D469" s="17" t="s">
        <v>20</v>
      </c>
      <c r="E469" s="17" t="s">
        <v>17</v>
      </c>
      <c r="F469" s="17" t="s">
        <v>51</v>
      </c>
      <c r="G469" s="19">
        <v>114350</v>
      </c>
      <c r="H469" s="19">
        <v>132000</v>
      </c>
      <c r="I469" s="19">
        <f t="shared" si="14"/>
        <v>17650</v>
      </c>
      <c r="J469" s="20">
        <f t="shared" si="15"/>
        <v>0.15435067774376912</v>
      </c>
    </row>
    <row r="470" spans="1:10" x14ac:dyDescent="0.2">
      <c r="A470" s="17" t="s">
        <v>507</v>
      </c>
      <c r="B470" s="18">
        <v>46191</v>
      </c>
      <c r="C470" s="17" t="s">
        <v>458</v>
      </c>
      <c r="D470" s="17" t="s">
        <v>49</v>
      </c>
      <c r="E470" s="17" t="s">
        <v>23</v>
      </c>
      <c r="F470" s="17" t="s">
        <v>29</v>
      </c>
      <c r="G470" s="19">
        <v>132978</v>
      </c>
      <c r="H470" s="19">
        <v>136900</v>
      </c>
      <c r="I470" s="19">
        <f t="shared" si="14"/>
        <v>3922</v>
      </c>
      <c r="J470" s="20">
        <f t="shared" si="15"/>
        <v>2.9493600445186421E-2</v>
      </c>
    </row>
    <row r="471" spans="1:10" x14ac:dyDescent="0.2">
      <c r="A471" s="17" t="s">
        <v>508</v>
      </c>
      <c r="B471" s="18">
        <v>46191</v>
      </c>
      <c r="C471" s="17" t="s">
        <v>458</v>
      </c>
      <c r="D471" s="17" t="s">
        <v>25</v>
      </c>
      <c r="E471" s="17" t="s">
        <v>46</v>
      </c>
      <c r="F471" s="17" t="s">
        <v>27</v>
      </c>
      <c r="G471" s="19">
        <v>26884</v>
      </c>
      <c r="H471" s="19">
        <v>23800</v>
      </c>
      <c r="I471" s="19">
        <f t="shared" si="14"/>
        <v>-3084</v>
      </c>
      <c r="J471" s="20">
        <f t="shared" si="15"/>
        <v>-0.11471507216188068</v>
      </c>
    </row>
    <row r="472" spans="1:10" x14ac:dyDescent="0.2">
      <c r="A472" s="17" t="s">
        <v>509</v>
      </c>
      <c r="B472" s="18">
        <v>46186</v>
      </c>
      <c r="C472" s="17" t="s">
        <v>458</v>
      </c>
      <c r="D472" s="17" t="s">
        <v>25</v>
      </c>
      <c r="E472" s="17" t="s">
        <v>13</v>
      </c>
      <c r="F472" s="17" t="s">
        <v>18</v>
      </c>
      <c r="G472" s="19">
        <v>23235</v>
      </c>
      <c r="H472" s="19">
        <v>22500</v>
      </c>
      <c r="I472" s="19">
        <f t="shared" si="14"/>
        <v>-735</v>
      </c>
      <c r="J472" s="20">
        <f t="shared" si="15"/>
        <v>-3.1633311814073597E-2</v>
      </c>
    </row>
    <row r="473" spans="1:10" x14ac:dyDescent="0.2">
      <c r="A473" s="17" t="s">
        <v>510</v>
      </c>
      <c r="B473" s="18">
        <v>46186</v>
      </c>
      <c r="C473" s="17" t="s">
        <v>458</v>
      </c>
      <c r="D473" s="17" t="s">
        <v>20</v>
      </c>
      <c r="E473" s="17" t="s">
        <v>26</v>
      </c>
      <c r="F473" s="17" t="s">
        <v>44</v>
      </c>
      <c r="G473" s="19">
        <v>156604</v>
      </c>
      <c r="H473" s="19">
        <v>143700</v>
      </c>
      <c r="I473" s="19">
        <f t="shared" si="14"/>
        <v>-12904</v>
      </c>
      <c r="J473" s="20">
        <f t="shared" si="15"/>
        <v>-8.2398917013613959E-2</v>
      </c>
    </row>
    <row r="474" spans="1:10" x14ac:dyDescent="0.2">
      <c r="A474" s="17" t="s">
        <v>511</v>
      </c>
      <c r="B474" s="18">
        <v>46178</v>
      </c>
      <c r="C474" s="17" t="s">
        <v>458</v>
      </c>
      <c r="D474" s="17" t="s">
        <v>25</v>
      </c>
      <c r="E474" s="17" t="s">
        <v>26</v>
      </c>
      <c r="F474" s="17" t="s">
        <v>27</v>
      </c>
      <c r="G474" s="19">
        <v>98939</v>
      </c>
      <c r="H474" s="19">
        <v>94700</v>
      </c>
      <c r="I474" s="19">
        <f t="shared" si="14"/>
        <v>-4239</v>
      </c>
      <c r="J474" s="20">
        <f t="shared" si="15"/>
        <v>-4.2844581004457295E-2</v>
      </c>
    </row>
    <row r="475" spans="1:10" x14ac:dyDescent="0.2">
      <c r="A475" s="17" t="s">
        <v>512</v>
      </c>
      <c r="B475" s="18">
        <v>46189</v>
      </c>
      <c r="C475" s="17" t="s">
        <v>458</v>
      </c>
      <c r="D475" s="17" t="s">
        <v>25</v>
      </c>
      <c r="E475" s="17" t="s">
        <v>46</v>
      </c>
      <c r="F475" s="17" t="s">
        <v>44</v>
      </c>
      <c r="G475" s="19">
        <v>92341</v>
      </c>
      <c r="H475" s="19">
        <v>94000</v>
      </c>
      <c r="I475" s="19">
        <f t="shared" si="14"/>
        <v>1659</v>
      </c>
      <c r="J475" s="20">
        <f t="shared" si="15"/>
        <v>1.7966017262104592E-2</v>
      </c>
    </row>
    <row r="476" spans="1:10" x14ac:dyDescent="0.2">
      <c r="A476" s="17" t="s">
        <v>513</v>
      </c>
      <c r="B476" s="18">
        <v>46189</v>
      </c>
      <c r="C476" s="17" t="s">
        <v>458</v>
      </c>
      <c r="D476" s="17" t="s">
        <v>49</v>
      </c>
      <c r="E476" s="17" t="s">
        <v>13</v>
      </c>
      <c r="F476" s="17" t="s">
        <v>41</v>
      </c>
      <c r="G476" s="19">
        <v>84642</v>
      </c>
      <c r="H476" s="19">
        <v>96400</v>
      </c>
      <c r="I476" s="19">
        <f t="shared" si="14"/>
        <v>11758</v>
      </c>
      <c r="J476" s="20">
        <f t="shared" si="15"/>
        <v>0.13891448689775762</v>
      </c>
    </row>
    <row r="477" spans="1:10" x14ac:dyDescent="0.2">
      <c r="A477" s="17" t="s">
        <v>514</v>
      </c>
      <c r="B477" s="18">
        <v>46174</v>
      </c>
      <c r="C477" s="17" t="s">
        <v>458</v>
      </c>
      <c r="D477" s="17" t="s">
        <v>13</v>
      </c>
      <c r="E477" s="17" t="s">
        <v>46</v>
      </c>
      <c r="F477" s="17" t="s">
        <v>18</v>
      </c>
      <c r="G477" s="19">
        <v>48042</v>
      </c>
      <c r="H477" s="19">
        <v>43400</v>
      </c>
      <c r="I477" s="19">
        <f t="shared" si="14"/>
        <v>-4642</v>
      </c>
      <c r="J477" s="20">
        <f t="shared" si="15"/>
        <v>-9.662378751925399E-2</v>
      </c>
    </row>
    <row r="478" spans="1:10" x14ac:dyDescent="0.2">
      <c r="A478" s="17" t="s">
        <v>515</v>
      </c>
      <c r="B478" s="18">
        <v>46184</v>
      </c>
      <c r="C478" s="17" t="s">
        <v>458</v>
      </c>
      <c r="D478" s="17" t="s">
        <v>13</v>
      </c>
      <c r="E478" s="17" t="s">
        <v>46</v>
      </c>
      <c r="F478" s="17" t="s">
        <v>27</v>
      </c>
      <c r="G478" s="19">
        <v>119585</v>
      </c>
      <c r="H478" s="19">
        <v>140100</v>
      </c>
      <c r="I478" s="19">
        <f t="shared" si="14"/>
        <v>20515</v>
      </c>
      <c r="J478" s="20">
        <f t="shared" si="15"/>
        <v>0.17155161600535185</v>
      </c>
    </row>
    <row r="479" spans="1:10" x14ac:dyDescent="0.2">
      <c r="A479" s="17" t="s">
        <v>516</v>
      </c>
      <c r="B479" s="18">
        <v>46178</v>
      </c>
      <c r="C479" s="17" t="s">
        <v>458</v>
      </c>
      <c r="D479" s="17" t="s">
        <v>12</v>
      </c>
      <c r="E479" s="17" t="s">
        <v>46</v>
      </c>
      <c r="F479" s="17" t="s">
        <v>18</v>
      </c>
      <c r="G479" s="19">
        <v>190665</v>
      </c>
      <c r="H479" s="19">
        <v>236400</v>
      </c>
      <c r="I479" s="19">
        <f t="shared" si="14"/>
        <v>45735</v>
      </c>
      <c r="J479" s="20">
        <f t="shared" si="15"/>
        <v>0.23987097789316339</v>
      </c>
    </row>
    <row r="480" spans="1:10" x14ac:dyDescent="0.2">
      <c r="A480" s="17" t="s">
        <v>517</v>
      </c>
      <c r="B480" s="18">
        <v>46179</v>
      </c>
      <c r="C480" s="17" t="s">
        <v>458</v>
      </c>
      <c r="D480" s="17" t="s">
        <v>13</v>
      </c>
      <c r="E480" s="17" t="s">
        <v>46</v>
      </c>
      <c r="F480" s="17" t="s">
        <v>44</v>
      </c>
      <c r="G480" s="19">
        <v>72652</v>
      </c>
      <c r="H480" s="19">
        <v>75700</v>
      </c>
      <c r="I480" s="19">
        <f t="shared" si="14"/>
        <v>3048</v>
      </c>
      <c r="J480" s="20">
        <f t="shared" si="15"/>
        <v>4.1953421791554257E-2</v>
      </c>
    </row>
    <row r="481" spans="1:10" x14ac:dyDescent="0.2">
      <c r="A481" s="17" t="s">
        <v>518</v>
      </c>
      <c r="B481" s="18">
        <v>46192</v>
      </c>
      <c r="C481" s="17" t="s">
        <v>458</v>
      </c>
      <c r="D481" s="17" t="s">
        <v>20</v>
      </c>
      <c r="E481" s="17" t="s">
        <v>46</v>
      </c>
      <c r="F481" s="17" t="s">
        <v>27</v>
      </c>
      <c r="G481" s="19">
        <v>185911</v>
      </c>
      <c r="H481" s="19">
        <v>194500</v>
      </c>
      <c r="I481" s="19">
        <f t="shared" si="14"/>
        <v>8589</v>
      </c>
      <c r="J481" s="20">
        <f t="shared" si="15"/>
        <v>4.6199525579443929E-2</v>
      </c>
    </row>
    <row r="482" spans="1:10" x14ac:dyDescent="0.2">
      <c r="A482" s="17" t="s">
        <v>519</v>
      </c>
      <c r="B482" s="18">
        <v>46186</v>
      </c>
      <c r="C482" s="17" t="s">
        <v>458</v>
      </c>
      <c r="D482" s="17" t="s">
        <v>12</v>
      </c>
      <c r="E482" s="17" t="s">
        <v>17</v>
      </c>
      <c r="F482" s="17" t="s">
        <v>18</v>
      </c>
      <c r="G482" s="19">
        <v>93479</v>
      </c>
      <c r="H482" s="19">
        <v>110000</v>
      </c>
      <c r="I482" s="19">
        <f t="shared" si="14"/>
        <v>16521</v>
      </c>
      <c r="J482" s="20">
        <f t="shared" si="15"/>
        <v>0.17673488163116849</v>
      </c>
    </row>
    <row r="483" spans="1:10" x14ac:dyDescent="0.2">
      <c r="A483" s="17" t="s">
        <v>520</v>
      </c>
      <c r="B483" s="18">
        <v>46191</v>
      </c>
      <c r="C483" s="17" t="s">
        <v>458</v>
      </c>
      <c r="D483" s="17" t="s">
        <v>20</v>
      </c>
      <c r="E483" s="17" t="s">
        <v>35</v>
      </c>
      <c r="F483" s="17" t="s">
        <v>41</v>
      </c>
      <c r="G483" s="19">
        <v>72376</v>
      </c>
      <c r="H483" s="19">
        <v>78700</v>
      </c>
      <c r="I483" s="19">
        <f t="shared" si="14"/>
        <v>6324</v>
      </c>
      <c r="J483" s="20">
        <f t="shared" si="15"/>
        <v>8.73770310600199E-2</v>
      </c>
    </row>
    <row r="484" spans="1:10" x14ac:dyDescent="0.2">
      <c r="A484" s="17" t="s">
        <v>521</v>
      </c>
      <c r="B484" s="18">
        <v>46183</v>
      </c>
      <c r="C484" s="17" t="s">
        <v>458</v>
      </c>
      <c r="D484" s="17" t="s">
        <v>16</v>
      </c>
      <c r="E484" s="17" t="s">
        <v>17</v>
      </c>
      <c r="F484" s="17" t="s">
        <v>27</v>
      </c>
      <c r="G484" s="19">
        <v>74958</v>
      </c>
      <c r="H484" s="19">
        <v>76900</v>
      </c>
      <c r="I484" s="19">
        <f t="shared" si="14"/>
        <v>1942</v>
      </c>
      <c r="J484" s="20">
        <f t="shared" si="15"/>
        <v>2.5907841724699166E-2</v>
      </c>
    </row>
    <row r="485" spans="1:10" x14ac:dyDescent="0.2">
      <c r="A485" s="17" t="s">
        <v>522</v>
      </c>
      <c r="B485" s="18">
        <v>46194</v>
      </c>
      <c r="C485" s="17" t="s">
        <v>458</v>
      </c>
      <c r="D485" s="17" t="s">
        <v>12</v>
      </c>
      <c r="E485" s="17" t="s">
        <v>13</v>
      </c>
      <c r="F485" s="17" t="s">
        <v>44</v>
      </c>
      <c r="G485" s="19">
        <v>196417</v>
      </c>
      <c r="H485" s="19">
        <v>206200</v>
      </c>
      <c r="I485" s="19">
        <f t="shared" si="14"/>
        <v>9783</v>
      </c>
      <c r="J485" s="20">
        <f t="shared" si="15"/>
        <v>4.9807297738994082E-2</v>
      </c>
    </row>
    <row r="486" spans="1:10" x14ac:dyDescent="0.2">
      <c r="A486" s="17" t="s">
        <v>523</v>
      </c>
      <c r="B486" s="18">
        <v>46187</v>
      </c>
      <c r="C486" s="17" t="s">
        <v>458</v>
      </c>
      <c r="D486" s="17" t="s">
        <v>13</v>
      </c>
      <c r="E486" s="17" t="s">
        <v>17</v>
      </c>
      <c r="F486" s="17" t="s">
        <v>41</v>
      </c>
      <c r="G486" s="19">
        <v>192664</v>
      </c>
      <c r="H486" s="19">
        <v>175600</v>
      </c>
      <c r="I486" s="19">
        <f t="shared" si="14"/>
        <v>-17064</v>
      </c>
      <c r="J486" s="20">
        <f t="shared" si="15"/>
        <v>-8.8568699912801557E-2</v>
      </c>
    </row>
    <row r="487" spans="1:10" x14ac:dyDescent="0.2">
      <c r="A487" s="17" t="s">
        <v>524</v>
      </c>
      <c r="B487" s="18">
        <v>46186</v>
      </c>
      <c r="C487" s="17" t="s">
        <v>458</v>
      </c>
      <c r="D487" s="17" t="s">
        <v>49</v>
      </c>
      <c r="E487" s="17" t="s">
        <v>23</v>
      </c>
      <c r="F487" s="17" t="s">
        <v>21</v>
      </c>
      <c r="G487" s="19">
        <v>176744</v>
      </c>
      <c r="H487" s="19">
        <v>184100</v>
      </c>
      <c r="I487" s="19">
        <f t="shared" si="14"/>
        <v>7356</v>
      </c>
      <c r="J487" s="20">
        <f t="shared" si="15"/>
        <v>4.1619517494228944E-2</v>
      </c>
    </row>
    <row r="488" spans="1:10" x14ac:dyDescent="0.2">
      <c r="A488" s="17" t="s">
        <v>525</v>
      </c>
      <c r="B488" s="18">
        <v>46185</v>
      </c>
      <c r="C488" s="17" t="s">
        <v>458</v>
      </c>
      <c r="D488" s="17" t="s">
        <v>16</v>
      </c>
      <c r="E488" s="17" t="s">
        <v>17</v>
      </c>
      <c r="F488" s="17" t="s">
        <v>29</v>
      </c>
      <c r="G488" s="19">
        <v>29637</v>
      </c>
      <c r="H488" s="19">
        <v>34600</v>
      </c>
      <c r="I488" s="19">
        <f t="shared" si="14"/>
        <v>4963</v>
      </c>
      <c r="J488" s="20">
        <f t="shared" si="15"/>
        <v>0.16745959442588657</v>
      </c>
    </row>
    <row r="489" spans="1:10" x14ac:dyDescent="0.2">
      <c r="A489" s="17" t="s">
        <v>526</v>
      </c>
      <c r="B489" s="18">
        <v>46185</v>
      </c>
      <c r="C489" s="17" t="s">
        <v>458</v>
      </c>
      <c r="D489" s="17" t="s">
        <v>20</v>
      </c>
      <c r="E489" s="17" t="s">
        <v>35</v>
      </c>
      <c r="F489" s="17" t="s">
        <v>18</v>
      </c>
      <c r="G489" s="19">
        <v>85072</v>
      </c>
      <c r="H489" s="19">
        <v>94700</v>
      </c>
      <c r="I489" s="19">
        <f t="shared" si="14"/>
        <v>9628</v>
      </c>
      <c r="J489" s="20">
        <f t="shared" si="15"/>
        <v>0.11317472258792552</v>
      </c>
    </row>
    <row r="490" spans="1:10" x14ac:dyDescent="0.2">
      <c r="A490" s="17" t="s">
        <v>527</v>
      </c>
      <c r="B490" s="18">
        <v>46186</v>
      </c>
      <c r="C490" s="17" t="s">
        <v>458</v>
      </c>
      <c r="D490" s="17" t="s">
        <v>12</v>
      </c>
      <c r="E490" s="17" t="s">
        <v>23</v>
      </c>
      <c r="F490" s="17" t="s">
        <v>29</v>
      </c>
      <c r="G490" s="19">
        <v>189091</v>
      </c>
      <c r="H490" s="19">
        <v>212000</v>
      </c>
      <c r="I490" s="19">
        <f t="shared" si="14"/>
        <v>22909</v>
      </c>
      <c r="J490" s="20">
        <f t="shared" si="15"/>
        <v>0.12115330713783311</v>
      </c>
    </row>
    <row r="491" spans="1:10" x14ac:dyDescent="0.2">
      <c r="A491" s="17" t="s">
        <v>528</v>
      </c>
      <c r="B491" s="18">
        <v>46181</v>
      </c>
      <c r="C491" s="17" t="s">
        <v>458</v>
      </c>
      <c r="D491" s="17" t="s">
        <v>49</v>
      </c>
      <c r="E491" s="17" t="s">
        <v>13</v>
      </c>
      <c r="F491" s="17" t="s">
        <v>41</v>
      </c>
      <c r="G491" s="19">
        <v>22765</v>
      </c>
      <c r="H491" s="19">
        <v>20200</v>
      </c>
      <c r="I491" s="19">
        <f t="shared" si="14"/>
        <v>-2565</v>
      </c>
      <c r="J491" s="20">
        <f t="shared" si="15"/>
        <v>-0.11267296288161652</v>
      </c>
    </row>
    <row r="492" spans="1:10" x14ac:dyDescent="0.2">
      <c r="A492" s="17" t="s">
        <v>529</v>
      </c>
      <c r="B492" s="18">
        <v>46198</v>
      </c>
      <c r="C492" s="17" t="s">
        <v>458</v>
      </c>
      <c r="D492" s="17" t="s">
        <v>16</v>
      </c>
      <c r="E492" s="17" t="s">
        <v>26</v>
      </c>
      <c r="F492" s="17" t="s">
        <v>38</v>
      </c>
      <c r="G492" s="19">
        <v>118073</v>
      </c>
      <c r="H492" s="19">
        <v>118800</v>
      </c>
      <c r="I492" s="19">
        <f t="shared" si="14"/>
        <v>727</v>
      </c>
      <c r="J492" s="20">
        <f t="shared" si="15"/>
        <v>6.1572078290549068E-3</v>
      </c>
    </row>
    <row r="493" spans="1:10" x14ac:dyDescent="0.2">
      <c r="A493" s="17" t="s">
        <v>530</v>
      </c>
      <c r="B493" s="18">
        <v>46183</v>
      </c>
      <c r="C493" s="17" t="s">
        <v>458</v>
      </c>
      <c r="D493" s="17" t="s">
        <v>13</v>
      </c>
      <c r="E493" s="17" t="s">
        <v>17</v>
      </c>
      <c r="F493" s="17" t="s">
        <v>29</v>
      </c>
      <c r="G493" s="19">
        <v>26438</v>
      </c>
      <c r="H493" s="19">
        <v>27600</v>
      </c>
      <c r="I493" s="19">
        <f t="shared" si="14"/>
        <v>1162</v>
      </c>
      <c r="J493" s="20">
        <f t="shared" si="15"/>
        <v>4.3951887434753006E-2</v>
      </c>
    </row>
    <row r="494" spans="1:10" x14ac:dyDescent="0.2">
      <c r="A494" s="17" t="s">
        <v>531</v>
      </c>
      <c r="B494" s="18">
        <v>46184</v>
      </c>
      <c r="C494" s="17" t="s">
        <v>458</v>
      </c>
      <c r="D494" s="17" t="s">
        <v>13</v>
      </c>
      <c r="E494" s="17" t="s">
        <v>13</v>
      </c>
      <c r="F494" s="17" t="s">
        <v>21</v>
      </c>
      <c r="G494" s="19">
        <v>57139</v>
      </c>
      <c r="H494" s="19">
        <v>56500</v>
      </c>
      <c r="I494" s="19">
        <f t="shared" si="14"/>
        <v>-639</v>
      </c>
      <c r="J494" s="20">
        <f t="shared" si="15"/>
        <v>-1.1183254869703705E-2</v>
      </c>
    </row>
    <row r="495" spans="1:10" x14ac:dyDescent="0.2">
      <c r="A495" s="17" t="s">
        <v>532</v>
      </c>
      <c r="B495" s="18">
        <v>46177</v>
      </c>
      <c r="C495" s="17" t="s">
        <v>458</v>
      </c>
      <c r="D495" s="17" t="s">
        <v>13</v>
      </c>
      <c r="E495" s="17" t="s">
        <v>65</v>
      </c>
      <c r="F495" s="17" t="s">
        <v>38</v>
      </c>
      <c r="G495" s="19">
        <v>146596</v>
      </c>
      <c r="H495" s="19">
        <v>145000</v>
      </c>
      <c r="I495" s="19">
        <f t="shared" si="14"/>
        <v>-1596</v>
      </c>
      <c r="J495" s="20">
        <f t="shared" si="15"/>
        <v>-1.0887063767087779E-2</v>
      </c>
    </row>
    <row r="496" spans="1:10" x14ac:dyDescent="0.2">
      <c r="A496" s="17" t="s">
        <v>533</v>
      </c>
      <c r="B496" s="18">
        <v>46199</v>
      </c>
      <c r="C496" s="17" t="s">
        <v>458</v>
      </c>
      <c r="D496" s="17" t="s">
        <v>16</v>
      </c>
      <c r="E496" s="17" t="s">
        <v>17</v>
      </c>
      <c r="F496" s="17" t="s">
        <v>32</v>
      </c>
      <c r="G496" s="19">
        <v>37609</v>
      </c>
      <c r="H496" s="19">
        <v>36500</v>
      </c>
      <c r="I496" s="19">
        <f t="shared" si="14"/>
        <v>-1109</v>
      </c>
      <c r="J496" s="20">
        <f t="shared" si="15"/>
        <v>-2.9487622643516179E-2</v>
      </c>
    </row>
    <row r="497" spans="1:10" x14ac:dyDescent="0.2">
      <c r="A497" s="17" t="s">
        <v>534</v>
      </c>
      <c r="B497" s="18">
        <v>46195</v>
      </c>
      <c r="C497" s="17" t="s">
        <v>458</v>
      </c>
      <c r="D497" s="17" t="s">
        <v>20</v>
      </c>
      <c r="E497" s="17" t="s">
        <v>13</v>
      </c>
      <c r="F497" s="17" t="s">
        <v>21</v>
      </c>
      <c r="G497" s="19">
        <v>109935</v>
      </c>
      <c r="H497" s="19">
        <v>121900</v>
      </c>
      <c r="I497" s="19">
        <f t="shared" si="14"/>
        <v>11965</v>
      </c>
      <c r="J497" s="20">
        <f t="shared" si="15"/>
        <v>0.10883704006913177</v>
      </c>
    </row>
    <row r="498" spans="1:10" x14ac:dyDescent="0.2">
      <c r="A498" s="17" t="s">
        <v>535</v>
      </c>
      <c r="B498" s="18">
        <v>46184</v>
      </c>
      <c r="C498" s="17" t="s">
        <v>458</v>
      </c>
      <c r="D498" s="17" t="s">
        <v>49</v>
      </c>
      <c r="E498" s="17" t="s">
        <v>23</v>
      </c>
      <c r="F498" s="17" t="s">
        <v>41</v>
      </c>
      <c r="G498" s="19">
        <v>65731</v>
      </c>
      <c r="H498" s="19">
        <v>70400</v>
      </c>
      <c r="I498" s="19">
        <f t="shared" si="14"/>
        <v>4669</v>
      </c>
      <c r="J498" s="20">
        <f t="shared" si="15"/>
        <v>7.1031933182212348E-2</v>
      </c>
    </row>
    <row r="499" spans="1:10" x14ac:dyDescent="0.2">
      <c r="A499" s="17" t="s">
        <v>536</v>
      </c>
      <c r="B499" s="18">
        <v>46194</v>
      </c>
      <c r="C499" s="17" t="s">
        <v>458</v>
      </c>
      <c r="D499" s="17" t="s">
        <v>20</v>
      </c>
      <c r="E499" s="17" t="s">
        <v>26</v>
      </c>
      <c r="F499" s="17" t="s">
        <v>27</v>
      </c>
      <c r="G499" s="19">
        <v>80779</v>
      </c>
      <c r="H499" s="19">
        <v>94400</v>
      </c>
      <c r="I499" s="19">
        <f t="shared" si="14"/>
        <v>13621</v>
      </c>
      <c r="J499" s="20">
        <f t="shared" si="15"/>
        <v>0.16862055732306663</v>
      </c>
    </row>
    <row r="500" spans="1:10" x14ac:dyDescent="0.2">
      <c r="A500" s="17" t="s">
        <v>537</v>
      </c>
      <c r="B500" s="18">
        <v>46193</v>
      </c>
      <c r="C500" s="17" t="s">
        <v>458</v>
      </c>
      <c r="D500" s="17" t="s">
        <v>20</v>
      </c>
      <c r="E500" s="17" t="s">
        <v>65</v>
      </c>
      <c r="F500" s="17" t="s">
        <v>18</v>
      </c>
      <c r="G500" s="19">
        <v>123699</v>
      </c>
      <c r="H500" s="19">
        <v>106600</v>
      </c>
      <c r="I500" s="19">
        <f t="shared" si="14"/>
        <v>-17099</v>
      </c>
      <c r="J500" s="20">
        <f t="shared" si="15"/>
        <v>-0.13823070517950833</v>
      </c>
    </row>
    <row r="501" spans="1:10" x14ac:dyDescent="0.2">
      <c r="A501" s="17" t="s">
        <v>538</v>
      </c>
      <c r="B501" s="18">
        <v>46196</v>
      </c>
      <c r="C501" s="17" t="s">
        <v>458</v>
      </c>
      <c r="D501" s="17" t="s">
        <v>20</v>
      </c>
      <c r="E501" s="17" t="s">
        <v>13</v>
      </c>
      <c r="F501" s="17" t="s">
        <v>44</v>
      </c>
      <c r="G501" s="19">
        <v>132604</v>
      </c>
      <c r="H501" s="19">
        <v>133300</v>
      </c>
      <c r="I501" s="19">
        <f t="shared" si="14"/>
        <v>696</v>
      </c>
      <c r="J501" s="20">
        <f t="shared" si="15"/>
        <v>5.2487104461403878E-3</v>
      </c>
    </row>
    <row r="502" spans="1:10" x14ac:dyDescent="0.2">
      <c r="A502" s="17" t="s">
        <v>539</v>
      </c>
      <c r="B502" s="18">
        <v>46199</v>
      </c>
      <c r="C502" s="17" t="s">
        <v>458</v>
      </c>
      <c r="D502" s="17" t="s">
        <v>49</v>
      </c>
      <c r="E502" s="17" t="s">
        <v>26</v>
      </c>
      <c r="F502" s="17" t="s">
        <v>38</v>
      </c>
      <c r="G502" s="19">
        <v>36400</v>
      </c>
      <c r="H502" s="19">
        <v>39300</v>
      </c>
      <c r="I502" s="19">
        <f t="shared" si="14"/>
        <v>2900</v>
      </c>
      <c r="J502" s="20">
        <f t="shared" si="15"/>
        <v>7.9670329670329665E-2</v>
      </c>
    </row>
    <row r="503" spans="1:10" x14ac:dyDescent="0.2">
      <c r="A503" s="17" t="s">
        <v>540</v>
      </c>
      <c r="B503" s="18">
        <v>46177</v>
      </c>
      <c r="C503" s="17" t="s">
        <v>458</v>
      </c>
      <c r="D503" s="17" t="s">
        <v>12</v>
      </c>
      <c r="E503" s="17" t="s">
        <v>65</v>
      </c>
      <c r="F503" s="17" t="s">
        <v>21</v>
      </c>
      <c r="G503" s="19">
        <v>105454</v>
      </c>
      <c r="H503" s="19">
        <v>97900</v>
      </c>
      <c r="I503" s="19">
        <f t="shared" si="14"/>
        <v>-7554</v>
      </c>
      <c r="J503" s="20">
        <f t="shared" si="15"/>
        <v>-7.1633129136874849E-2</v>
      </c>
    </row>
    <row r="504" spans="1:10" x14ac:dyDescent="0.2">
      <c r="A504" s="17" t="s">
        <v>541</v>
      </c>
      <c r="B504" s="18">
        <v>46216</v>
      </c>
      <c r="C504" s="17" t="s">
        <v>542</v>
      </c>
      <c r="D504" s="17" t="s">
        <v>49</v>
      </c>
      <c r="E504" s="17" t="s">
        <v>23</v>
      </c>
      <c r="F504" s="17" t="s">
        <v>18</v>
      </c>
      <c r="G504" s="19">
        <v>187538</v>
      </c>
      <c r="H504" s="19">
        <v>182900</v>
      </c>
      <c r="I504" s="19">
        <f t="shared" si="14"/>
        <v>-4638</v>
      </c>
      <c r="J504" s="20">
        <f t="shared" si="15"/>
        <v>-2.4730987853128432E-2</v>
      </c>
    </row>
    <row r="505" spans="1:10" x14ac:dyDescent="0.2">
      <c r="A505" s="17" t="s">
        <v>543</v>
      </c>
      <c r="B505" s="18">
        <v>46231</v>
      </c>
      <c r="C505" s="17" t="s">
        <v>542</v>
      </c>
      <c r="D505" s="17" t="s">
        <v>13</v>
      </c>
      <c r="E505" s="17" t="s">
        <v>26</v>
      </c>
      <c r="F505" s="17" t="s">
        <v>44</v>
      </c>
      <c r="G505" s="19">
        <v>49945</v>
      </c>
      <c r="H505" s="19">
        <v>49400</v>
      </c>
      <c r="I505" s="19">
        <f t="shared" si="14"/>
        <v>-545</v>
      </c>
      <c r="J505" s="20">
        <f t="shared" si="15"/>
        <v>-1.0912003203523877E-2</v>
      </c>
    </row>
    <row r="506" spans="1:10" x14ac:dyDescent="0.2">
      <c r="A506" s="17" t="s">
        <v>544</v>
      </c>
      <c r="B506" s="18">
        <v>46225</v>
      </c>
      <c r="C506" s="17" t="s">
        <v>542</v>
      </c>
      <c r="D506" s="17" t="s">
        <v>20</v>
      </c>
      <c r="E506" s="17" t="s">
        <v>46</v>
      </c>
      <c r="F506" s="17" t="s">
        <v>29</v>
      </c>
      <c r="G506" s="19">
        <v>181083</v>
      </c>
      <c r="H506" s="19">
        <v>196700</v>
      </c>
      <c r="I506" s="19">
        <f t="shared" si="14"/>
        <v>15617</v>
      </c>
      <c r="J506" s="20">
        <f t="shared" si="15"/>
        <v>8.624222041826124E-2</v>
      </c>
    </row>
    <row r="507" spans="1:10" x14ac:dyDescent="0.2">
      <c r="A507" s="17" t="s">
        <v>545</v>
      </c>
      <c r="B507" s="18">
        <v>46209</v>
      </c>
      <c r="C507" s="17" t="s">
        <v>542</v>
      </c>
      <c r="D507" s="17" t="s">
        <v>12</v>
      </c>
      <c r="E507" s="17" t="s">
        <v>26</v>
      </c>
      <c r="F507" s="17" t="s">
        <v>21</v>
      </c>
      <c r="G507" s="19">
        <v>82540</v>
      </c>
      <c r="H507" s="19">
        <v>80200</v>
      </c>
      <c r="I507" s="19">
        <f t="shared" si="14"/>
        <v>-2340</v>
      </c>
      <c r="J507" s="20">
        <f t="shared" si="15"/>
        <v>-2.8349890961957839E-2</v>
      </c>
    </row>
    <row r="508" spans="1:10" x14ac:dyDescent="0.2">
      <c r="A508" s="17" t="s">
        <v>546</v>
      </c>
      <c r="B508" s="18">
        <v>46208</v>
      </c>
      <c r="C508" s="17" t="s">
        <v>542</v>
      </c>
      <c r="D508" s="17" t="s">
        <v>49</v>
      </c>
      <c r="E508" s="17" t="s">
        <v>23</v>
      </c>
      <c r="F508" s="17" t="s">
        <v>27</v>
      </c>
      <c r="G508" s="19">
        <v>121833</v>
      </c>
      <c r="H508" s="19">
        <v>123900</v>
      </c>
      <c r="I508" s="19">
        <f t="shared" si="14"/>
        <v>2067</v>
      </c>
      <c r="J508" s="20">
        <f t="shared" si="15"/>
        <v>1.6965846691783016E-2</v>
      </c>
    </row>
    <row r="509" spans="1:10" x14ac:dyDescent="0.2">
      <c r="A509" s="17" t="s">
        <v>547</v>
      </c>
      <c r="B509" s="18">
        <v>46221</v>
      </c>
      <c r="C509" s="17" t="s">
        <v>542</v>
      </c>
      <c r="D509" s="17" t="s">
        <v>16</v>
      </c>
      <c r="E509" s="17" t="s">
        <v>26</v>
      </c>
      <c r="F509" s="17" t="s">
        <v>21</v>
      </c>
      <c r="G509" s="19">
        <v>68694</v>
      </c>
      <c r="H509" s="19">
        <v>71800</v>
      </c>
      <c r="I509" s="19">
        <f t="shared" si="14"/>
        <v>3106</v>
      </c>
      <c r="J509" s="20">
        <f t="shared" si="15"/>
        <v>4.521501150027659E-2</v>
      </c>
    </row>
    <row r="510" spans="1:10" x14ac:dyDescent="0.2">
      <c r="A510" s="17" t="s">
        <v>548</v>
      </c>
      <c r="B510" s="18">
        <v>46208</v>
      </c>
      <c r="C510" s="17" t="s">
        <v>542</v>
      </c>
      <c r="D510" s="17" t="s">
        <v>20</v>
      </c>
      <c r="E510" s="17" t="s">
        <v>46</v>
      </c>
      <c r="F510" s="17" t="s">
        <v>41</v>
      </c>
      <c r="G510" s="19">
        <v>63742</v>
      </c>
      <c r="H510" s="19">
        <v>66700</v>
      </c>
      <c r="I510" s="19">
        <f t="shared" si="14"/>
        <v>2958</v>
      </c>
      <c r="J510" s="20">
        <f t="shared" si="15"/>
        <v>4.6405823475887169E-2</v>
      </c>
    </row>
    <row r="511" spans="1:10" x14ac:dyDescent="0.2">
      <c r="A511" s="17" t="s">
        <v>549</v>
      </c>
      <c r="B511" s="18">
        <v>46215</v>
      </c>
      <c r="C511" s="17" t="s">
        <v>542</v>
      </c>
      <c r="D511" s="17" t="s">
        <v>25</v>
      </c>
      <c r="E511" s="17" t="s">
        <v>65</v>
      </c>
      <c r="F511" s="17" t="s">
        <v>51</v>
      </c>
      <c r="G511" s="19">
        <v>182374</v>
      </c>
      <c r="H511" s="19">
        <v>158900</v>
      </c>
      <c r="I511" s="19">
        <f t="shared" si="14"/>
        <v>-23474</v>
      </c>
      <c r="J511" s="20">
        <f t="shared" si="15"/>
        <v>-0.12871352276091988</v>
      </c>
    </row>
    <row r="512" spans="1:10" x14ac:dyDescent="0.2">
      <c r="A512" s="17" t="s">
        <v>550</v>
      </c>
      <c r="B512" s="18">
        <v>46221</v>
      </c>
      <c r="C512" s="17" t="s">
        <v>542</v>
      </c>
      <c r="D512" s="17" t="s">
        <v>49</v>
      </c>
      <c r="E512" s="17" t="s">
        <v>65</v>
      </c>
      <c r="F512" s="17" t="s">
        <v>27</v>
      </c>
      <c r="G512" s="19">
        <v>71151</v>
      </c>
      <c r="H512" s="19">
        <v>83700</v>
      </c>
      <c r="I512" s="19">
        <f t="shared" si="14"/>
        <v>12549</v>
      </c>
      <c r="J512" s="20">
        <f t="shared" si="15"/>
        <v>0.1763713791794915</v>
      </c>
    </row>
    <row r="513" spans="1:10" x14ac:dyDescent="0.2">
      <c r="A513" s="17" t="s">
        <v>551</v>
      </c>
      <c r="B513" s="18">
        <v>46226</v>
      </c>
      <c r="C513" s="17" t="s">
        <v>542</v>
      </c>
      <c r="D513" s="17" t="s">
        <v>13</v>
      </c>
      <c r="E513" s="17" t="s">
        <v>65</v>
      </c>
      <c r="F513" s="17" t="s">
        <v>51</v>
      </c>
      <c r="G513" s="19">
        <v>199489</v>
      </c>
      <c r="H513" s="19">
        <v>208800</v>
      </c>
      <c r="I513" s="19">
        <f t="shared" si="14"/>
        <v>9311</v>
      </c>
      <c r="J513" s="20">
        <f t="shared" si="15"/>
        <v>4.6674252715688584E-2</v>
      </c>
    </row>
    <row r="514" spans="1:10" x14ac:dyDescent="0.2">
      <c r="A514" s="17" t="s">
        <v>552</v>
      </c>
      <c r="B514" s="18">
        <v>46229</v>
      </c>
      <c r="C514" s="17" t="s">
        <v>542</v>
      </c>
      <c r="D514" s="17" t="s">
        <v>20</v>
      </c>
      <c r="E514" s="17" t="s">
        <v>31</v>
      </c>
      <c r="F514" s="17" t="s">
        <v>32</v>
      </c>
      <c r="G514" s="19">
        <v>41671</v>
      </c>
      <c r="H514" s="19">
        <v>44800</v>
      </c>
      <c r="I514" s="19">
        <f t="shared" ref="I514:I577" si="16">H514-G514</f>
        <v>3129</v>
      </c>
      <c r="J514" s="20">
        <f t="shared" ref="J514:J577" si="17">IFERROR(I514/G514,0)</f>
        <v>7.5088190828153878E-2</v>
      </c>
    </row>
    <row r="515" spans="1:10" x14ac:dyDescent="0.2">
      <c r="A515" s="17" t="s">
        <v>553</v>
      </c>
      <c r="B515" s="18">
        <v>46213</v>
      </c>
      <c r="C515" s="17" t="s">
        <v>542</v>
      </c>
      <c r="D515" s="17" t="s">
        <v>20</v>
      </c>
      <c r="E515" s="17" t="s">
        <v>65</v>
      </c>
      <c r="F515" s="17" t="s">
        <v>18</v>
      </c>
      <c r="G515" s="19">
        <v>92051</v>
      </c>
      <c r="H515" s="19">
        <v>86500</v>
      </c>
      <c r="I515" s="19">
        <f t="shared" si="16"/>
        <v>-5551</v>
      </c>
      <c r="J515" s="20">
        <f t="shared" si="17"/>
        <v>-6.0303527392423763E-2</v>
      </c>
    </row>
    <row r="516" spans="1:10" x14ac:dyDescent="0.2">
      <c r="A516" s="17" t="s">
        <v>554</v>
      </c>
      <c r="B516" s="18">
        <v>46207</v>
      </c>
      <c r="C516" s="17" t="s">
        <v>542</v>
      </c>
      <c r="D516" s="17" t="s">
        <v>49</v>
      </c>
      <c r="E516" s="17" t="s">
        <v>17</v>
      </c>
      <c r="F516" s="17" t="s">
        <v>44</v>
      </c>
      <c r="G516" s="19">
        <v>149843</v>
      </c>
      <c r="H516" s="19">
        <v>160300</v>
      </c>
      <c r="I516" s="19">
        <f t="shared" si="16"/>
        <v>10457</v>
      </c>
      <c r="J516" s="20">
        <f t="shared" si="17"/>
        <v>6.9786376407306311E-2</v>
      </c>
    </row>
    <row r="517" spans="1:10" x14ac:dyDescent="0.2">
      <c r="A517" s="17" t="s">
        <v>555</v>
      </c>
      <c r="B517" s="18">
        <v>46215</v>
      </c>
      <c r="C517" s="17" t="s">
        <v>542</v>
      </c>
      <c r="D517" s="17" t="s">
        <v>49</v>
      </c>
      <c r="E517" s="17" t="s">
        <v>35</v>
      </c>
      <c r="F517" s="17" t="s">
        <v>41</v>
      </c>
      <c r="G517" s="19">
        <v>162372</v>
      </c>
      <c r="H517" s="19">
        <v>191500</v>
      </c>
      <c r="I517" s="19">
        <f t="shared" si="16"/>
        <v>29128</v>
      </c>
      <c r="J517" s="20">
        <f t="shared" si="17"/>
        <v>0.1793905353139704</v>
      </c>
    </row>
    <row r="518" spans="1:10" x14ac:dyDescent="0.2">
      <c r="A518" s="17" t="s">
        <v>556</v>
      </c>
      <c r="B518" s="18">
        <v>46217</v>
      </c>
      <c r="C518" s="17" t="s">
        <v>542</v>
      </c>
      <c r="D518" s="17" t="s">
        <v>25</v>
      </c>
      <c r="E518" s="17" t="s">
        <v>13</v>
      </c>
      <c r="F518" s="17" t="s">
        <v>44</v>
      </c>
      <c r="G518" s="19">
        <v>163223</v>
      </c>
      <c r="H518" s="19">
        <v>153000</v>
      </c>
      <c r="I518" s="19">
        <f t="shared" si="16"/>
        <v>-10223</v>
      </c>
      <c r="J518" s="20">
        <f t="shared" si="17"/>
        <v>-6.2632104544089989E-2</v>
      </c>
    </row>
    <row r="519" spans="1:10" x14ac:dyDescent="0.2">
      <c r="A519" s="17" t="s">
        <v>557</v>
      </c>
      <c r="B519" s="18">
        <v>46215</v>
      </c>
      <c r="C519" s="17" t="s">
        <v>542</v>
      </c>
      <c r="D519" s="17" t="s">
        <v>25</v>
      </c>
      <c r="E519" s="17" t="s">
        <v>65</v>
      </c>
      <c r="F519" s="17" t="s">
        <v>29</v>
      </c>
      <c r="G519" s="19">
        <v>28449</v>
      </c>
      <c r="H519" s="19">
        <v>29300</v>
      </c>
      <c r="I519" s="19">
        <f t="shared" si="16"/>
        <v>851</v>
      </c>
      <c r="J519" s="20">
        <f t="shared" si="17"/>
        <v>2.9913177967591128E-2</v>
      </c>
    </row>
    <row r="520" spans="1:10" x14ac:dyDescent="0.2">
      <c r="A520" s="17" t="s">
        <v>558</v>
      </c>
      <c r="B520" s="18">
        <v>46227</v>
      </c>
      <c r="C520" s="17" t="s">
        <v>542</v>
      </c>
      <c r="D520" s="17" t="s">
        <v>49</v>
      </c>
      <c r="E520" s="17" t="s">
        <v>46</v>
      </c>
      <c r="F520" s="17" t="s">
        <v>18</v>
      </c>
      <c r="G520" s="19">
        <v>82113</v>
      </c>
      <c r="H520" s="19">
        <v>76700</v>
      </c>
      <c r="I520" s="19">
        <f t="shared" si="16"/>
        <v>-5413</v>
      </c>
      <c r="J520" s="20">
        <f t="shared" si="17"/>
        <v>-6.5921352282829762E-2</v>
      </c>
    </row>
    <row r="521" spans="1:10" x14ac:dyDescent="0.2">
      <c r="A521" s="17" t="s">
        <v>559</v>
      </c>
      <c r="B521" s="18">
        <v>46223</v>
      </c>
      <c r="C521" s="17" t="s">
        <v>542</v>
      </c>
      <c r="D521" s="17" t="s">
        <v>20</v>
      </c>
      <c r="E521" s="17" t="s">
        <v>13</v>
      </c>
      <c r="F521" s="17" t="s">
        <v>14</v>
      </c>
      <c r="G521" s="19">
        <v>185877</v>
      </c>
      <c r="H521" s="19">
        <v>189800</v>
      </c>
      <c r="I521" s="19">
        <f t="shared" si="16"/>
        <v>3923</v>
      </c>
      <c r="J521" s="20">
        <f t="shared" si="17"/>
        <v>2.1105354616224706E-2</v>
      </c>
    </row>
    <row r="522" spans="1:10" x14ac:dyDescent="0.2">
      <c r="A522" s="17" t="s">
        <v>560</v>
      </c>
      <c r="B522" s="18">
        <v>46221</v>
      </c>
      <c r="C522" s="17" t="s">
        <v>542</v>
      </c>
      <c r="D522" s="17" t="s">
        <v>12</v>
      </c>
      <c r="E522" s="17" t="s">
        <v>26</v>
      </c>
      <c r="F522" s="17" t="s">
        <v>38</v>
      </c>
      <c r="G522" s="19">
        <v>35560</v>
      </c>
      <c r="H522" s="19">
        <v>38300</v>
      </c>
      <c r="I522" s="19">
        <f t="shared" si="16"/>
        <v>2740</v>
      </c>
      <c r="J522" s="20">
        <f t="shared" si="17"/>
        <v>7.7052868391451063E-2</v>
      </c>
    </row>
    <row r="523" spans="1:10" x14ac:dyDescent="0.2">
      <c r="A523" s="17" t="s">
        <v>561</v>
      </c>
      <c r="B523" s="18">
        <v>46212</v>
      </c>
      <c r="C523" s="17" t="s">
        <v>542</v>
      </c>
      <c r="D523" s="17" t="s">
        <v>49</v>
      </c>
      <c r="E523" s="17" t="s">
        <v>17</v>
      </c>
      <c r="F523" s="17" t="s">
        <v>51</v>
      </c>
      <c r="G523" s="19">
        <v>96712</v>
      </c>
      <c r="H523" s="19">
        <v>93400</v>
      </c>
      <c r="I523" s="19">
        <f t="shared" si="16"/>
        <v>-3312</v>
      </c>
      <c r="J523" s="20">
        <f t="shared" si="17"/>
        <v>-3.4246008768301764E-2</v>
      </c>
    </row>
    <row r="524" spans="1:10" x14ac:dyDescent="0.2">
      <c r="A524" s="17" t="s">
        <v>562</v>
      </c>
      <c r="B524" s="18">
        <v>46212</v>
      </c>
      <c r="C524" s="17" t="s">
        <v>542</v>
      </c>
      <c r="D524" s="17" t="s">
        <v>16</v>
      </c>
      <c r="E524" s="17" t="s">
        <v>26</v>
      </c>
      <c r="F524" s="17" t="s">
        <v>51</v>
      </c>
      <c r="G524" s="19">
        <v>127897</v>
      </c>
      <c r="H524" s="19">
        <v>155700</v>
      </c>
      <c r="I524" s="19">
        <f t="shared" si="16"/>
        <v>27803</v>
      </c>
      <c r="J524" s="20">
        <f t="shared" si="17"/>
        <v>0.21738586518839378</v>
      </c>
    </row>
    <row r="525" spans="1:10" x14ac:dyDescent="0.2">
      <c r="A525" s="17" t="s">
        <v>563</v>
      </c>
      <c r="B525" s="18">
        <v>46214</v>
      </c>
      <c r="C525" s="17" t="s">
        <v>542</v>
      </c>
      <c r="D525" s="17" t="s">
        <v>20</v>
      </c>
      <c r="E525" s="17" t="s">
        <v>23</v>
      </c>
      <c r="F525" s="17" t="s">
        <v>41</v>
      </c>
      <c r="G525" s="19">
        <v>85451</v>
      </c>
      <c r="H525" s="19">
        <v>77600</v>
      </c>
      <c r="I525" s="19">
        <f t="shared" si="16"/>
        <v>-7851</v>
      </c>
      <c r="J525" s="20">
        <f t="shared" si="17"/>
        <v>-9.1877216182373531E-2</v>
      </c>
    </row>
    <row r="526" spans="1:10" x14ac:dyDescent="0.2">
      <c r="A526" s="17" t="s">
        <v>564</v>
      </c>
      <c r="B526" s="18">
        <v>46212</v>
      </c>
      <c r="C526" s="17" t="s">
        <v>542</v>
      </c>
      <c r="D526" s="17" t="s">
        <v>16</v>
      </c>
      <c r="E526" s="17" t="s">
        <v>23</v>
      </c>
      <c r="F526" s="17" t="s">
        <v>27</v>
      </c>
      <c r="G526" s="19">
        <v>57269</v>
      </c>
      <c r="H526" s="19">
        <v>61900</v>
      </c>
      <c r="I526" s="19">
        <f t="shared" si="16"/>
        <v>4631</v>
      </c>
      <c r="J526" s="20">
        <f t="shared" si="17"/>
        <v>8.0863992736035201E-2</v>
      </c>
    </row>
    <row r="527" spans="1:10" x14ac:dyDescent="0.2">
      <c r="A527" s="17" t="s">
        <v>565</v>
      </c>
      <c r="B527" s="18">
        <v>46229</v>
      </c>
      <c r="C527" s="17" t="s">
        <v>542</v>
      </c>
      <c r="D527" s="17" t="s">
        <v>25</v>
      </c>
      <c r="E527" s="17" t="s">
        <v>23</v>
      </c>
      <c r="F527" s="17" t="s">
        <v>21</v>
      </c>
      <c r="G527" s="19">
        <v>138486</v>
      </c>
      <c r="H527" s="19">
        <v>121900</v>
      </c>
      <c r="I527" s="19">
        <f t="shared" si="16"/>
        <v>-16586</v>
      </c>
      <c r="J527" s="20">
        <f t="shared" si="17"/>
        <v>-0.11976661900841962</v>
      </c>
    </row>
    <row r="528" spans="1:10" x14ac:dyDescent="0.2">
      <c r="A528" s="17" t="s">
        <v>566</v>
      </c>
      <c r="B528" s="18">
        <v>46215</v>
      </c>
      <c r="C528" s="17" t="s">
        <v>542</v>
      </c>
      <c r="D528" s="17" t="s">
        <v>13</v>
      </c>
      <c r="E528" s="17" t="s">
        <v>65</v>
      </c>
      <c r="F528" s="17" t="s">
        <v>38</v>
      </c>
      <c r="G528" s="19">
        <v>92935</v>
      </c>
      <c r="H528" s="19">
        <v>104800</v>
      </c>
      <c r="I528" s="19">
        <f t="shared" si="16"/>
        <v>11865</v>
      </c>
      <c r="J528" s="20">
        <f t="shared" si="17"/>
        <v>0.12766987679560984</v>
      </c>
    </row>
    <row r="529" spans="1:10" x14ac:dyDescent="0.2">
      <c r="A529" s="17" t="s">
        <v>567</v>
      </c>
      <c r="B529" s="18">
        <v>46228</v>
      </c>
      <c r="C529" s="17" t="s">
        <v>542</v>
      </c>
      <c r="D529" s="17" t="s">
        <v>16</v>
      </c>
      <c r="E529" s="17" t="s">
        <v>17</v>
      </c>
      <c r="F529" s="17" t="s">
        <v>41</v>
      </c>
      <c r="G529" s="19">
        <v>172556</v>
      </c>
      <c r="H529" s="19">
        <v>146800</v>
      </c>
      <c r="I529" s="19">
        <f t="shared" si="16"/>
        <v>-25756</v>
      </c>
      <c r="J529" s="20">
        <f t="shared" si="17"/>
        <v>-0.14926168895894665</v>
      </c>
    </row>
    <row r="530" spans="1:10" x14ac:dyDescent="0.2">
      <c r="A530" s="17" t="s">
        <v>568</v>
      </c>
      <c r="B530" s="18">
        <v>46215</v>
      </c>
      <c r="C530" s="17" t="s">
        <v>542</v>
      </c>
      <c r="D530" s="17" t="s">
        <v>25</v>
      </c>
      <c r="E530" s="17" t="s">
        <v>23</v>
      </c>
      <c r="F530" s="17" t="s">
        <v>14</v>
      </c>
      <c r="G530" s="19">
        <v>186419</v>
      </c>
      <c r="H530" s="19">
        <v>208000</v>
      </c>
      <c r="I530" s="19">
        <f t="shared" si="16"/>
        <v>21581</v>
      </c>
      <c r="J530" s="20">
        <f t="shared" si="17"/>
        <v>0.11576609680343741</v>
      </c>
    </row>
    <row r="531" spans="1:10" x14ac:dyDescent="0.2">
      <c r="A531" s="17" t="s">
        <v>569</v>
      </c>
      <c r="B531" s="18">
        <v>46219</v>
      </c>
      <c r="C531" s="17" t="s">
        <v>542</v>
      </c>
      <c r="D531" s="17" t="s">
        <v>12</v>
      </c>
      <c r="E531" s="17" t="s">
        <v>46</v>
      </c>
      <c r="F531" s="17" t="s">
        <v>44</v>
      </c>
      <c r="G531" s="19">
        <v>132628</v>
      </c>
      <c r="H531" s="19">
        <v>156500</v>
      </c>
      <c r="I531" s="19">
        <f t="shared" si="16"/>
        <v>23872</v>
      </c>
      <c r="J531" s="20">
        <f t="shared" si="17"/>
        <v>0.17999215851856321</v>
      </c>
    </row>
    <row r="532" spans="1:10" x14ac:dyDescent="0.2">
      <c r="A532" s="17" t="s">
        <v>570</v>
      </c>
      <c r="B532" s="18">
        <v>46208</v>
      </c>
      <c r="C532" s="17" t="s">
        <v>542</v>
      </c>
      <c r="D532" s="17" t="s">
        <v>49</v>
      </c>
      <c r="E532" s="17" t="s">
        <v>65</v>
      </c>
      <c r="F532" s="17" t="s">
        <v>38</v>
      </c>
      <c r="G532" s="19">
        <v>108540</v>
      </c>
      <c r="H532" s="19">
        <v>116000</v>
      </c>
      <c r="I532" s="19">
        <f t="shared" si="16"/>
        <v>7460</v>
      </c>
      <c r="J532" s="20">
        <f t="shared" si="17"/>
        <v>6.8730421964252816E-2</v>
      </c>
    </row>
    <row r="533" spans="1:10" x14ac:dyDescent="0.2">
      <c r="A533" s="17" t="s">
        <v>571</v>
      </c>
      <c r="B533" s="18">
        <v>46205</v>
      </c>
      <c r="C533" s="17" t="s">
        <v>542</v>
      </c>
      <c r="D533" s="17" t="s">
        <v>25</v>
      </c>
      <c r="E533" s="17" t="s">
        <v>65</v>
      </c>
      <c r="F533" s="17" t="s">
        <v>32</v>
      </c>
      <c r="G533" s="19">
        <v>198926</v>
      </c>
      <c r="H533" s="19">
        <v>229700</v>
      </c>
      <c r="I533" s="19">
        <f t="shared" si="16"/>
        <v>30774</v>
      </c>
      <c r="J533" s="20">
        <f t="shared" si="17"/>
        <v>0.15470074298985553</v>
      </c>
    </row>
    <row r="534" spans="1:10" x14ac:dyDescent="0.2">
      <c r="A534" s="17" t="s">
        <v>572</v>
      </c>
      <c r="B534" s="18">
        <v>46209</v>
      </c>
      <c r="C534" s="17" t="s">
        <v>542</v>
      </c>
      <c r="D534" s="17" t="s">
        <v>13</v>
      </c>
      <c r="E534" s="17" t="s">
        <v>65</v>
      </c>
      <c r="F534" s="17" t="s">
        <v>32</v>
      </c>
      <c r="G534" s="19">
        <v>52568</v>
      </c>
      <c r="H534" s="19">
        <v>64200</v>
      </c>
      <c r="I534" s="19">
        <f t="shared" si="16"/>
        <v>11632</v>
      </c>
      <c r="J534" s="20">
        <f t="shared" si="17"/>
        <v>0.2212753005630802</v>
      </c>
    </row>
    <row r="535" spans="1:10" x14ac:dyDescent="0.2">
      <c r="A535" s="17" t="s">
        <v>573</v>
      </c>
      <c r="B535" s="18">
        <v>46226</v>
      </c>
      <c r="C535" s="17" t="s">
        <v>542</v>
      </c>
      <c r="D535" s="17" t="s">
        <v>20</v>
      </c>
      <c r="E535" s="17" t="s">
        <v>31</v>
      </c>
      <c r="F535" s="17" t="s">
        <v>51</v>
      </c>
      <c r="G535" s="19">
        <v>132145</v>
      </c>
      <c r="H535" s="19">
        <v>123000</v>
      </c>
      <c r="I535" s="19">
        <f t="shared" si="16"/>
        <v>-9145</v>
      </c>
      <c r="J535" s="20">
        <f t="shared" si="17"/>
        <v>-6.9204283173786366E-2</v>
      </c>
    </row>
    <row r="536" spans="1:10" x14ac:dyDescent="0.2">
      <c r="A536" s="17" t="s">
        <v>574</v>
      </c>
      <c r="B536" s="18">
        <v>46215</v>
      </c>
      <c r="C536" s="17" t="s">
        <v>542</v>
      </c>
      <c r="D536" s="17" t="s">
        <v>12</v>
      </c>
      <c r="E536" s="17" t="s">
        <v>17</v>
      </c>
      <c r="F536" s="17" t="s">
        <v>38</v>
      </c>
      <c r="G536" s="19">
        <v>91832</v>
      </c>
      <c r="H536" s="19">
        <v>81500</v>
      </c>
      <c r="I536" s="19">
        <f t="shared" si="16"/>
        <v>-10332</v>
      </c>
      <c r="J536" s="20">
        <f t="shared" si="17"/>
        <v>-0.1125098005052705</v>
      </c>
    </row>
    <row r="537" spans="1:10" x14ac:dyDescent="0.2">
      <c r="A537" s="17" t="s">
        <v>575</v>
      </c>
      <c r="B537" s="18">
        <v>46209</v>
      </c>
      <c r="C537" s="17" t="s">
        <v>542</v>
      </c>
      <c r="D537" s="17" t="s">
        <v>25</v>
      </c>
      <c r="E537" s="17" t="s">
        <v>23</v>
      </c>
      <c r="F537" s="17" t="s">
        <v>44</v>
      </c>
      <c r="G537" s="19">
        <v>194196</v>
      </c>
      <c r="H537" s="19">
        <v>235300</v>
      </c>
      <c r="I537" s="19">
        <f t="shared" si="16"/>
        <v>41104</v>
      </c>
      <c r="J537" s="20">
        <f t="shared" si="17"/>
        <v>0.21166244412861232</v>
      </c>
    </row>
    <row r="538" spans="1:10" x14ac:dyDescent="0.2">
      <c r="A538" s="17" t="s">
        <v>576</v>
      </c>
      <c r="B538" s="18">
        <v>46206</v>
      </c>
      <c r="C538" s="17" t="s">
        <v>542</v>
      </c>
      <c r="D538" s="17" t="s">
        <v>16</v>
      </c>
      <c r="E538" s="17" t="s">
        <v>17</v>
      </c>
      <c r="F538" s="17" t="s">
        <v>32</v>
      </c>
      <c r="G538" s="19">
        <v>81379</v>
      </c>
      <c r="H538" s="19">
        <v>83100</v>
      </c>
      <c r="I538" s="19">
        <f t="shared" si="16"/>
        <v>1721</v>
      </c>
      <c r="J538" s="20">
        <f t="shared" si="17"/>
        <v>2.114796200493985E-2</v>
      </c>
    </row>
    <row r="539" spans="1:10" x14ac:dyDescent="0.2">
      <c r="A539" s="17" t="s">
        <v>577</v>
      </c>
      <c r="B539" s="18">
        <v>46208</v>
      </c>
      <c r="C539" s="17" t="s">
        <v>542</v>
      </c>
      <c r="D539" s="17" t="s">
        <v>49</v>
      </c>
      <c r="E539" s="17" t="s">
        <v>13</v>
      </c>
      <c r="F539" s="17" t="s">
        <v>21</v>
      </c>
      <c r="G539" s="19">
        <v>75947</v>
      </c>
      <c r="H539" s="19">
        <v>79000</v>
      </c>
      <c r="I539" s="19">
        <f t="shared" si="16"/>
        <v>3053</v>
      </c>
      <c r="J539" s="20">
        <f t="shared" si="17"/>
        <v>4.0199086204853386E-2</v>
      </c>
    </row>
    <row r="540" spans="1:10" x14ac:dyDescent="0.2">
      <c r="A540" s="17" t="s">
        <v>578</v>
      </c>
      <c r="B540" s="18">
        <v>46204</v>
      </c>
      <c r="C540" s="17" t="s">
        <v>542</v>
      </c>
      <c r="D540" s="17" t="s">
        <v>16</v>
      </c>
      <c r="E540" s="17" t="s">
        <v>46</v>
      </c>
      <c r="F540" s="17" t="s">
        <v>29</v>
      </c>
      <c r="G540" s="19">
        <v>198253</v>
      </c>
      <c r="H540" s="19">
        <v>203800</v>
      </c>
      <c r="I540" s="19">
        <f t="shared" si="16"/>
        <v>5547</v>
      </c>
      <c r="J540" s="20">
        <f t="shared" si="17"/>
        <v>2.7979400059519908E-2</v>
      </c>
    </row>
    <row r="541" spans="1:10" x14ac:dyDescent="0.2">
      <c r="A541" s="17" t="s">
        <v>579</v>
      </c>
      <c r="B541" s="18">
        <v>46219</v>
      </c>
      <c r="C541" s="17" t="s">
        <v>542</v>
      </c>
      <c r="D541" s="17" t="s">
        <v>25</v>
      </c>
      <c r="E541" s="17" t="s">
        <v>13</v>
      </c>
      <c r="F541" s="17" t="s">
        <v>27</v>
      </c>
      <c r="G541" s="19">
        <v>130707</v>
      </c>
      <c r="H541" s="19">
        <v>147400</v>
      </c>
      <c r="I541" s="19">
        <f t="shared" si="16"/>
        <v>16693</v>
      </c>
      <c r="J541" s="20">
        <f t="shared" si="17"/>
        <v>0.12771312936568049</v>
      </c>
    </row>
    <row r="542" spans="1:10" x14ac:dyDescent="0.2">
      <c r="A542" s="17" t="s">
        <v>580</v>
      </c>
      <c r="B542" s="18">
        <v>46207</v>
      </c>
      <c r="C542" s="17" t="s">
        <v>542</v>
      </c>
      <c r="D542" s="17" t="s">
        <v>25</v>
      </c>
      <c r="E542" s="17" t="s">
        <v>46</v>
      </c>
      <c r="F542" s="17" t="s">
        <v>38</v>
      </c>
      <c r="G542" s="19">
        <v>43417</v>
      </c>
      <c r="H542" s="19">
        <v>49600</v>
      </c>
      <c r="I542" s="19">
        <f t="shared" si="16"/>
        <v>6183</v>
      </c>
      <c r="J542" s="20">
        <f t="shared" si="17"/>
        <v>0.14240965520418269</v>
      </c>
    </row>
    <row r="543" spans="1:10" x14ac:dyDescent="0.2">
      <c r="A543" s="17" t="s">
        <v>581</v>
      </c>
      <c r="B543" s="18">
        <v>46228</v>
      </c>
      <c r="C543" s="17" t="s">
        <v>542</v>
      </c>
      <c r="D543" s="17" t="s">
        <v>20</v>
      </c>
      <c r="E543" s="17" t="s">
        <v>26</v>
      </c>
      <c r="F543" s="17" t="s">
        <v>29</v>
      </c>
      <c r="G543" s="19">
        <v>98447</v>
      </c>
      <c r="H543" s="19">
        <v>89100</v>
      </c>
      <c r="I543" s="19">
        <f t="shared" si="16"/>
        <v>-9347</v>
      </c>
      <c r="J543" s="20">
        <f t="shared" si="17"/>
        <v>-9.4944487897041047E-2</v>
      </c>
    </row>
    <row r="544" spans="1:10" x14ac:dyDescent="0.2">
      <c r="A544" s="17" t="s">
        <v>582</v>
      </c>
      <c r="B544" s="18">
        <v>46223</v>
      </c>
      <c r="C544" s="17" t="s">
        <v>542</v>
      </c>
      <c r="D544" s="17" t="s">
        <v>16</v>
      </c>
      <c r="E544" s="17" t="s">
        <v>26</v>
      </c>
      <c r="F544" s="17" t="s">
        <v>41</v>
      </c>
      <c r="G544" s="19">
        <v>159069</v>
      </c>
      <c r="H544" s="19">
        <v>171000</v>
      </c>
      <c r="I544" s="19">
        <f t="shared" si="16"/>
        <v>11931</v>
      </c>
      <c r="J544" s="20">
        <f t="shared" si="17"/>
        <v>7.5005186428531018E-2</v>
      </c>
    </row>
    <row r="545" spans="1:10" x14ac:dyDescent="0.2">
      <c r="A545" s="17" t="s">
        <v>583</v>
      </c>
      <c r="B545" s="18">
        <v>46224</v>
      </c>
      <c r="C545" s="17" t="s">
        <v>542</v>
      </c>
      <c r="D545" s="17" t="s">
        <v>16</v>
      </c>
      <c r="E545" s="17" t="s">
        <v>26</v>
      </c>
      <c r="F545" s="17" t="s">
        <v>27</v>
      </c>
      <c r="G545" s="19">
        <v>112061</v>
      </c>
      <c r="H545" s="19">
        <v>127600</v>
      </c>
      <c r="I545" s="19">
        <f t="shared" si="16"/>
        <v>15539</v>
      </c>
      <c r="J545" s="20">
        <f t="shared" si="17"/>
        <v>0.13866554822819716</v>
      </c>
    </row>
    <row r="546" spans="1:10" x14ac:dyDescent="0.2">
      <c r="A546" s="17" t="s">
        <v>584</v>
      </c>
      <c r="B546" s="18">
        <v>46231</v>
      </c>
      <c r="C546" s="17" t="s">
        <v>542</v>
      </c>
      <c r="D546" s="17" t="s">
        <v>20</v>
      </c>
      <c r="E546" s="17" t="s">
        <v>17</v>
      </c>
      <c r="F546" s="17" t="s">
        <v>29</v>
      </c>
      <c r="G546" s="19">
        <v>181500</v>
      </c>
      <c r="H546" s="19">
        <v>204100</v>
      </c>
      <c r="I546" s="19">
        <f t="shared" si="16"/>
        <v>22600</v>
      </c>
      <c r="J546" s="20">
        <f t="shared" si="17"/>
        <v>0.12451790633608815</v>
      </c>
    </row>
    <row r="547" spans="1:10" x14ac:dyDescent="0.2">
      <c r="A547" s="17" t="s">
        <v>585</v>
      </c>
      <c r="B547" s="18">
        <v>46222</v>
      </c>
      <c r="C547" s="17" t="s">
        <v>542</v>
      </c>
      <c r="D547" s="17" t="s">
        <v>16</v>
      </c>
      <c r="E547" s="17" t="s">
        <v>23</v>
      </c>
      <c r="F547" s="17" t="s">
        <v>38</v>
      </c>
      <c r="G547" s="19">
        <v>56703</v>
      </c>
      <c r="H547" s="19">
        <v>65300</v>
      </c>
      <c r="I547" s="19">
        <f t="shared" si="16"/>
        <v>8597</v>
      </c>
      <c r="J547" s="20">
        <f t="shared" si="17"/>
        <v>0.15161455302188598</v>
      </c>
    </row>
    <row r="548" spans="1:10" x14ac:dyDescent="0.2">
      <c r="A548" s="17" t="s">
        <v>586</v>
      </c>
      <c r="B548" s="18">
        <v>46208</v>
      </c>
      <c r="C548" s="17" t="s">
        <v>542</v>
      </c>
      <c r="D548" s="17" t="s">
        <v>20</v>
      </c>
      <c r="E548" s="17" t="s">
        <v>31</v>
      </c>
      <c r="F548" s="17" t="s">
        <v>29</v>
      </c>
      <c r="G548" s="19">
        <v>132561</v>
      </c>
      <c r="H548" s="19">
        <v>129400</v>
      </c>
      <c r="I548" s="19">
        <f t="shared" si="16"/>
        <v>-3161</v>
      </c>
      <c r="J548" s="20">
        <f t="shared" si="17"/>
        <v>-2.384562578737336E-2</v>
      </c>
    </row>
    <row r="549" spans="1:10" x14ac:dyDescent="0.2">
      <c r="A549" s="17" t="s">
        <v>587</v>
      </c>
      <c r="B549" s="18">
        <v>46223</v>
      </c>
      <c r="C549" s="17" t="s">
        <v>542</v>
      </c>
      <c r="D549" s="17" t="s">
        <v>16</v>
      </c>
      <c r="E549" s="17" t="s">
        <v>31</v>
      </c>
      <c r="F549" s="17" t="s">
        <v>32</v>
      </c>
      <c r="G549" s="19">
        <v>85055</v>
      </c>
      <c r="H549" s="19">
        <v>91100</v>
      </c>
      <c r="I549" s="19">
        <f t="shared" si="16"/>
        <v>6045</v>
      </c>
      <c r="J549" s="20">
        <f t="shared" si="17"/>
        <v>7.107165951443184E-2</v>
      </c>
    </row>
    <row r="550" spans="1:10" x14ac:dyDescent="0.2">
      <c r="A550" s="17" t="s">
        <v>588</v>
      </c>
      <c r="B550" s="18">
        <v>46210</v>
      </c>
      <c r="C550" s="17" t="s">
        <v>542</v>
      </c>
      <c r="D550" s="17" t="s">
        <v>49</v>
      </c>
      <c r="E550" s="17" t="s">
        <v>13</v>
      </c>
      <c r="F550" s="17" t="s">
        <v>27</v>
      </c>
      <c r="G550" s="19">
        <v>192597</v>
      </c>
      <c r="H550" s="19">
        <v>231200</v>
      </c>
      <c r="I550" s="19">
        <f t="shared" si="16"/>
        <v>38603</v>
      </c>
      <c r="J550" s="20">
        <f t="shared" si="17"/>
        <v>0.20043406698962082</v>
      </c>
    </row>
    <row r="551" spans="1:10" x14ac:dyDescent="0.2">
      <c r="A551" s="17" t="s">
        <v>589</v>
      </c>
      <c r="B551" s="18">
        <v>46229</v>
      </c>
      <c r="C551" s="17" t="s">
        <v>542</v>
      </c>
      <c r="D551" s="17" t="s">
        <v>20</v>
      </c>
      <c r="E551" s="17" t="s">
        <v>65</v>
      </c>
      <c r="F551" s="17" t="s">
        <v>27</v>
      </c>
      <c r="G551" s="19">
        <v>97474</v>
      </c>
      <c r="H551" s="19">
        <v>108000</v>
      </c>
      <c r="I551" s="19">
        <f t="shared" si="16"/>
        <v>10526</v>
      </c>
      <c r="J551" s="20">
        <f t="shared" si="17"/>
        <v>0.10798777109793381</v>
      </c>
    </row>
    <row r="552" spans="1:10" x14ac:dyDescent="0.2">
      <c r="A552" s="17" t="s">
        <v>590</v>
      </c>
      <c r="B552" s="18">
        <v>46224</v>
      </c>
      <c r="C552" s="17" t="s">
        <v>542</v>
      </c>
      <c r="D552" s="17" t="s">
        <v>49</v>
      </c>
      <c r="E552" s="17" t="s">
        <v>17</v>
      </c>
      <c r="F552" s="17" t="s">
        <v>21</v>
      </c>
      <c r="G552" s="19">
        <v>49555</v>
      </c>
      <c r="H552" s="19">
        <v>46900</v>
      </c>
      <c r="I552" s="19">
        <f t="shared" si="16"/>
        <v>-2655</v>
      </c>
      <c r="J552" s="20">
        <f t="shared" si="17"/>
        <v>-5.3576833821006961E-2</v>
      </c>
    </row>
    <row r="553" spans="1:10" x14ac:dyDescent="0.2">
      <c r="A553" s="17" t="s">
        <v>591</v>
      </c>
      <c r="B553" s="18">
        <v>46214</v>
      </c>
      <c r="C553" s="17" t="s">
        <v>542</v>
      </c>
      <c r="D553" s="17" t="s">
        <v>20</v>
      </c>
      <c r="E553" s="17" t="s">
        <v>23</v>
      </c>
      <c r="F553" s="17" t="s">
        <v>18</v>
      </c>
      <c r="G553" s="19">
        <v>23163</v>
      </c>
      <c r="H553" s="19">
        <v>28800</v>
      </c>
      <c r="I553" s="19">
        <f t="shared" si="16"/>
        <v>5637</v>
      </c>
      <c r="J553" s="20">
        <f t="shared" si="17"/>
        <v>0.24336225877477011</v>
      </c>
    </row>
    <row r="554" spans="1:10" x14ac:dyDescent="0.2">
      <c r="A554" s="17" t="s">
        <v>592</v>
      </c>
      <c r="B554" s="18">
        <v>46225</v>
      </c>
      <c r="C554" s="17" t="s">
        <v>542</v>
      </c>
      <c r="D554" s="17" t="s">
        <v>20</v>
      </c>
      <c r="E554" s="17" t="s">
        <v>65</v>
      </c>
      <c r="F554" s="17" t="s">
        <v>29</v>
      </c>
      <c r="G554" s="19">
        <v>130326</v>
      </c>
      <c r="H554" s="19">
        <v>129800</v>
      </c>
      <c r="I554" s="19">
        <f t="shared" si="16"/>
        <v>-526</v>
      </c>
      <c r="J554" s="20">
        <f t="shared" si="17"/>
        <v>-4.0360327179534399E-3</v>
      </c>
    </row>
    <row r="555" spans="1:10" x14ac:dyDescent="0.2">
      <c r="A555" s="17" t="s">
        <v>593</v>
      </c>
      <c r="B555" s="18">
        <v>46204</v>
      </c>
      <c r="C555" s="17" t="s">
        <v>542</v>
      </c>
      <c r="D555" s="17" t="s">
        <v>12</v>
      </c>
      <c r="E555" s="17" t="s">
        <v>13</v>
      </c>
      <c r="F555" s="17" t="s">
        <v>32</v>
      </c>
      <c r="G555" s="19">
        <v>24375</v>
      </c>
      <c r="H555" s="19">
        <v>26400</v>
      </c>
      <c r="I555" s="19">
        <f t="shared" si="16"/>
        <v>2025</v>
      </c>
      <c r="J555" s="20">
        <f t="shared" si="17"/>
        <v>8.3076923076923076E-2</v>
      </c>
    </row>
    <row r="556" spans="1:10" x14ac:dyDescent="0.2">
      <c r="A556" s="17" t="s">
        <v>594</v>
      </c>
      <c r="B556" s="18">
        <v>46216</v>
      </c>
      <c r="C556" s="17" t="s">
        <v>542</v>
      </c>
      <c r="D556" s="17" t="s">
        <v>49</v>
      </c>
      <c r="E556" s="17" t="s">
        <v>31</v>
      </c>
      <c r="F556" s="17" t="s">
        <v>21</v>
      </c>
      <c r="G556" s="19">
        <v>35851</v>
      </c>
      <c r="H556" s="19">
        <v>44100</v>
      </c>
      <c r="I556" s="19">
        <f t="shared" si="16"/>
        <v>8249</v>
      </c>
      <c r="J556" s="20">
        <f t="shared" si="17"/>
        <v>0.23009121084488579</v>
      </c>
    </row>
    <row r="557" spans="1:10" x14ac:dyDescent="0.2">
      <c r="A557" s="17" t="s">
        <v>595</v>
      </c>
      <c r="B557" s="18">
        <v>46216</v>
      </c>
      <c r="C557" s="17" t="s">
        <v>542</v>
      </c>
      <c r="D557" s="17" t="s">
        <v>25</v>
      </c>
      <c r="E557" s="17" t="s">
        <v>26</v>
      </c>
      <c r="F557" s="17" t="s">
        <v>44</v>
      </c>
      <c r="G557" s="19">
        <v>128903</v>
      </c>
      <c r="H557" s="19">
        <v>131400</v>
      </c>
      <c r="I557" s="19">
        <f t="shared" si="16"/>
        <v>2497</v>
      </c>
      <c r="J557" s="20">
        <f t="shared" si="17"/>
        <v>1.9371155054575921E-2</v>
      </c>
    </row>
    <row r="558" spans="1:10" x14ac:dyDescent="0.2">
      <c r="A558" s="17" t="s">
        <v>596</v>
      </c>
      <c r="B558" s="18">
        <v>46220</v>
      </c>
      <c r="C558" s="17" t="s">
        <v>542</v>
      </c>
      <c r="D558" s="17" t="s">
        <v>20</v>
      </c>
      <c r="E558" s="17" t="s">
        <v>26</v>
      </c>
      <c r="F558" s="17" t="s">
        <v>21</v>
      </c>
      <c r="G558" s="19">
        <v>41914</v>
      </c>
      <c r="H558" s="19">
        <v>40800</v>
      </c>
      <c r="I558" s="19">
        <f t="shared" si="16"/>
        <v>-1114</v>
      </c>
      <c r="J558" s="20">
        <f t="shared" si="17"/>
        <v>-2.6578231617120772E-2</v>
      </c>
    </row>
    <row r="559" spans="1:10" x14ac:dyDescent="0.2">
      <c r="A559" s="17" t="s">
        <v>597</v>
      </c>
      <c r="B559" s="18">
        <v>46224</v>
      </c>
      <c r="C559" s="17" t="s">
        <v>542</v>
      </c>
      <c r="D559" s="17" t="s">
        <v>16</v>
      </c>
      <c r="E559" s="17" t="s">
        <v>17</v>
      </c>
      <c r="F559" s="17" t="s">
        <v>44</v>
      </c>
      <c r="G559" s="19">
        <v>105655</v>
      </c>
      <c r="H559" s="19">
        <v>106300</v>
      </c>
      <c r="I559" s="19">
        <f t="shared" si="16"/>
        <v>645</v>
      </c>
      <c r="J559" s="20">
        <f t="shared" si="17"/>
        <v>6.1047749751549857E-3</v>
      </c>
    </row>
    <row r="560" spans="1:10" x14ac:dyDescent="0.2">
      <c r="A560" s="17" t="s">
        <v>598</v>
      </c>
      <c r="B560" s="18">
        <v>46231</v>
      </c>
      <c r="C560" s="17" t="s">
        <v>542</v>
      </c>
      <c r="D560" s="17" t="s">
        <v>20</v>
      </c>
      <c r="E560" s="17" t="s">
        <v>35</v>
      </c>
      <c r="F560" s="17" t="s">
        <v>14</v>
      </c>
      <c r="G560" s="19">
        <v>134684</v>
      </c>
      <c r="H560" s="19">
        <v>153800</v>
      </c>
      <c r="I560" s="19">
        <f t="shared" si="16"/>
        <v>19116</v>
      </c>
      <c r="J560" s="20">
        <f t="shared" si="17"/>
        <v>0.14193222654509816</v>
      </c>
    </row>
    <row r="561" spans="1:10" x14ac:dyDescent="0.2">
      <c r="A561" s="17" t="s">
        <v>599</v>
      </c>
      <c r="B561" s="18">
        <v>46207</v>
      </c>
      <c r="C561" s="17" t="s">
        <v>542</v>
      </c>
      <c r="D561" s="17" t="s">
        <v>13</v>
      </c>
      <c r="E561" s="17" t="s">
        <v>35</v>
      </c>
      <c r="F561" s="17" t="s">
        <v>44</v>
      </c>
      <c r="G561" s="19">
        <v>42600</v>
      </c>
      <c r="H561" s="19">
        <v>52000</v>
      </c>
      <c r="I561" s="19">
        <f t="shared" si="16"/>
        <v>9400</v>
      </c>
      <c r="J561" s="20">
        <f t="shared" si="17"/>
        <v>0.22065727699530516</v>
      </c>
    </row>
    <row r="562" spans="1:10" x14ac:dyDescent="0.2">
      <c r="A562" s="17" t="s">
        <v>600</v>
      </c>
      <c r="B562" s="18">
        <v>46227</v>
      </c>
      <c r="C562" s="17" t="s">
        <v>542</v>
      </c>
      <c r="D562" s="17" t="s">
        <v>20</v>
      </c>
      <c r="E562" s="17" t="s">
        <v>17</v>
      </c>
      <c r="F562" s="17" t="s">
        <v>32</v>
      </c>
      <c r="G562" s="19">
        <v>194608</v>
      </c>
      <c r="H562" s="19">
        <v>223200</v>
      </c>
      <c r="I562" s="19">
        <f t="shared" si="16"/>
        <v>28592</v>
      </c>
      <c r="J562" s="20">
        <f t="shared" si="17"/>
        <v>0.14692098988736332</v>
      </c>
    </row>
    <row r="563" spans="1:10" x14ac:dyDescent="0.2">
      <c r="A563" s="17" t="s">
        <v>601</v>
      </c>
      <c r="B563" s="18">
        <v>46209</v>
      </c>
      <c r="C563" s="17" t="s">
        <v>542</v>
      </c>
      <c r="D563" s="17" t="s">
        <v>13</v>
      </c>
      <c r="E563" s="17" t="s">
        <v>46</v>
      </c>
      <c r="F563" s="17" t="s">
        <v>21</v>
      </c>
      <c r="G563" s="19">
        <v>55969</v>
      </c>
      <c r="H563" s="19">
        <v>63300</v>
      </c>
      <c r="I563" s="19">
        <f t="shared" si="16"/>
        <v>7331</v>
      </c>
      <c r="J563" s="20">
        <f t="shared" si="17"/>
        <v>0.13098322285550931</v>
      </c>
    </row>
    <row r="564" spans="1:10" x14ac:dyDescent="0.2">
      <c r="A564" s="17" t="s">
        <v>602</v>
      </c>
      <c r="B564" s="18">
        <v>46227</v>
      </c>
      <c r="C564" s="17" t="s">
        <v>542</v>
      </c>
      <c r="D564" s="17" t="s">
        <v>12</v>
      </c>
      <c r="E564" s="17" t="s">
        <v>26</v>
      </c>
      <c r="F564" s="17" t="s">
        <v>38</v>
      </c>
      <c r="G564" s="19">
        <v>155586</v>
      </c>
      <c r="H564" s="19">
        <v>181000</v>
      </c>
      <c r="I564" s="19">
        <f t="shared" si="16"/>
        <v>25414</v>
      </c>
      <c r="J564" s="20">
        <f t="shared" si="17"/>
        <v>0.16334374558122197</v>
      </c>
    </row>
    <row r="565" spans="1:10" x14ac:dyDescent="0.2">
      <c r="A565" s="17" t="s">
        <v>603</v>
      </c>
      <c r="B565" s="18">
        <v>46231</v>
      </c>
      <c r="C565" s="17" t="s">
        <v>542</v>
      </c>
      <c r="D565" s="17" t="s">
        <v>12</v>
      </c>
      <c r="E565" s="17" t="s">
        <v>17</v>
      </c>
      <c r="F565" s="17" t="s">
        <v>32</v>
      </c>
      <c r="G565" s="19">
        <v>53274</v>
      </c>
      <c r="H565" s="19">
        <v>61300</v>
      </c>
      <c r="I565" s="19">
        <f t="shared" si="16"/>
        <v>8026</v>
      </c>
      <c r="J565" s="20">
        <f t="shared" si="17"/>
        <v>0.15065510380298081</v>
      </c>
    </row>
    <row r="566" spans="1:10" x14ac:dyDescent="0.2">
      <c r="A566" s="17" t="s">
        <v>604</v>
      </c>
      <c r="B566" s="18">
        <v>46212</v>
      </c>
      <c r="C566" s="17" t="s">
        <v>542</v>
      </c>
      <c r="D566" s="17" t="s">
        <v>49</v>
      </c>
      <c r="E566" s="17" t="s">
        <v>17</v>
      </c>
      <c r="F566" s="17" t="s">
        <v>44</v>
      </c>
      <c r="G566" s="19">
        <v>107821</v>
      </c>
      <c r="H566" s="19">
        <v>126500</v>
      </c>
      <c r="I566" s="19">
        <f t="shared" si="16"/>
        <v>18679</v>
      </c>
      <c r="J566" s="20">
        <f t="shared" si="17"/>
        <v>0.17324083434581389</v>
      </c>
    </row>
    <row r="567" spans="1:10" x14ac:dyDescent="0.2">
      <c r="A567" s="17" t="s">
        <v>605</v>
      </c>
      <c r="B567" s="18">
        <v>46219</v>
      </c>
      <c r="C567" s="17" t="s">
        <v>542</v>
      </c>
      <c r="D567" s="17" t="s">
        <v>13</v>
      </c>
      <c r="E567" s="17" t="s">
        <v>46</v>
      </c>
      <c r="F567" s="17" t="s">
        <v>32</v>
      </c>
      <c r="G567" s="19">
        <v>171165</v>
      </c>
      <c r="H567" s="19">
        <v>188500</v>
      </c>
      <c r="I567" s="19">
        <f t="shared" si="16"/>
        <v>17335</v>
      </c>
      <c r="J567" s="20">
        <f t="shared" si="17"/>
        <v>0.10127654602284346</v>
      </c>
    </row>
    <row r="568" spans="1:10" x14ac:dyDescent="0.2">
      <c r="A568" s="17" t="s">
        <v>606</v>
      </c>
      <c r="B568" s="18">
        <v>46209</v>
      </c>
      <c r="C568" s="17" t="s">
        <v>542</v>
      </c>
      <c r="D568" s="17" t="s">
        <v>12</v>
      </c>
      <c r="E568" s="17" t="s">
        <v>26</v>
      </c>
      <c r="F568" s="17" t="s">
        <v>44</v>
      </c>
      <c r="G568" s="19">
        <v>150969</v>
      </c>
      <c r="H568" s="19">
        <v>180200</v>
      </c>
      <c r="I568" s="19">
        <f t="shared" si="16"/>
        <v>29231</v>
      </c>
      <c r="J568" s="20">
        <f t="shared" si="17"/>
        <v>0.19362253177804714</v>
      </c>
    </row>
    <row r="569" spans="1:10" x14ac:dyDescent="0.2">
      <c r="A569" s="17" t="s">
        <v>607</v>
      </c>
      <c r="B569" s="18">
        <v>46225</v>
      </c>
      <c r="C569" s="17" t="s">
        <v>542</v>
      </c>
      <c r="D569" s="17" t="s">
        <v>16</v>
      </c>
      <c r="E569" s="17" t="s">
        <v>17</v>
      </c>
      <c r="F569" s="17" t="s">
        <v>14</v>
      </c>
      <c r="G569" s="19">
        <v>46975</v>
      </c>
      <c r="H569" s="19">
        <v>56700</v>
      </c>
      <c r="I569" s="19">
        <f t="shared" si="16"/>
        <v>9725</v>
      </c>
      <c r="J569" s="20">
        <f t="shared" si="17"/>
        <v>0.20702501330494943</v>
      </c>
    </row>
    <row r="570" spans="1:10" x14ac:dyDescent="0.2">
      <c r="A570" s="17" t="s">
        <v>608</v>
      </c>
      <c r="B570" s="18">
        <v>46231</v>
      </c>
      <c r="C570" s="17" t="s">
        <v>542</v>
      </c>
      <c r="D570" s="17" t="s">
        <v>25</v>
      </c>
      <c r="E570" s="17" t="s">
        <v>13</v>
      </c>
      <c r="F570" s="17" t="s">
        <v>32</v>
      </c>
      <c r="G570" s="19">
        <v>153385</v>
      </c>
      <c r="H570" s="19">
        <v>130500</v>
      </c>
      <c r="I570" s="19">
        <f t="shared" si="16"/>
        <v>-22885</v>
      </c>
      <c r="J570" s="20">
        <f t="shared" si="17"/>
        <v>-0.14919972617922223</v>
      </c>
    </row>
    <row r="571" spans="1:10" x14ac:dyDescent="0.2">
      <c r="A571" s="17" t="s">
        <v>609</v>
      </c>
      <c r="B571" s="18">
        <v>46208</v>
      </c>
      <c r="C571" s="17" t="s">
        <v>542</v>
      </c>
      <c r="D571" s="17" t="s">
        <v>20</v>
      </c>
      <c r="E571" s="17" t="s">
        <v>35</v>
      </c>
      <c r="F571" s="17" t="s">
        <v>21</v>
      </c>
      <c r="G571" s="19">
        <v>143670</v>
      </c>
      <c r="H571" s="19">
        <v>143000</v>
      </c>
      <c r="I571" s="19">
        <f t="shared" si="16"/>
        <v>-670</v>
      </c>
      <c r="J571" s="20">
        <f t="shared" si="17"/>
        <v>-4.6634648848054572E-3</v>
      </c>
    </row>
    <row r="572" spans="1:10" x14ac:dyDescent="0.2">
      <c r="A572" s="17" t="s">
        <v>610</v>
      </c>
      <c r="B572" s="18">
        <v>46214</v>
      </c>
      <c r="C572" s="17" t="s">
        <v>542</v>
      </c>
      <c r="D572" s="17" t="s">
        <v>20</v>
      </c>
      <c r="E572" s="17" t="s">
        <v>23</v>
      </c>
      <c r="F572" s="17" t="s">
        <v>38</v>
      </c>
      <c r="G572" s="19">
        <v>191888</v>
      </c>
      <c r="H572" s="19">
        <v>195300</v>
      </c>
      <c r="I572" s="19">
        <f t="shared" si="16"/>
        <v>3412</v>
      </c>
      <c r="J572" s="20">
        <f t="shared" si="17"/>
        <v>1.778120570332694E-2</v>
      </c>
    </row>
    <row r="573" spans="1:10" x14ac:dyDescent="0.2">
      <c r="A573" s="17" t="s">
        <v>611</v>
      </c>
      <c r="B573" s="18">
        <v>46222</v>
      </c>
      <c r="C573" s="17" t="s">
        <v>542</v>
      </c>
      <c r="D573" s="17" t="s">
        <v>12</v>
      </c>
      <c r="E573" s="17" t="s">
        <v>17</v>
      </c>
      <c r="F573" s="17" t="s">
        <v>21</v>
      </c>
      <c r="G573" s="19">
        <v>91108</v>
      </c>
      <c r="H573" s="19">
        <v>107500</v>
      </c>
      <c r="I573" s="19">
        <f t="shared" si="16"/>
        <v>16392</v>
      </c>
      <c r="J573" s="20">
        <f t="shared" si="17"/>
        <v>0.17991833867497914</v>
      </c>
    </row>
    <row r="574" spans="1:10" x14ac:dyDescent="0.2">
      <c r="A574" s="17" t="s">
        <v>612</v>
      </c>
      <c r="B574" s="18">
        <v>46209</v>
      </c>
      <c r="C574" s="17" t="s">
        <v>542</v>
      </c>
      <c r="D574" s="17" t="s">
        <v>20</v>
      </c>
      <c r="E574" s="17" t="s">
        <v>35</v>
      </c>
      <c r="F574" s="17" t="s">
        <v>27</v>
      </c>
      <c r="G574" s="19">
        <v>196508</v>
      </c>
      <c r="H574" s="19">
        <v>237900</v>
      </c>
      <c r="I574" s="19">
        <f t="shared" si="16"/>
        <v>41392</v>
      </c>
      <c r="J574" s="20">
        <f t="shared" si="17"/>
        <v>0.21063773485048956</v>
      </c>
    </row>
    <row r="575" spans="1:10" x14ac:dyDescent="0.2">
      <c r="A575" s="17" t="s">
        <v>613</v>
      </c>
      <c r="B575" s="18">
        <v>46231</v>
      </c>
      <c r="C575" s="17" t="s">
        <v>542</v>
      </c>
      <c r="D575" s="17" t="s">
        <v>12</v>
      </c>
      <c r="E575" s="17" t="s">
        <v>31</v>
      </c>
      <c r="F575" s="17" t="s">
        <v>38</v>
      </c>
      <c r="G575" s="19">
        <v>38068</v>
      </c>
      <c r="H575" s="19">
        <v>45700</v>
      </c>
      <c r="I575" s="19">
        <f t="shared" si="16"/>
        <v>7632</v>
      </c>
      <c r="J575" s="20">
        <f t="shared" si="17"/>
        <v>0.20048334559209835</v>
      </c>
    </row>
    <row r="576" spans="1:10" x14ac:dyDescent="0.2">
      <c r="A576" s="17" t="s">
        <v>614</v>
      </c>
      <c r="B576" s="18">
        <v>46204</v>
      </c>
      <c r="C576" s="17" t="s">
        <v>542</v>
      </c>
      <c r="D576" s="17" t="s">
        <v>12</v>
      </c>
      <c r="E576" s="17" t="s">
        <v>13</v>
      </c>
      <c r="F576" s="17" t="s">
        <v>44</v>
      </c>
      <c r="G576" s="19">
        <v>42645</v>
      </c>
      <c r="H576" s="19">
        <v>45700</v>
      </c>
      <c r="I576" s="19">
        <f t="shared" si="16"/>
        <v>3055</v>
      </c>
      <c r="J576" s="20">
        <f t="shared" si="17"/>
        <v>7.1637941141986169E-2</v>
      </c>
    </row>
    <row r="577" spans="1:10" x14ac:dyDescent="0.2">
      <c r="A577" s="17" t="s">
        <v>615</v>
      </c>
      <c r="B577" s="18">
        <v>46227</v>
      </c>
      <c r="C577" s="17" t="s">
        <v>542</v>
      </c>
      <c r="D577" s="17" t="s">
        <v>49</v>
      </c>
      <c r="E577" s="17" t="s">
        <v>13</v>
      </c>
      <c r="F577" s="17" t="s">
        <v>41</v>
      </c>
      <c r="G577" s="19">
        <v>167798</v>
      </c>
      <c r="H577" s="19">
        <v>195300</v>
      </c>
      <c r="I577" s="19">
        <f t="shared" si="16"/>
        <v>27502</v>
      </c>
      <c r="J577" s="20">
        <f t="shared" si="17"/>
        <v>0.1638994505298037</v>
      </c>
    </row>
    <row r="578" spans="1:10" x14ac:dyDescent="0.2">
      <c r="A578" s="17" t="s">
        <v>616</v>
      </c>
      <c r="B578" s="18">
        <v>46219</v>
      </c>
      <c r="C578" s="17" t="s">
        <v>542</v>
      </c>
      <c r="D578" s="17" t="s">
        <v>20</v>
      </c>
      <c r="E578" s="17" t="s">
        <v>13</v>
      </c>
      <c r="F578" s="17" t="s">
        <v>51</v>
      </c>
      <c r="G578" s="19">
        <v>116540</v>
      </c>
      <c r="H578" s="19">
        <v>126600</v>
      </c>
      <c r="I578" s="19">
        <f t="shared" ref="I578:I641" si="18">H578-G578</f>
        <v>10060</v>
      </c>
      <c r="J578" s="20">
        <f t="shared" ref="J578:J641" si="19">IFERROR(I578/G578,0)</f>
        <v>8.6322292775012868E-2</v>
      </c>
    </row>
    <row r="579" spans="1:10" x14ac:dyDescent="0.2">
      <c r="A579" s="17" t="s">
        <v>617</v>
      </c>
      <c r="B579" s="18">
        <v>46204</v>
      </c>
      <c r="C579" s="17" t="s">
        <v>542</v>
      </c>
      <c r="D579" s="17" t="s">
        <v>20</v>
      </c>
      <c r="E579" s="17" t="s">
        <v>46</v>
      </c>
      <c r="F579" s="17" t="s">
        <v>32</v>
      </c>
      <c r="G579" s="19">
        <v>21671</v>
      </c>
      <c r="H579" s="19">
        <v>26500</v>
      </c>
      <c r="I579" s="19">
        <f t="shared" si="18"/>
        <v>4829</v>
      </c>
      <c r="J579" s="20">
        <f t="shared" si="19"/>
        <v>0.22283235660560197</v>
      </c>
    </row>
    <row r="580" spans="1:10" x14ac:dyDescent="0.2">
      <c r="A580" s="17" t="s">
        <v>618</v>
      </c>
      <c r="B580" s="18">
        <v>46225</v>
      </c>
      <c r="C580" s="17" t="s">
        <v>542</v>
      </c>
      <c r="D580" s="17" t="s">
        <v>13</v>
      </c>
      <c r="E580" s="17" t="s">
        <v>31</v>
      </c>
      <c r="F580" s="17" t="s">
        <v>29</v>
      </c>
      <c r="G580" s="19">
        <v>107822</v>
      </c>
      <c r="H580" s="19">
        <v>91700</v>
      </c>
      <c r="I580" s="19">
        <f t="shared" si="18"/>
        <v>-16122</v>
      </c>
      <c r="J580" s="20">
        <f t="shared" si="19"/>
        <v>-0.14952421583721318</v>
      </c>
    </row>
    <row r="581" spans="1:10" x14ac:dyDescent="0.2">
      <c r="A581" s="17" t="s">
        <v>619</v>
      </c>
      <c r="B581" s="18">
        <v>46211</v>
      </c>
      <c r="C581" s="17" t="s">
        <v>542</v>
      </c>
      <c r="D581" s="17" t="s">
        <v>13</v>
      </c>
      <c r="E581" s="17" t="s">
        <v>65</v>
      </c>
      <c r="F581" s="17" t="s">
        <v>32</v>
      </c>
      <c r="G581" s="19">
        <v>73790</v>
      </c>
      <c r="H581" s="19">
        <v>78400</v>
      </c>
      <c r="I581" s="19">
        <f t="shared" si="18"/>
        <v>4610</v>
      </c>
      <c r="J581" s="20">
        <f t="shared" si="19"/>
        <v>6.2474590052852691E-2</v>
      </c>
    </row>
    <row r="582" spans="1:10" x14ac:dyDescent="0.2">
      <c r="A582" s="17" t="s">
        <v>620</v>
      </c>
      <c r="B582" s="18">
        <v>46206</v>
      </c>
      <c r="C582" s="17" t="s">
        <v>542</v>
      </c>
      <c r="D582" s="17" t="s">
        <v>25</v>
      </c>
      <c r="E582" s="17" t="s">
        <v>13</v>
      </c>
      <c r="F582" s="17" t="s">
        <v>21</v>
      </c>
      <c r="G582" s="19">
        <v>57322</v>
      </c>
      <c r="H582" s="19">
        <v>65000</v>
      </c>
      <c r="I582" s="19">
        <f t="shared" si="18"/>
        <v>7678</v>
      </c>
      <c r="J582" s="20">
        <f t="shared" si="19"/>
        <v>0.13394508216740519</v>
      </c>
    </row>
    <row r="583" spans="1:10" x14ac:dyDescent="0.2">
      <c r="A583" s="17" t="s">
        <v>621</v>
      </c>
      <c r="B583" s="18">
        <v>46215</v>
      </c>
      <c r="C583" s="17" t="s">
        <v>542</v>
      </c>
      <c r="D583" s="17" t="s">
        <v>13</v>
      </c>
      <c r="E583" s="17" t="s">
        <v>17</v>
      </c>
      <c r="F583" s="17" t="s">
        <v>18</v>
      </c>
      <c r="G583" s="19">
        <v>128280</v>
      </c>
      <c r="H583" s="19">
        <v>145000</v>
      </c>
      <c r="I583" s="19">
        <f t="shared" si="18"/>
        <v>16720</v>
      </c>
      <c r="J583" s="20">
        <f t="shared" si="19"/>
        <v>0.13033988150919862</v>
      </c>
    </row>
    <row r="584" spans="1:10" x14ac:dyDescent="0.2">
      <c r="A584" s="17" t="s">
        <v>622</v>
      </c>
      <c r="B584" s="18">
        <v>46224</v>
      </c>
      <c r="C584" s="17" t="s">
        <v>542</v>
      </c>
      <c r="D584" s="17" t="s">
        <v>13</v>
      </c>
      <c r="E584" s="17" t="s">
        <v>17</v>
      </c>
      <c r="F584" s="17" t="s">
        <v>18</v>
      </c>
      <c r="G584" s="19">
        <v>45054</v>
      </c>
      <c r="H584" s="19">
        <v>47400</v>
      </c>
      <c r="I584" s="19">
        <f t="shared" si="18"/>
        <v>2346</v>
      </c>
      <c r="J584" s="20">
        <f t="shared" si="19"/>
        <v>5.2070848315354905E-2</v>
      </c>
    </row>
    <row r="585" spans="1:10" x14ac:dyDescent="0.2">
      <c r="A585" s="17" t="s">
        <v>623</v>
      </c>
      <c r="B585" s="18">
        <v>46225</v>
      </c>
      <c r="C585" s="17" t="s">
        <v>542</v>
      </c>
      <c r="D585" s="17" t="s">
        <v>20</v>
      </c>
      <c r="E585" s="17" t="s">
        <v>13</v>
      </c>
      <c r="F585" s="17" t="s">
        <v>44</v>
      </c>
      <c r="G585" s="19">
        <v>168850</v>
      </c>
      <c r="H585" s="19">
        <v>147700</v>
      </c>
      <c r="I585" s="19">
        <f t="shared" si="18"/>
        <v>-21150</v>
      </c>
      <c r="J585" s="20">
        <f t="shared" si="19"/>
        <v>-0.12525910571513177</v>
      </c>
    </row>
    <row r="586" spans="1:10" x14ac:dyDescent="0.2">
      <c r="A586" s="17" t="s">
        <v>624</v>
      </c>
      <c r="B586" s="18">
        <v>46229</v>
      </c>
      <c r="C586" s="17" t="s">
        <v>542</v>
      </c>
      <c r="D586" s="17" t="s">
        <v>13</v>
      </c>
      <c r="E586" s="17" t="s">
        <v>46</v>
      </c>
      <c r="F586" s="17" t="s">
        <v>38</v>
      </c>
      <c r="G586" s="19">
        <v>88417</v>
      </c>
      <c r="H586" s="19">
        <v>105200</v>
      </c>
      <c r="I586" s="19">
        <f t="shared" si="18"/>
        <v>16783</v>
      </c>
      <c r="J586" s="20">
        <f t="shared" si="19"/>
        <v>0.18981643801531381</v>
      </c>
    </row>
    <row r="587" spans="1:10" x14ac:dyDescent="0.2">
      <c r="A587" s="17" t="s">
        <v>625</v>
      </c>
      <c r="B587" s="18">
        <v>46237</v>
      </c>
      <c r="C587" s="17" t="s">
        <v>626</v>
      </c>
      <c r="D587" s="17" t="s">
        <v>20</v>
      </c>
      <c r="E587" s="17" t="s">
        <v>26</v>
      </c>
      <c r="F587" s="17" t="s">
        <v>18</v>
      </c>
      <c r="G587" s="19">
        <v>138687</v>
      </c>
      <c r="H587" s="19">
        <v>133000</v>
      </c>
      <c r="I587" s="19">
        <f t="shared" si="18"/>
        <v>-5687</v>
      </c>
      <c r="J587" s="20">
        <f t="shared" si="19"/>
        <v>-4.1006006330802452E-2</v>
      </c>
    </row>
    <row r="588" spans="1:10" x14ac:dyDescent="0.2">
      <c r="A588" s="17" t="s">
        <v>627</v>
      </c>
      <c r="B588" s="18">
        <v>46240</v>
      </c>
      <c r="C588" s="17" t="s">
        <v>626</v>
      </c>
      <c r="D588" s="17" t="s">
        <v>13</v>
      </c>
      <c r="E588" s="17" t="s">
        <v>65</v>
      </c>
      <c r="F588" s="17" t="s">
        <v>38</v>
      </c>
      <c r="G588" s="19">
        <v>48566</v>
      </c>
      <c r="H588" s="19">
        <v>44300</v>
      </c>
      <c r="I588" s="19">
        <f t="shared" si="18"/>
        <v>-4266</v>
      </c>
      <c r="J588" s="20">
        <f t="shared" si="19"/>
        <v>-8.7839229090310098E-2</v>
      </c>
    </row>
    <row r="589" spans="1:10" x14ac:dyDescent="0.2">
      <c r="A589" s="17" t="s">
        <v>628</v>
      </c>
      <c r="B589" s="18">
        <v>46246</v>
      </c>
      <c r="C589" s="17" t="s">
        <v>626</v>
      </c>
      <c r="D589" s="17" t="s">
        <v>20</v>
      </c>
      <c r="E589" s="17" t="s">
        <v>65</v>
      </c>
      <c r="F589" s="17" t="s">
        <v>44</v>
      </c>
      <c r="G589" s="19">
        <v>126564</v>
      </c>
      <c r="H589" s="19">
        <v>113700</v>
      </c>
      <c r="I589" s="19">
        <f t="shared" si="18"/>
        <v>-12864</v>
      </c>
      <c r="J589" s="20">
        <f t="shared" si="19"/>
        <v>-0.101640276855978</v>
      </c>
    </row>
    <row r="590" spans="1:10" x14ac:dyDescent="0.2">
      <c r="A590" s="17" t="s">
        <v>629</v>
      </c>
      <c r="B590" s="18">
        <v>46238</v>
      </c>
      <c r="C590" s="17" t="s">
        <v>626</v>
      </c>
      <c r="D590" s="17" t="s">
        <v>25</v>
      </c>
      <c r="E590" s="17" t="s">
        <v>26</v>
      </c>
      <c r="F590" s="17" t="s">
        <v>44</v>
      </c>
      <c r="G590" s="19">
        <v>141463</v>
      </c>
      <c r="H590" s="19">
        <v>135200</v>
      </c>
      <c r="I590" s="19">
        <f t="shared" si="18"/>
        <v>-6263</v>
      </c>
      <c r="J590" s="20">
        <f t="shared" si="19"/>
        <v>-4.4273060800350622E-2</v>
      </c>
    </row>
    <row r="591" spans="1:10" x14ac:dyDescent="0.2">
      <c r="A591" s="17" t="s">
        <v>630</v>
      </c>
      <c r="B591" s="18">
        <v>46261</v>
      </c>
      <c r="C591" s="17" t="s">
        <v>626</v>
      </c>
      <c r="D591" s="17" t="s">
        <v>12</v>
      </c>
      <c r="E591" s="17" t="s">
        <v>26</v>
      </c>
      <c r="F591" s="17" t="s">
        <v>29</v>
      </c>
      <c r="G591" s="19">
        <v>178152</v>
      </c>
      <c r="H591" s="19">
        <v>154300</v>
      </c>
      <c r="I591" s="19">
        <f t="shared" si="18"/>
        <v>-23852</v>
      </c>
      <c r="J591" s="20">
        <f t="shared" si="19"/>
        <v>-0.13388567066325385</v>
      </c>
    </row>
    <row r="592" spans="1:10" x14ac:dyDescent="0.2">
      <c r="A592" s="17" t="s">
        <v>631</v>
      </c>
      <c r="B592" s="18">
        <v>46247</v>
      </c>
      <c r="C592" s="17" t="s">
        <v>626</v>
      </c>
      <c r="D592" s="17" t="s">
        <v>49</v>
      </c>
      <c r="E592" s="17" t="s">
        <v>35</v>
      </c>
      <c r="F592" s="17" t="s">
        <v>44</v>
      </c>
      <c r="G592" s="19">
        <v>85069</v>
      </c>
      <c r="H592" s="19">
        <v>105300</v>
      </c>
      <c r="I592" s="19">
        <f t="shared" si="18"/>
        <v>20231</v>
      </c>
      <c r="J592" s="20">
        <f t="shared" si="19"/>
        <v>0.23781871186918854</v>
      </c>
    </row>
    <row r="593" spans="1:10" x14ac:dyDescent="0.2">
      <c r="A593" s="17" t="s">
        <v>632</v>
      </c>
      <c r="B593" s="18">
        <v>46240</v>
      </c>
      <c r="C593" s="17" t="s">
        <v>626</v>
      </c>
      <c r="D593" s="17" t="s">
        <v>25</v>
      </c>
      <c r="E593" s="17" t="s">
        <v>23</v>
      </c>
      <c r="F593" s="17" t="s">
        <v>41</v>
      </c>
      <c r="G593" s="19">
        <v>88201</v>
      </c>
      <c r="H593" s="19">
        <v>103900</v>
      </c>
      <c r="I593" s="19">
        <f t="shared" si="18"/>
        <v>15699</v>
      </c>
      <c r="J593" s="20">
        <f t="shared" si="19"/>
        <v>0.17799117923833063</v>
      </c>
    </row>
    <row r="594" spans="1:10" x14ac:dyDescent="0.2">
      <c r="A594" s="17" t="s">
        <v>633</v>
      </c>
      <c r="B594" s="18">
        <v>46242</v>
      </c>
      <c r="C594" s="17" t="s">
        <v>626</v>
      </c>
      <c r="D594" s="17" t="s">
        <v>25</v>
      </c>
      <c r="E594" s="17" t="s">
        <v>65</v>
      </c>
      <c r="F594" s="17" t="s">
        <v>29</v>
      </c>
      <c r="G594" s="19">
        <v>165739</v>
      </c>
      <c r="H594" s="19">
        <v>190500</v>
      </c>
      <c r="I594" s="19">
        <f t="shared" si="18"/>
        <v>24761</v>
      </c>
      <c r="J594" s="20">
        <f t="shared" si="19"/>
        <v>0.14939754674518368</v>
      </c>
    </row>
    <row r="595" spans="1:10" x14ac:dyDescent="0.2">
      <c r="A595" s="17" t="s">
        <v>634</v>
      </c>
      <c r="B595" s="18">
        <v>46236</v>
      </c>
      <c r="C595" s="17" t="s">
        <v>626</v>
      </c>
      <c r="D595" s="17" t="s">
        <v>20</v>
      </c>
      <c r="E595" s="17" t="s">
        <v>26</v>
      </c>
      <c r="F595" s="17" t="s">
        <v>14</v>
      </c>
      <c r="G595" s="19">
        <v>56645</v>
      </c>
      <c r="H595" s="19">
        <v>50900</v>
      </c>
      <c r="I595" s="19">
        <f t="shared" si="18"/>
        <v>-5745</v>
      </c>
      <c r="J595" s="20">
        <f t="shared" si="19"/>
        <v>-0.10142113160914468</v>
      </c>
    </row>
    <row r="596" spans="1:10" x14ac:dyDescent="0.2">
      <c r="A596" s="17" t="s">
        <v>635</v>
      </c>
      <c r="B596" s="18">
        <v>46255</v>
      </c>
      <c r="C596" s="17" t="s">
        <v>626</v>
      </c>
      <c r="D596" s="17" t="s">
        <v>16</v>
      </c>
      <c r="E596" s="17" t="s">
        <v>17</v>
      </c>
      <c r="F596" s="17" t="s">
        <v>18</v>
      </c>
      <c r="G596" s="19">
        <v>125010</v>
      </c>
      <c r="H596" s="19">
        <v>124900</v>
      </c>
      <c r="I596" s="19">
        <f t="shared" si="18"/>
        <v>-110</v>
      </c>
      <c r="J596" s="20">
        <f t="shared" si="19"/>
        <v>-8.7992960563154947E-4</v>
      </c>
    </row>
    <row r="597" spans="1:10" x14ac:dyDescent="0.2">
      <c r="A597" s="17" t="s">
        <v>636</v>
      </c>
      <c r="B597" s="18">
        <v>46261</v>
      </c>
      <c r="C597" s="17" t="s">
        <v>626</v>
      </c>
      <c r="D597" s="17" t="s">
        <v>25</v>
      </c>
      <c r="E597" s="17" t="s">
        <v>35</v>
      </c>
      <c r="F597" s="17" t="s">
        <v>29</v>
      </c>
      <c r="G597" s="19">
        <v>173647</v>
      </c>
      <c r="H597" s="19">
        <v>165600</v>
      </c>
      <c r="I597" s="19">
        <f t="shared" si="18"/>
        <v>-8047</v>
      </c>
      <c r="J597" s="20">
        <f t="shared" si="19"/>
        <v>-4.6341140359464891E-2</v>
      </c>
    </row>
    <row r="598" spans="1:10" x14ac:dyDescent="0.2">
      <c r="A598" s="17" t="s">
        <v>637</v>
      </c>
      <c r="B598" s="18">
        <v>46249</v>
      </c>
      <c r="C598" s="17" t="s">
        <v>626</v>
      </c>
      <c r="D598" s="17" t="s">
        <v>20</v>
      </c>
      <c r="E598" s="17" t="s">
        <v>17</v>
      </c>
      <c r="F598" s="17" t="s">
        <v>38</v>
      </c>
      <c r="G598" s="19">
        <v>71839</v>
      </c>
      <c r="H598" s="19">
        <v>87000</v>
      </c>
      <c r="I598" s="19">
        <f t="shared" si="18"/>
        <v>15161</v>
      </c>
      <c r="J598" s="20">
        <f t="shared" si="19"/>
        <v>0.21104135636631913</v>
      </c>
    </row>
    <row r="599" spans="1:10" x14ac:dyDescent="0.2">
      <c r="A599" s="17" t="s">
        <v>638</v>
      </c>
      <c r="B599" s="18">
        <v>46249</v>
      </c>
      <c r="C599" s="17" t="s">
        <v>626</v>
      </c>
      <c r="D599" s="17" t="s">
        <v>25</v>
      </c>
      <c r="E599" s="17" t="s">
        <v>26</v>
      </c>
      <c r="F599" s="17" t="s">
        <v>18</v>
      </c>
      <c r="G599" s="19">
        <v>52119</v>
      </c>
      <c r="H599" s="19">
        <v>45200</v>
      </c>
      <c r="I599" s="19">
        <f t="shared" si="18"/>
        <v>-6919</v>
      </c>
      <c r="J599" s="20">
        <f t="shared" si="19"/>
        <v>-0.13275389013603484</v>
      </c>
    </row>
    <row r="600" spans="1:10" x14ac:dyDescent="0.2">
      <c r="A600" s="17" t="s">
        <v>639</v>
      </c>
      <c r="B600" s="18">
        <v>46247</v>
      </c>
      <c r="C600" s="17" t="s">
        <v>626</v>
      </c>
      <c r="D600" s="17" t="s">
        <v>13</v>
      </c>
      <c r="E600" s="17" t="s">
        <v>35</v>
      </c>
      <c r="F600" s="17" t="s">
        <v>27</v>
      </c>
      <c r="G600" s="19">
        <v>133549</v>
      </c>
      <c r="H600" s="19">
        <v>157400</v>
      </c>
      <c r="I600" s="19">
        <f t="shared" si="18"/>
        <v>23851</v>
      </c>
      <c r="J600" s="20">
        <f t="shared" si="19"/>
        <v>0.1785936248118668</v>
      </c>
    </row>
    <row r="601" spans="1:10" x14ac:dyDescent="0.2">
      <c r="A601" s="17" t="s">
        <v>640</v>
      </c>
      <c r="B601" s="18">
        <v>46246</v>
      </c>
      <c r="C601" s="17" t="s">
        <v>626</v>
      </c>
      <c r="D601" s="17" t="s">
        <v>20</v>
      </c>
      <c r="E601" s="17" t="s">
        <v>26</v>
      </c>
      <c r="F601" s="17" t="s">
        <v>44</v>
      </c>
      <c r="G601" s="19">
        <v>199100</v>
      </c>
      <c r="H601" s="19">
        <v>203200</v>
      </c>
      <c r="I601" s="19">
        <f t="shared" si="18"/>
        <v>4100</v>
      </c>
      <c r="J601" s="20">
        <f t="shared" si="19"/>
        <v>2.0592667001506779E-2</v>
      </c>
    </row>
    <row r="602" spans="1:10" x14ac:dyDescent="0.2">
      <c r="A602" s="17" t="s">
        <v>641</v>
      </c>
      <c r="B602" s="18">
        <v>46239</v>
      </c>
      <c r="C602" s="17" t="s">
        <v>626</v>
      </c>
      <c r="D602" s="17" t="s">
        <v>25</v>
      </c>
      <c r="E602" s="17" t="s">
        <v>13</v>
      </c>
      <c r="F602" s="17" t="s">
        <v>44</v>
      </c>
      <c r="G602" s="19">
        <v>93362</v>
      </c>
      <c r="H602" s="19">
        <v>96000</v>
      </c>
      <c r="I602" s="19">
        <f t="shared" si="18"/>
        <v>2638</v>
      </c>
      <c r="J602" s="20">
        <f t="shared" si="19"/>
        <v>2.8255607206358047E-2</v>
      </c>
    </row>
    <row r="603" spans="1:10" x14ac:dyDescent="0.2">
      <c r="A603" s="17" t="s">
        <v>642</v>
      </c>
      <c r="B603" s="18">
        <v>46252</v>
      </c>
      <c r="C603" s="17" t="s">
        <v>626</v>
      </c>
      <c r="D603" s="17" t="s">
        <v>13</v>
      </c>
      <c r="E603" s="17" t="s">
        <v>35</v>
      </c>
      <c r="F603" s="17" t="s">
        <v>29</v>
      </c>
      <c r="G603" s="19">
        <v>150781</v>
      </c>
      <c r="H603" s="19">
        <v>153000</v>
      </c>
      <c r="I603" s="19">
        <f t="shared" si="18"/>
        <v>2219</v>
      </c>
      <c r="J603" s="20">
        <f t="shared" si="19"/>
        <v>1.4716708338583774E-2</v>
      </c>
    </row>
    <row r="604" spans="1:10" x14ac:dyDescent="0.2">
      <c r="A604" s="17" t="s">
        <v>643</v>
      </c>
      <c r="B604" s="18">
        <v>46248</v>
      </c>
      <c r="C604" s="17" t="s">
        <v>626</v>
      </c>
      <c r="D604" s="17" t="s">
        <v>20</v>
      </c>
      <c r="E604" s="17" t="s">
        <v>13</v>
      </c>
      <c r="F604" s="17" t="s">
        <v>21</v>
      </c>
      <c r="G604" s="19">
        <v>93341</v>
      </c>
      <c r="H604" s="19">
        <v>93600</v>
      </c>
      <c r="I604" s="19">
        <f t="shared" si="18"/>
        <v>259</v>
      </c>
      <c r="J604" s="20">
        <f t="shared" si="19"/>
        <v>2.7747720722940614E-3</v>
      </c>
    </row>
    <row r="605" spans="1:10" x14ac:dyDescent="0.2">
      <c r="A605" s="17" t="s">
        <v>644</v>
      </c>
      <c r="B605" s="18">
        <v>46260</v>
      </c>
      <c r="C605" s="17" t="s">
        <v>626</v>
      </c>
      <c r="D605" s="17" t="s">
        <v>16</v>
      </c>
      <c r="E605" s="17" t="s">
        <v>46</v>
      </c>
      <c r="F605" s="17" t="s">
        <v>41</v>
      </c>
      <c r="G605" s="19">
        <v>25119</v>
      </c>
      <c r="H605" s="19">
        <v>31300</v>
      </c>
      <c r="I605" s="19">
        <f t="shared" si="18"/>
        <v>6181</v>
      </c>
      <c r="J605" s="20">
        <f t="shared" si="19"/>
        <v>0.24606871292647001</v>
      </c>
    </row>
    <row r="606" spans="1:10" x14ac:dyDescent="0.2">
      <c r="A606" s="17" t="s">
        <v>645</v>
      </c>
      <c r="B606" s="18">
        <v>46246</v>
      </c>
      <c r="C606" s="17" t="s">
        <v>626</v>
      </c>
      <c r="D606" s="17" t="s">
        <v>49</v>
      </c>
      <c r="E606" s="17" t="s">
        <v>46</v>
      </c>
      <c r="F606" s="17" t="s">
        <v>27</v>
      </c>
      <c r="G606" s="19">
        <v>162742</v>
      </c>
      <c r="H606" s="19">
        <v>189200</v>
      </c>
      <c r="I606" s="19">
        <f t="shared" si="18"/>
        <v>26458</v>
      </c>
      <c r="J606" s="20">
        <f t="shared" si="19"/>
        <v>0.16257634783891067</v>
      </c>
    </row>
    <row r="607" spans="1:10" x14ac:dyDescent="0.2">
      <c r="A607" s="17" t="s">
        <v>646</v>
      </c>
      <c r="B607" s="18">
        <v>46245</v>
      </c>
      <c r="C607" s="17" t="s">
        <v>626</v>
      </c>
      <c r="D607" s="17" t="s">
        <v>49</v>
      </c>
      <c r="E607" s="17" t="s">
        <v>13</v>
      </c>
      <c r="F607" s="17" t="s">
        <v>32</v>
      </c>
      <c r="G607" s="19">
        <v>90893</v>
      </c>
      <c r="H607" s="19">
        <v>83800</v>
      </c>
      <c r="I607" s="19">
        <f t="shared" si="18"/>
        <v>-7093</v>
      </c>
      <c r="J607" s="20">
        <f t="shared" si="19"/>
        <v>-7.8036812515815304E-2</v>
      </c>
    </row>
    <row r="608" spans="1:10" x14ac:dyDescent="0.2">
      <c r="A608" s="17" t="s">
        <v>647</v>
      </c>
      <c r="B608" s="18">
        <v>46250</v>
      </c>
      <c r="C608" s="17" t="s">
        <v>626</v>
      </c>
      <c r="D608" s="17" t="s">
        <v>49</v>
      </c>
      <c r="E608" s="17" t="s">
        <v>46</v>
      </c>
      <c r="F608" s="17" t="s">
        <v>18</v>
      </c>
      <c r="G608" s="19">
        <v>93644</v>
      </c>
      <c r="H608" s="19">
        <v>81800</v>
      </c>
      <c r="I608" s="19">
        <f t="shared" si="18"/>
        <v>-11844</v>
      </c>
      <c r="J608" s="20">
        <f t="shared" si="19"/>
        <v>-0.12647900559566017</v>
      </c>
    </row>
    <row r="609" spans="1:10" x14ac:dyDescent="0.2">
      <c r="A609" s="17" t="s">
        <v>648</v>
      </c>
      <c r="B609" s="18">
        <v>46238</v>
      </c>
      <c r="C609" s="17" t="s">
        <v>626</v>
      </c>
      <c r="D609" s="17" t="s">
        <v>20</v>
      </c>
      <c r="E609" s="17" t="s">
        <v>13</v>
      </c>
      <c r="F609" s="17" t="s">
        <v>44</v>
      </c>
      <c r="G609" s="19">
        <v>81017</v>
      </c>
      <c r="H609" s="19">
        <v>100400</v>
      </c>
      <c r="I609" s="19">
        <f t="shared" si="18"/>
        <v>19383</v>
      </c>
      <c r="J609" s="20">
        <f t="shared" si="19"/>
        <v>0.23924608415517731</v>
      </c>
    </row>
    <row r="610" spans="1:10" x14ac:dyDescent="0.2">
      <c r="A610" s="17" t="s">
        <v>649</v>
      </c>
      <c r="B610" s="18">
        <v>46258</v>
      </c>
      <c r="C610" s="17" t="s">
        <v>626</v>
      </c>
      <c r="D610" s="17" t="s">
        <v>25</v>
      </c>
      <c r="E610" s="17" t="s">
        <v>13</v>
      </c>
      <c r="F610" s="17" t="s">
        <v>18</v>
      </c>
      <c r="G610" s="19">
        <v>159903</v>
      </c>
      <c r="H610" s="19">
        <v>188100</v>
      </c>
      <c r="I610" s="19">
        <f t="shared" si="18"/>
        <v>28197</v>
      </c>
      <c r="J610" s="20">
        <f t="shared" si="19"/>
        <v>0.17633815500647268</v>
      </c>
    </row>
    <row r="611" spans="1:10" x14ac:dyDescent="0.2">
      <c r="A611" s="17" t="s">
        <v>650</v>
      </c>
      <c r="B611" s="18">
        <v>46261</v>
      </c>
      <c r="C611" s="17" t="s">
        <v>626</v>
      </c>
      <c r="D611" s="17" t="s">
        <v>20</v>
      </c>
      <c r="E611" s="17" t="s">
        <v>26</v>
      </c>
      <c r="F611" s="17" t="s">
        <v>14</v>
      </c>
      <c r="G611" s="19">
        <v>121822</v>
      </c>
      <c r="H611" s="19">
        <v>120800</v>
      </c>
      <c r="I611" s="19">
        <f t="shared" si="18"/>
        <v>-1022</v>
      </c>
      <c r="J611" s="20">
        <f t="shared" si="19"/>
        <v>-8.3892892909326715E-3</v>
      </c>
    </row>
    <row r="612" spans="1:10" x14ac:dyDescent="0.2">
      <c r="A612" s="17" t="s">
        <v>651</v>
      </c>
      <c r="B612" s="18">
        <v>46258</v>
      </c>
      <c r="C612" s="17" t="s">
        <v>626</v>
      </c>
      <c r="D612" s="17" t="s">
        <v>16</v>
      </c>
      <c r="E612" s="17" t="s">
        <v>46</v>
      </c>
      <c r="F612" s="17" t="s">
        <v>18</v>
      </c>
      <c r="G612" s="19">
        <v>175325</v>
      </c>
      <c r="H612" s="19">
        <v>171300</v>
      </c>
      <c r="I612" s="19">
        <f t="shared" si="18"/>
        <v>-4025</v>
      </c>
      <c r="J612" s="20">
        <f t="shared" si="19"/>
        <v>-2.2957364893768716E-2</v>
      </c>
    </row>
    <row r="613" spans="1:10" x14ac:dyDescent="0.2">
      <c r="A613" s="17" t="s">
        <v>652</v>
      </c>
      <c r="B613" s="18">
        <v>46246</v>
      </c>
      <c r="C613" s="17" t="s">
        <v>626</v>
      </c>
      <c r="D613" s="17" t="s">
        <v>49</v>
      </c>
      <c r="E613" s="17" t="s">
        <v>26</v>
      </c>
      <c r="F613" s="17" t="s">
        <v>18</v>
      </c>
      <c r="G613" s="19">
        <v>27394</v>
      </c>
      <c r="H613" s="19">
        <v>31000</v>
      </c>
      <c r="I613" s="19">
        <f t="shared" si="18"/>
        <v>3606</v>
      </c>
      <c r="J613" s="20">
        <f t="shared" si="19"/>
        <v>0.13163466452507849</v>
      </c>
    </row>
    <row r="614" spans="1:10" x14ac:dyDescent="0.2">
      <c r="A614" s="17" t="s">
        <v>653</v>
      </c>
      <c r="B614" s="18">
        <v>46260</v>
      </c>
      <c r="C614" s="17" t="s">
        <v>626</v>
      </c>
      <c r="D614" s="17" t="s">
        <v>13</v>
      </c>
      <c r="E614" s="17" t="s">
        <v>31</v>
      </c>
      <c r="F614" s="17" t="s">
        <v>51</v>
      </c>
      <c r="G614" s="19">
        <v>69344</v>
      </c>
      <c r="H614" s="19">
        <v>82200</v>
      </c>
      <c r="I614" s="19">
        <f t="shared" si="18"/>
        <v>12856</v>
      </c>
      <c r="J614" s="20">
        <f t="shared" si="19"/>
        <v>0.18539455468389479</v>
      </c>
    </row>
    <row r="615" spans="1:10" x14ac:dyDescent="0.2">
      <c r="A615" s="17" t="s">
        <v>654</v>
      </c>
      <c r="B615" s="18">
        <v>46236</v>
      </c>
      <c r="C615" s="17" t="s">
        <v>626</v>
      </c>
      <c r="D615" s="17" t="s">
        <v>20</v>
      </c>
      <c r="E615" s="17" t="s">
        <v>13</v>
      </c>
      <c r="F615" s="17" t="s">
        <v>32</v>
      </c>
      <c r="G615" s="19">
        <v>148564</v>
      </c>
      <c r="H615" s="19">
        <v>128500</v>
      </c>
      <c r="I615" s="19">
        <f t="shared" si="18"/>
        <v>-20064</v>
      </c>
      <c r="J615" s="20">
        <f t="shared" si="19"/>
        <v>-0.13505290649147841</v>
      </c>
    </row>
    <row r="616" spans="1:10" x14ac:dyDescent="0.2">
      <c r="A616" s="17" t="s">
        <v>655</v>
      </c>
      <c r="B616" s="18">
        <v>46245</v>
      </c>
      <c r="C616" s="17" t="s">
        <v>626</v>
      </c>
      <c r="D616" s="17" t="s">
        <v>49</v>
      </c>
      <c r="E616" s="17" t="s">
        <v>13</v>
      </c>
      <c r="F616" s="17" t="s">
        <v>51</v>
      </c>
      <c r="G616" s="19">
        <v>158005</v>
      </c>
      <c r="H616" s="19">
        <v>164500</v>
      </c>
      <c r="I616" s="19">
        <f t="shared" si="18"/>
        <v>6495</v>
      </c>
      <c r="J616" s="20">
        <f t="shared" si="19"/>
        <v>4.1106294104616942E-2</v>
      </c>
    </row>
    <row r="617" spans="1:10" x14ac:dyDescent="0.2">
      <c r="A617" s="17" t="s">
        <v>656</v>
      </c>
      <c r="B617" s="18">
        <v>46260</v>
      </c>
      <c r="C617" s="17" t="s">
        <v>626</v>
      </c>
      <c r="D617" s="17" t="s">
        <v>12</v>
      </c>
      <c r="E617" s="17" t="s">
        <v>35</v>
      </c>
      <c r="F617" s="17" t="s">
        <v>32</v>
      </c>
      <c r="G617" s="19">
        <v>109327</v>
      </c>
      <c r="H617" s="19">
        <v>124300</v>
      </c>
      <c r="I617" s="19">
        <f t="shared" si="18"/>
        <v>14973</v>
      </c>
      <c r="J617" s="20">
        <f t="shared" si="19"/>
        <v>0.13695610416457052</v>
      </c>
    </row>
    <row r="618" spans="1:10" x14ac:dyDescent="0.2">
      <c r="A618" s="17" t="s">
        <v>657</v>
      </c>
      <c r="B618" s="18">
        <v>46239</v>
      </c>
      <c r="C618" s="17" t="s">
        <v>626</v>
      </c>
      <c r="D618" s="17" t="s">
        <v>25</v>
      </c>
      <c r="E618" s="17" t="s">
        <v>46</v>
      </c>
      <c r="F618" s="17" t="s">
        <v>29</v>
      </c>
      <c r="G618" s="19">
        <v>58721</v>
      </c>
      <c r="H618" s="19">
        <v>63700</v>
      </c>
      <c r="I618" s="19">
        <f t="shared" si="18"/>
        <v>4979</v>
      </c>
      <c r="J618" s="20">
        <f t="shared" si="19"/>
        <v>8.479079034757582E-2</v>
      </c>
    </row>
    <row r="619" spans="1:10" x14ac:dyDescent="0.2">
      <c r="A619" s="17" t="s">
        <v>658</v>
      </c>
      <c r="B619" s="18">
        <v>46256</v>
      </c>
      <c r="C619" s="17" t="s">
        <v>626</v>
      </c>
      <c r="D619" s="17" t="s">
        <v>13</v>
      </c>
      <c r="E619" s="17" t="s">
        <v>17</v>
      </c>
      <c r="F619" s="17" t="s">
        <v>38</v>
      </c>
      <c r="G619" s="19">
        <v>117934</v>
      </c>
      <c r="H619" s="19">
        <v>133500</v>
      </c>
      <c r="I619" s="19">
        <f t="shared" si="18"/>
        <v>15566</v>
      </c>
      <c r="J619" s="20">
        <f t="shared" si="19"/>
        <v>0.13198907863720385</v>
      </c>
    </row>
    <row r="620" spans="1:10" x14ac:dyDescent="0.2">
      <c r="A620" s="17" t="s">
        <v>659</v>
      </c>
      <c r="B620" s="18">
        <v>46240</v>
      </c>
      <c r="C620" s="17" t="s">
        <v>626</v>
      </c>
      <c r="D620" s="17" t="s">
        <v>16</v>
      </c>
      <c r="E620" s="17" t="s">
        <v>23</v>
      </c>
      <c r="F620" s="17" t="s">
        <v>41</v>
      </c>
      <c r="G620" s="19">
        <v>99105</v>
      </c>
      <c r="H620" s="19">
        <v>97000</v>
      </c>
      <c r="I620" s="19">
        <f t="shared" si="18"/>
        <v>-2105</v>
      </c>
      <c r="J620" s="20">
        <f t="shared" si="19"/>
        <v>-2.1240098885020937E-2</v>
      </c>
    </row>
    <row r="621" spans="1:10" x14ac:dyDescent="0.2">
      <c r="A621" s="17" t="s">
        <v>660</v>
      </c>
      <c r="B621" s="18">
        <v>46257</v>
      </c>
      <c r="C621" s="17" t="s">
        <v>626</v>
      </c>
      <c r="D621" s="17" t="s">
        <v>49</v>
      </c>
      <c r="E621" s="17" t="s">
        <v>46</v>
      </c>
      <c r="F621" s="17" t="s">
        <v>14</v>
      </c>
      <c r="G621" s="19">
        <v>190178</v>
      </c>
      <c r="H621" s="19">
        <v>185800</v>
      </c>
      <c r="I621" s="19">
        <f t="shared" si="18"/>
        <v>-4378</v>
      </c>
      <c r="J621" s="20">
        <f t="shared" si="19"/>
        <v>-2.3020538653261681E-2</v>
      </c>
    </row>
    <row r="622" spans="1:10" x14ac:dyDescent="0.2">
      <c r="A622" s="17" t="s">
        <v>661</v>
      </c>
      <c r="B622" s="18">
        <v>46240</v>
      </c>
      <c r="C622" s="17" t="s">
        <v>626</v>
      </c>
      <c r="D622" s="17" t="s">
        <v>13</v>
      </c>
      <c r="E622" s="17" t="s">
        <v>31</v>
      </c>
      <c r="F622" s="17" t="s">
        <v>44</v>
      </c>
      <c r="G622" s="19">
        <v>194465</v>
      </c>
      <c r="H622" s="19">
        <v>211100</v>
      </c>
      <c r="I622" s="19">
        <f t="shared" si="18"/>
        <v>16635</v>
      </c>
      <c r="J622" s="20">
        <f t="shared" si="19"/>
        <v>8.5542385519245104E-2</v>
      </c>
    </row>
    <row r="623" spans="1:10" x14ac:dyDescent="0.2">
      <c r="A623" s="17" t="s">
        <v>662</v>
      </c>
      <c r="B623" s="18">
        <v>46235</v>
      </c>
      <c r="C623" s="17" t="s">
        <v>626</v>
      </c>
      <c r="D623" s="17" t="s">
        <v>16</v>
      </c>
      <c r="E623" s="17" t="s">
        <v>23</v>
      </c>
      <c r="F623" s="17" t="s">
        <v>18</v>
      </c>
      <c r="G623" s="19">
        <v>53383</v>
      </c>
      <c r="H623" s="19">
        <v>49200</v>
      </c>
      <c r="I623" s="19">
        <f t="shared" si="18"/>
        <v>-4183</v>
      </c>
      <c r="J623" s="20">
        <f t="shared" si="19"/>
        <v>-7.8358278852818319E-2</v>
      </c>
    </row>
    <row r="624" spans="1:10" x14ac:dyDescent="0.2">
      <c r="A624" s="17" t="s">
        <v>663</v>
      </c>
      <c r="B624" s="18">
        <v>46245</v>
      </c>
      <c r="C624" s="17" t="s">
        <v>626</v>
      </c>
      <c r="D624" s="17" t="s">
        <v>49</v>
      </c>
      <c r="E624" s="17" t="s">
        <v>13</v>
      </c>
      <c r="F624" s="17" t="s">
        <v>18</v>
      </c>
      <c r="G624" s="19">
        <v>28488</v>
      </c>
      <c r="H624" s="19">
        <v>26300</v>
      </c>
      <c r="I624" s="19">
        <f t="shared" si="18"/>
        <v>-2188</v>
      </c>
      <c r="J624" s="20">
        <f t="shared" si="19"/>
        <v>-7.6804268463914624E-2</v>
      </c>
    </row>
    <row r="625" spans="1:10" x14ac:dyDescent="0.2">
      <c r="A625" s="17" t="s">
        <v>664</v>
      </c>
      <c r="B625" s="18">
        <v>46239</v>
      </c>
      <c r="C625" s="17" t="s">
        <v>626</v>
      </c>
      <c r="D625" s="17" t="s">
        <v>12</v>
      </c>
      <c r="E625" s="17" t="s">
        <v>17</v>
      </c>
      <c r="F625" s="17" t="s">
        <v>14</v>
      </c>
      <c r="G625" s="19">
        <v>47291</v>
      </c>
      <c r="H625" s="19">
        <v>57900</v>
      </c>
      <c r="I625" s="19">
        <f t="shared" si="18"/>
        <v>10609</v>
      </c>
      <c r="J625" s="20">
        <f t="shared" si="19"/>
        <v>0.22433443995686284</v>
      </c>
    </row>
    <row r="626" spans="1:10" x14ac:dyDescent="0.2">
      <c r="A626" s="17" t="s">
        <v>665</v>
      </c>
      <c r="B626" s="18">
        <v>46240</v>
      </c>
      <c r="C626" s="17" t="s">
        <v>626</v>
      </c>
      <c r="D626" s="17" t="s">
        <v>16</v>
      </c>
      <c r="E626" s="17" t="s">
        <v>17</v>
      </c>
      <c r="F626" s="17" t="s">
        <v>38</v>
      </c>
      <c r="G626" s="19">
        <v>110914</v>
      </c>
      <c r="H626" s="19">
        <v>137900</v>
      </c>
      <c r="I626" s="19">
        <f t="shared" si="18"/>
        <v>26986</v>
      </c>
      <c r="J626" s="20">
        <f t="shared" si="19"/>
        <v>0.24330562417729051</v>
      </c>
    </row>
    <row r="627" spans="1:10" x14ac:dyDescent="0.2">
      <c r="A627" s="17" t="s">
        <v>666</v>
      </c>
      <c r="B627" s="18">
        <v>46241</v>
      </c>
      <c r="C627" s="17" t="s">
        <v>626</v>
      </c>
      <c r="D627" s="17" t="s">
        <v>20</v>
      </c>
      <c r="E627" s="17" t="s">
        <v>17</v>
      </c>
      <c r="F627" s="17" t="s">
        <v>38</v>
      </c>
      <c r="G627" s="19">
        <v>137081</v>
      </c>
      <c r="H627" s="19">
        <v>117100</v>
      </c>
      <c r="I627" s="19">
        <f t="shared" si="18"/>
        <v>-19981</v>
      </c>
      <c r="J627" s="20">
        <f t="shared" si="19"/>
        <v>-0.1457605357416418</v>
      </c>
    </row>
    <row r="628" spans="1:10" x14ac:dyDescent="0.2">
      <c r="A628" s="17" t="s">
        <v>667</v>
      </c>
      <c r="B628" s="18">
        <v>46258</v>
      </c>
      <c r="C628" s="17" t="s">
        <v>626</v>
      </c>
      <c r="D628" s="17" t="s">
        <v>25</v>
      </c>
      <c r="E628" s="17" t="s">
        <v>35</v>
      </c>
      <c r="F628" s="17" t="s">
        <v>27</v>
      </c>
      <c r="G628" s="19">
        <v>87281</v>
      </c>
      <c r="H628" s="19">
        <v>101700</v>
      </c>
      <c r="I628" s="19">
        <f t="shared" si="18"/>
        <v>14419</v>
      </c>
      <c r="J628" s="20">
        <f t="shared" si="19"/>
        <v>0.16520204855581397</v>
      </c>
    </row>
    <row r="629" spans="1:10" x14ac:dyDescent="0.2">
      <c r="A629" s="17" t="s">
        <v>668</v>
      </c>
      <c r="B629" s="18">
        <v>46240</v>
      </c>
      <c r="C629" s="17" t="s">
        <v>626</v>
      </c>
      <c r="D629" s="17" t="s">
        <v>13</v>
      </c>
      <c r="E629" s="17" t="s">
        <v>65</v>
      </c>
      <c r="F629" s="17" t="s">
        <v>27</v>
      </c>
      <c r="G629" s="19">
        <v>134876</v>
      </c>
      <c r="H629" s="19">
        <v>154200</v>
      </c>
      <c r="I629" s="19">
        <f t="shared" si="18"/>
        <v>19324</v>
      </c>
      <c r="J629" s="20">
        <f t="shared" si="19"/>
        <v>0.14327233903733799</v>
      </c>
    </row>
    <row r="630" spans="1:10" x14ac:dyDescent="0.2">
      <c r="A630" s="17" t="s">
        <v>669</v>
      </c>
      <c r="B630" s="18">
        <v>46238</v>
      </c>
      <c r="C630" s="17" t="s">
        <v>626</v>
      </c>
      <c r="D630" s="17" t="s">
        <v>13</v>
      </c>
      <c r="E630" s="17" t="s">
        <v>13</v>
      </c>
      <c r="F630" s="17" t="s">
        <v>51</v>
      </c>
      <c r="G630" s="19">
        <v>112073</v>
      </c>
      <c r="H630" s="19">
        <v>119700</v>
      </c>
      <c r="I630" s="19">
        <f t="shared" si="18"/>
        <v>7627</v>
      </c>
      <c r="J630" s="20">
        <f t="shared" si="19"/>
        <v>6.8053857753428565E-2</v>
      </c>
    </row>
    <row r="631" spans="1:10" x14ac:dyDescent="0.2">
      <c r="A631" s="17" t="s">
        <v>670</v>
      </c>
      <c r="B631" s="18">
        <v>46262</v>
      </c>
      <c r="C631" s="17" t="s">
        <v>626</v>
      </c>
      <c r="D631" s="17" t="s">
        <v>25</v>
      </c>
      <c r="E631" s="17" t="s">
        <v>31</v>
      </c>
      <c r="F631" s="17" t="s">
        <v>32</v>
      </c>
      <c r="G631" s="19">
        <v>138302</v>
      </c>
      <c r="H631" s="19">
        <v>121600</v>
      </c>
      <c r="I631" s="19">
        <f t="shared" si="18"/>
        <v>-16702</v>
      </c>
      <c r="J631" s="20">
        <f t="shared" si="19"/>
        <v>-0.12076470333039291</v>
      </c>
    </row>
    <row r="632" spans="1:10" x14ac:dyDescent="0.2">
      <c r="A632" s="17" t="s">
        <v>671</v>
      </c>
      <c r="B632" s="18">
        <v>46238</v>
      </c>
      <c r="C632" s="17" t="s">
        <v>626</v>
      </c>
      <c r="D632" s="17" t="s">
        <v>25</v>
      </c>
      <c r="E632" s="17" t="s">
        <v>46</v>
      </c>
      <c r="F632" s="17" t="s">
        <v>51</v>
      </c>
      <c r="G632" s="19">
        <v>103549</v>
      </c>
      <c r="H632" s="19">
        <v>98800</v>
      </c>
      <c r="I632" s="19">
        <f t="shared" si="18"/>
        <v>-4749</v>
      </c>
      <c r="J632" s="20">
        <f t="shared" si="19"/>
        <v>-4.5862345363064827E-2</v>
      </c>
    </row>
    <row r="633" spans="1:10" x14ac:dyDescent="0.2">
      <c r="A633" s="17" t="s">
        <v>672</v>
      </c>
      <c r="B633" s="18">
        <v>46237</v>
      </c>
      <c r="C633" s="17" t="s">
        <v>626</v>
      </c>
      <c r="D633" s="17" t="s">
        <v>49</v>
      </c>
      <c r="E633" s="17" t="s">
        <v>17</v>
      </c>
      <c r="F633" s="17" t="s">
        <v>38</v>
      </c>
      <c r="G633" s="19">
        <v>118424</v>
      </c>
      <c r="H633" s="19">
        <v>108300</v>
      </c>
      <c r="I633" s="19">
        <f t="shared" si="18"/>
        <v>-10124</v>
      </c>
      <c r="J633" s="20">
        <f t="shared" si="19"/>
        <v>-8.5489427818685404E-2</v>
      </c>
    </row>
    <row r="634" spans="1:10" x14ac:dyDescent="0.2">
      <c r="A634" s="17" t="s">
        <v>673</v>
      </c>
      <c r="B634" s="18">
        <v>46250</v>
      </c>
      <c r="C634" s="17" t="s">
        <v>626</v>
      </c>
      <c r="D634" s="17" t="s">
        <v>16</v>
      </c>
      <c r="E634" s="17" t="s">
        <v>35</v>
      </c>
      <c r="F634" s="17" t="s">
        <v>27</v>
      </c>
      <c r="G634" s="19">
        <v>175721</v>
      </c>
      <c r="H634" s="19">
        <v>218600</v>
      </c>
      <c r="I634" s="19">
        <f t="shared" si="18"/>
        <v>42879</v>
      </c>
      <c r="J634" s="20">
        <f t="shared" si="19"/>
        <v>0.24401750502216582</v>
      </c>
    </row>
    <row r="635" spans="1:10" x14ac:dyDescent="0.2">
      <c r="A635" s="17" t="s">
        <v>674</v>
      </c>
      <c r="B635" s="18">
        <v>46248</v>
      </c>
      <c r="C635" s="17" t="s">
        <v>626</v>
      </c>
      <c r="D635" s="17" t="s">
        <v>20</v>
      </c>
      <c r="E635" s="17" t="s">
        <v>35</v>
      </c>
      <c r="F635" s="17" t="s">
        <v>29</v>
      </c>
      <c r="G635" s="19">
        <v>191346</v>
      </c>
      <c r="H635" s="19">
        <v>175300</v>
      </c>
      <c r="I635" s="19">
        <f t="shared" si="18"/>
        <v>-16046</v>
      </c>
      <c r="J635" s="20">
        <f t="shared" si="19"/>
        <v>-8.3858559886279299E-2</v>
      </c>
    </row>
    <row r="636" spans="1:10" x14ac:dyDescent="0.2">
      <c r="A636" s="17" t="s">
        <v>675</v>
      </c>
      <c r="B636" s="18">
        <v>46241</v>
      </c>
      <c r="C636" s="17" t="s">
        <v>626</v>
      </c>
      <c r="D636" s="17" t="s">
        <v>13</v>
      </c>
      <c r="E636" s="17" t="s">
        <v>31</v>
      </c>
      <c r="F636" s="17" t="s">
        <v>44</v>
      </c>
      <c r="G636" s="19">
        <v>106794</v>
      </c>
      <c r="H636" s="19">
        <v>99600</v>
      </c>
      <c r="I636" s="19">
        <f t="shared" si="18"/>
        <v>-7194</v>
      </c>
      <c r="J636" s="20">
        <f t="shared" si="19"/>
        <v>-6.7363335018821288E-2</v>
      </c>
    </row>
    <row r="637" spans="1:10" x14ac:dyDescent="0.2">
      <c r="A637" s="17" t="s">
        <v>676</v>
      </c>
      <c r="B637" s="18">
        <v>46236</v>
      </c>
      <c r="C637" s="17" t="s">
        <v>626</v>
      </c>
      <c r="D637" s="17" t="s">
        <v>13</v>
      </c>
      <c r="E637" s="17" t="s">
        <v>65</v>
      </c>
      <c r="F637" s="17" t="s">
        <v>51</v>
      </c>
      <c r="G637" s="19">
        <v>97961</v>
      </c>
      <c r="H637" s="19">
        <v>92600</v>
      </c>
      <c r="I637" s="19">
        <f t="shared" si="18"/>
        <v>-5361</v>
      </c>
      <c r="J637" s="20">
        <f t="shared" si="19"/>
        <v>-5.4725860291340432E-2</v>
      </c>
    </row>
    <row r="638" spans="1:10" x14ac:dyDescent="0.2">
      <c r="A638" s="17" t="s">
        <v>677</v>
      </c>
      <c r="B638" s="18">
        <v>46248</v>
      </c>
      <c r="C638" s="17" t="s">
        <v>626</v>
      </c>
      <c r="D638" s="17" t="s">
        <v>25</v>
      </c>
      <c r="E638" s="17" t="s">
        <v>31</v>
      </c>
      <c r="F638" s="17" t="s">
        <v>18</v>
      </c>
      <c r="G638" s="19">
        <v>34288</v>
      </c>
      <c r="H638" s="19">
        <v>34100</v>
      </c>
      <c r="I638" s="19">
        <f t="shared" si="18"/>
        <v>-188</v>
      </c>
      <c r="J638" s="20">
        <f t="shared" si="19"/>
        <v>-5.4829678021465237E-3</v>
      </c>
    </row>
    <row r="639" spans="1:10" x14ac:dyDescent="0.2">
      <c r="A639" s="17" t="s">
        <v>678</v>
      </c>
      <c r="B639" s="18">
        <v>46235</v>
      </c>
      <c r="C639" s="17" t="s">
        <v>626</v>
      </c>
      <c r="D639" s="17" t="s">
        <v>20</v>
      </c>
      <c r="E639" s="17" t="s">
        <v>26</v>
      </c>
      <c r="F639" s="17" t="s">
        <v>44</v>
      </c>
      <c r="G639" s="19">
        <v>145915</v>
      </c>
      <c r="H639" s="19">
        <v>135700</v>
      </c>
      <c r="I639" s="19">
        <f t="shared" si="18"/>
        <v>-10215</v>
      </c>
      <c r="J639" s="20">
        <f t="shared" si="19"/>
        <v>-7.000651063975602E-2</v>
      </c>
    </row>
    <row r="640" spans="1:10" x14ac:dyDescent="0.2">
      <c r="A640" s="17" t="s">
        <v>679</v>
      </c>
      <c r="B640" s="18">
        <v>46238</v>
      </c>
      <c r="C640" s="17" t="s">
        <v>626</v>
      </c>
      <c r="D640" s="17" t="s">
        <v>12</v>
      </c>
      <c r="E640" s="17" t="s">
        <v>23</v>
      </c>
      <c r="F640" s="17" t="s">
        <v>41</v>
      </c>
      <c r="G640" s="19">
        <v>41479</v>
      </c>
      <c r="H640" s="19">
        <v>43100</v>
      </c>
      <c r="I640" s="19">
        <f t="shared" si="18"/>
        <v>1621</v>
      </c>
      <c r="J640" s="20">
        <f t="shared" si="19"/>
        <v>3.9080016393837846E-2</v>
      </c>
    </row>
    <row r="641" spans="1:10" x14ac:dyDescent="0.2">
      <c r="A641" s="17" t="s">
        <v>680</v>
      </c>
      <c r="B641" s="18">
        <v>46243</v>
      </c>
      <c r="C641" s="17" t="s">
        <v>626</v>
      </c>
      <c r="D641" s="17" t="s">
        <v>25</v>
      </c>
      <c r="E641" s="17" t="s">
        <v>23</v>
      </c>
      <c r="F641" s="17" t="s">
        <v>51</v>
      </c>
      <c r="G641" s="19">
        <v>148213</v>
      </c>
      <c r="H641" s="19">
        <v>179000</v>
      </c>
      <c r="I641" s="19">
        <f t="shared" si="18"/>
        <v>30787</v>
      </c>
      <c r="J641" s="20">
        <f t="shared" si="19"/>
        <v>0.20772131999217341</v>
      </c>
    </row>
    <row r="642" spans="1:10" x14ac:dyDescent="0.2">
      <c r="A642" s="17" t="s">
        <v>681</v>
      </c>
      <c r="B642" s="18">
        <v>46246</v>
      </c>
      <c r="C642" s="17" t="s">
        <v>626</v>
      </c>
      <c r="D642" s="17" t="s">
        <v>20</v>
      </c>
      <c r="E642" s="17" t="s">
        <v>65</v>
      </c>
      <c r="F642" s="17" t="s">
        <v>32</v>
      </c>
      <c r="G642" s="19">
        <v>117260</v>
      </c>
      <c r="H642" s="19">
        <v>141200</v>
      </c>
      <c r="I642" s="19">
        <f t="shared" ref="I642:I705" si="20">H642-G642</f>
        <v>23940</v>
      </c>
      <c r="J642" s="20">
        <f t="shared" ref="J642:J705" si="21">IFERROR(I642/G642,0)</f>
        <v>0.20416169196657002</v>
      </c>
    </row>
    <row r="643" spans="1:10" x14ac:dyDescent="0.2">
      <c r="A643" s="17" t="s">
        <v>682</v>
      </c>
      <c r="B643" s="18">
        <v>46243</v>
      </c>
      <c r="C643" s="17" t="s">
        <v>626</v>
      </c>
      <c r="D643" s="17" t="s">
        <v>20</v>
      </c>
      <c r="E643" s="17" t="s">
        <v>31</v>
      </c>
      <c r="F643" s="17" t="s">
        <v>18</v>
      </c>
      <c r="G643" s="19">
        <v>89021</v>
      </c>
      <c r="H643" s="19">
        <v>91300</v>
      </c>
      <c r="I643" s="19">
        <f t="shared" si="20"/>
        <v>2279</v>
      </c>
      <c r="J643" s="20">
        <f t="shared" si="21"/>
        <v>2.5600700958200873E-2</v>
      </c>
    </row>
    <row r="644" spans="1:10" x14ac:dyDescent="0.2">
      <c r="A644" s="17" t="s">
        <v>683</v>
      </c>
      <c r="B644" s="18">
        <v>46257</v>
      </c>
      <c r="C644" s="17" t="s">
        <v>626</v>
      </c>
      <c r="D644" s="17" t="s">
        <v>16</v>
      </c>
      <c r="E644" s="17" t="s">
        <v>17</v>
      </c>
      <c r="F644" s="17" t="s">
        <v>29</v>
      </c>
      <c r="G644" s="19">
        <v>36158</v>
      </c>
      <c r="H644" s="19">
        <v>32900</v>
      </c>
      <c r="I644" s="19">
        <f t="shared" si="20"/>
        <v>-3258</v>
      </c>
      <c r="J644" s="20">
        <f t="shared" si="21"/>
        <v>-9.0104541180375017E-2</v>
      </c>
    </row>
    <row r="645" spans="1:10" x14ac:dyDescent="0.2">
      <c r="A645" s="17" t="s">
        <v>684</v>
      </c>
      <c r="B645" s="18">
        <v>46252</v>
      </c>
      <c r="C645" s="17" t="s">
        <v>626</v>
      </c>
      <c r="D645" s="17" t="s">
        <v>13</v>
      </c>
      <c r="E645" s="17" t="s">
        <v>13</v>
      </c>
      <c r="F645" s="17" t="s">
        <v>21</v>
      </c>
      <c r="G645" s="19">
        <v>195149</v>
      </c>
      <c r="H645" s="19">
        <v>192700</v>
      </c>
      <c r="I645" s="19">
        <f t="shared" si="20"/>
        <v>-2449</v>
      </c>
      <c r="J645" s="20">
        <f t="shared" si="21"/>
        <v>-1.2549385341457041E-2</v>
      </c>
    </row>
    <row r="646" spans="1:10" x14ac:dyDescent="0.2">
      <c r="A646" s="17" t="s">
        <v>685</v>
      </c>
      <c r="B646" s="18">
        <v>46261</v>
      </c>
      <c r="C646" s="17" t="s">
        <v>626</v>
      </c>
      <c r="D646" s="17" t="s">
        <v>49</v>
      </c>
      <c r="E646" s="17" t="s">
        <v>23</v>
      </c>
      <c r="F646" s="17" t="s">
        <v>21</v>
      </c>
      <c r="G646" s="19">
        <v>35986</v>
      </c>
      <c r="H646" s="19">
        <v>42700</v>
      </c>
      <c r="I646" s="19">
        <f t="shared" si="20"/>
        <v>6714</v>
      </c>
      <c r="J646" s="20">
        <f t="shared" si="21"/>
        <v>0.18657255599399766</v>
      </c>
    </row>
    <row r="647" spans="1:10" x14ac:dyDescent="0.2">
      <c r="A647" s="17" t="s">
        <v>686</v>
      </c>
      <c r="B647" s="18">
        <v>46242</v>
      </c>
      <c r="C647" s="17" t="s">
        <v>626</v>
      </c>
      <c r="D647" s="17" t="s">
        <v>13</v>
      </c>
      <c r="E647" s="17" t="s">
        <v>31</v>
      </c>
      <c r="F647" s="17" t="s">
        <v>29</v>
      </c>
      <c r="G647" s="19">
        <v>144472</v>
      </c>
      <c r="H647" s="19">
        <v>155900</v>
      </c>
      <c r="I647" s="19">
        <f t="shared" si="20"/>
        <v>11428</v>
      </c>
      <c r="J647" s="20">
        <f t="shared" si="21"/>
        <v>7.9101832881111916E-2</v>
      </c>
    </row>
    <row r="648" spans="1:10" x14ac:dyDescent="0.2">
      <c r="A648" s="17" t="s">
        <v>687</v>
      </c>
      <c r="B648" s="18">
        <v>46257</v>
      </c>
      <c r="C648" s="17" t="s">
        <v>626</v>
      </c>
      <c r="D648" s="17" t="s">
        <v>25</v>
      </c>
      <c r="E648" s="17" t="s">
        <v>26</v>
      </c>
      <c r="F648" s="17" t="s">
        <v>29</v>
      </c>
      <c r="G648" s="19">
        <v>123495</v>
      </c>
      <c r="H648" s="19">
        <v>149600</v>
      </c>
      <c r="I648" s="19">
        <f t="shared" si="20"/>
        <v>26105</v>
      </c>
      <c r="J648" s="20">
        <f t="shared" si="21"/>
        <v>0.21138507631887932</v>
      </c>
    </row>
    <row r="649" spans="1:10" x14ac:dyDescent="0.2">
      <c r="A649" s="17" t="s">
        <v>688</v>
      </c>
      <c r="B649" s="18">
        <v>46240</v>
      </c>
      <c r="C649" s="17" t="s">
        <v>626</v>
      </c>
      <c r="D649" s="17" t="s">
        <v>20</v>
      </c>
      <c r="E649" s="17" t="s">
        <v>13</v>
      </c>
      <c r="F649" s="17" t="s">
        <v>51</v>
      </c>
      <c r="G649" s="19">
        <v>137713</v>
      </c>
      <c r="H649" s="19">
        <v>126600</v>
      </c>
      <c r="I649" s="19">
        <f t="shared" si="20"/>
        <v>-11113</v>
      </c>
      <c r="J649" s="20">
        <f t="shared" si="21"/>
        <v>-8.0696811484754521E-2</v>
      </c>
    </row>
    <row r="650" spans="1:10" x14ac:dyDescent="0.2">
      <c r="A650" s="17" t="s">
        <v>689</v>
      </c>
      <c r="B650" s="18">
        <v>46256</v>
      </c>
      <c r="C650" s="17" t="s">
        <v>626</v>
      </c>
      <c r="D650" s="17" t="s">
        <v>13</v>
      </c>
      <c r="E650" s="17" t="s">
        <v>13</v>
      </c>
      <c r="F650" s="17" t="s">
        <v>51</v>
      </c>
      <c r="G650" s="19">
        <v>31187</v>
      </c>
      <c r="H650" s="19">
        <v>31800</v>
      </c>
      <c r="I650" s="19">
        <f t="shared" si="20"/>
        <v>613</v>
      </c>
      <c r="J650" s="20">
        <f t="shared" si="21"/>
        <v>1.9655625741494855E-2</v>
      </c>
    </row>
    <row r="651" spans="1:10" x14ac:dyDescent="0.2">
      <c r="A651" s="17" t="s">
        <v>690</v>
      </c>
      <c r="B651" s="18">
        <v>46258</v>
      </c>
      <c r="C651" s="17" t="s">
        <v>626</v>
      </c>
      <c r="D651" s="17" t="s">
        <v>25</v>
      </c>
      <c r="E651" s="17" t="s">
        <v>17</v>
      </c>
      <c r="F651" s="17" t="s">
        <v>27</v>
      </c>
      <c r="G651" s="19">
        <v>175988</v>
      </c>
      <c r="H651" s="19">
        <v>167700</v>
      </c>
      <c r="I651" s="19">
        <f t="shared" si="20"/>
        <v>-8288</v>
      </c>
      <c r="J651" s="20">
        <f t="shared" si="21"/>
        <v>-4.7094120053640019E-2</v>
      </c>
    </row>
    <row r="652" spans="1:10" x14ac:dyDescent="0.2">
      <c r="A652" s="17" t="s">
        <v>691</v>
      </c>
      <c r="B652" s="18">
        <v>46245</v>
      </c>
      <c r="C652" s="17" t="s">
        <v>626</v>
      </c>
      <c r="D652" s="17" t="s">
        <v>12</v>
      </c>
      <c r="E652" s="17" t="s">
        <v>65</v>
      </c>
      <c r="F652" s="17" t="s">
        <v>32</v>
      </c>
      <c r="G652" s="19">
        <v>165847</v>
      </c>
      <c r="H652" s="19">
        <v>167300</v>
      </c>
      <c r="I652" s="19">
        <f t="shared" si="20"/>
        <v>1453</v>
      </c>
      <c r="J652" s="20">
        <f t="shared" si="21"/>
        <v>8.761087025993838E-3</v>
      </c>
    </row>
    <row r="653" spans="1:10" x14ac:dyDescent="0.2">
      <c r="A653" s="17" t="s">
        <v>692</v>
      </c>
      <c r="B653" s="18">
        <v>46260</v>
      </c>
      <c r="C653" s="17" t="s">
        <v>626</v>
      </c>
      <c r="D653" s="17" t="s">
        <v>13</v>
      </c>
      <c r="E653" s="17" t="s">
        <v>17</v>
      </c>
      <c r="F653" s="17" t="s">
        <v>27</v>
      </c>
      <c r="G653" s="19">
        <v>183330</v>
      </c>
      <c r="H653" s="19">
        <v>198900</v>
      </c>
      <c r="I653" s="19">
        <f t="shared" si="20"/>
        <v>15570</v>
      </c>
      <c r="J653" s="20">
        <f t="shared" si="21"/>
        <v>8.4928816887579778E-2</v>
      </c>
    </row>
    <row r="654" spans="1:10" x14ac:dyDescent="0.2">
      <c r="A654" s="17" t="s">
        <v>693</v>
      </c>
      <c r="B654" s="18">
        <v>46253</v>
      </c>
      <c r="C654" s="17" t="s">
        <v>626</v>
      </c>
      <c r="D654" s="17" t="s">
        <v>49</v>
      </c>
      <c r="E654" s="17" t="s">
        <v>17</v>
      </c>
      <c r="F654" s="17" t="s">
        <v>29</v>
      </c>
      <c r="G654" s="19">
        <v>59227</v>
      </c>
      <c r="H654" s="19">
        <v>53900</v>
      </c>
      <c r="I654" s="19">
        <f t="shared" si="20"/>
        <v>-5327</v>
      </c>
      <c r="J654" s="20">
        <f t="shared" si="21"/>
        <v>-8.9942087223732425E-2</v>
      </c>
    </row>
    <row r="655" spans="1:10" x14ac:dyDescent="0.2">
      <c r="A655" s="17" t="s">
        <v>694</v>
      </c>
      <c r="B655" s="18">
        <v>46260</v>
      </c>
      <c r="C655" s="17" t="s">
        <v>626</v>
      </c>
      <c r="D655" s="17" t="s">
        <v>12</v>
      </c>
      <c r="E655" s="17" t="s">
        <v>46</v>
      </c>
      <c r="F655" s="17" t="s">
        <v>27</v>
      </c>
      <c r="G655" s="19">
        <v>167504</v>
      </c>
      <c r="H655" s="19">
        <v>194600</v>
      </c>
      <c r="I655" s="19">
        <f t="shared" si="20"/>
        <v>27096</v>
      </c>
      <c r="J655" s="20">
        <f t="shared" si="21"/>
        <v>0.16176330117489732</v>
      </c>
    </row>
    <row r="656" spans="1:10" x14ac:dyDescent="0.2">
      <c r="A656" s="17" t="s">
        <v>695</v>
      </c>
      <c r="B656" s="18">
        <v>46250</v>
      </c>
      <c r="C656" s="17" t="s">
        <v>626</v>
      </c>
      <c r="D656" s="17" t="s">
        <v>49</v>
      </c>
      <c r="E656" s="17" t="s">
        <v>65</v>
      </c>
      <c r="F656" s="17" t="s">
        <v>32</v>
      </c>
      <c r="G656" s="19">
        <v>89241</v>
      </c>
      <c r="H656" s="19">
        <v>89500</v>
      </c>
      <c r="I656" s="19">
        <f t="shared" si="20"/>
        <v>259</v>
      </c>
      <c r="J656" s="20">
        <f t="shared" si="21"/>
        <v>2.9022534485270224E-3</v>
      </c>
    </row>
    <row r="657" spans="1:10" x14ac:dyDescent="0.2">
      <c r="A657" s="17" t="s">
        <v>696</v>
      </c>
      <c r="B657" s="18">
        <v>46239</v>
      </c>
      <c r="C657" s="17" t="s">
        <v>626</v>
      </c>
      <c r="D657" s="17" t="s">
        <v>49</v>
      </c>
      <c r="E657" s="17" t="s">
        <v>23</v>
      </c>
      <c r="F657" s="17" t="s">
        <v>32</v>
      </c>
      <c r="G657" s="19">
        <v>65141</v>
      </c>
      <c r="H657" s="19">
        <v>62500</v>
      </c>
      <c r="I657" s="19">
        <f t="shared" si="20"/>
        <v>-2641</v>
      </c>
      <c r="J657" s="20">
        <f t="shared" si="21"/>
        <v>-4.0542822492746503E-2</v>
      </c>
    </row>
    <row r="658" spans="1:10" x14ac:dyDescent="0.2">
      <c r="A658" s="17" t="s">
        <v>697</v>
      </c>
      <c r="B658" s="18">
        <v>46245</v>
      </c>
      <c r="C658" s="17" t="s">
        <v>626</v>
      </c>
      <c r="D658" s="17" t="s">
        <v>16</v>
      </c>
      <c r="E658" s="17" t="s">
        <v>13</v>
      </c>
      <c r="F658" s="17" t="s">
        <v>32</v>
      </c>
      <c r="G658" s="19">
        <v>123754</v>
      </c>
      <c r="H658" s="19">
        <v>149200</v>
      </c>
      <c r="I658" s="19">
        <f t="shared" si="20"/>
        <v>25446</v>
      </c>
      <c r="J658" s="20">
        <f t="shared" si="21"/>
        <v>0.20561759619891073</v>
      </c>
    </row>
    <row r="659" spans="1:10" x14ac:dyDescent="0.2">
      <c r="A659" s="17" t="s">
        <v>698</v>
      </c>
      <c r="B659" s="18">
        <v>46246</v>
      </c>
      <c r="C659" s="17" t="s">
        <v>626</v>
      </c>
      <c r="D659" s="17" t="s">
        <v>25</v>
      </c>
      <c r="E659" s="17" t="s">
        <v>46</v>
      </c>
      <c r="F659" s="17" t="s">
        <v>44</v>
      </c>
      <c r="G659" s="19">
        <v>144575</v>
      </c>
      <c r="H659" s="19">
        <v>176100</v>
      </c>
      <c r="I659" s="19">
        <f t="shared" si="20"/>
        <v>31525</v>
      </c>
      <c r="J659" s="20">
        <f t="shared" si="21"/>
        <v>0.21805291371260591</v>
      </c>
    </row>
    <row r="660" spans="1:10" x14ac:dyDescent="0.2">
      <c r="A660" s="17" t="s">
        <v>699</v>
      </c>
      <c r="B660" s="18">
        <v>46250</v>
      </c>
      <c r="C660" s="17" t="s">
        <v>626</v>
      </c>
      <c r="D660" s="17" t="s">
        <v>16</v>
      </c>
      <c r="E660" s="17" t="s">
        <v>17</v>
      </c>
      <c r="F660" s="17" t="s">
        <v>14</v>
      </c>
      <c r="G660" s="19">
        <v>101513</v>
      </c>
      <c r="H660" s="19">
        <v>97700</v>
      </c>
      <c r="I660" s="19">
        <f t="shared" si="20"/>
        <v>-3813</v>
      </c>
      <c r="J660" s="20">
        <f t="shared" si="21"/>
        <v>-3.7561691606001202E-2</v>
      </c>
    </row>
    <row r="661" spans="1:10" x14ac:dyDescent="0.2">
      <c r="A661" s="17" t="s">
        <v>700</v>
      </c>
      <c r="B661" s="18">
        <v>46258</v>
      </c>
      <c r="C661" s="17" t="s">
        <v>626</v>
      </c>
      <c r="D661" s="17" t="s">
        <v>13</v>
      </c>
      <c r="E661" s="17" t="s">
        <v>46</v>
      </c>
      <c r="F661" s="17" t="s">
        <v>44</v>
      </c>
      <c r="G661" s="19">
        <v>55228</v>
      </c>
      <c r="H661" s="19">
        <v>53600</v>
      </c>
      <c r="I661" s="19">
        <f t="shared" si="20"/>
        <v>-1628</v>
      </c>
      <c r="J661" s="20">
        <f t="shared" si="21"/>
        <v>-2.9477801115376259E-2</v>
      </c>
    </row>
    <row r="662" spans="1:10" x14ac:dyDescent="0.2">
      <c r="A662" s="17" t="s">
        <v>701</v>
      </c>
      <c r="B662" s="18">
        <v>46237</v>
      </c>
      <c r="C662" s="17" t="s">
        <v>626</v>
      </c>
      <c r="D662" s="17" t="s">
        <v>20</v>
      </c>
      <c r="E662" s="17" t="s">
        <v>65</v>
      </c>
      <c r="F662" s="17" t="s">
        <v>14</v>
      </c>
      <c r="G662" s="19">
        <v>129254</v>
      </c>
      <c r="H662" s="19">
        <v>141100</v>
      </c>
      <c r="I662" s="19">
        <f t="shared" si="20"/>
        <v>11846</v>
      </c>
      <c r="J662" s="20">
        <f t="shared" si="21"/>
        <v>9.1649001191452487E-2</v>
      </c>
    </row>
    <row r="663" spans="1:10" x14ac:dyDescent="0.2">
      <c r="A663" s="17" t="s">
        <v>702</v>
      </c>
      <c r="B663" s="18">
        <v>46259</v>
      </c>
      <c r="C663" s="17" t="s">
        <v>626</v>
      </c>
      <c r="D663" s="17" t="s">
        <v>49</v>
      </c>
      <c r="E663" s="17" t="s">
        <v>46</v>
      </c>
      <c r="F663" s="17" t="s">
        <v>32</v>
      </c>
      <c r="G663" s="19">
        <v>126737</v>
      </c>
      <c r="H663" s="19">
        <v>145300</v>
      </c>
      <c r="I663" s="19">
        <f t="shared" si="20"/>
        <v>18563</v>
      </c>
      <c r="J663" s="20">
        <f t="shared" si="21"/>
        <v>0.14646867134301744</v>
      </c>
    </row>
    <row r="664" spans="1:10" x14ac:dyDescent="0.2">
      <c r="A664" s="17" t="s">
        <v>703</v>
      </c>
      <c r="B664" s="18">
        <v>46237</v>
      </c>
      <c r="C664" s="17" t="s">
        <v>626</v>
      </c>
      <c r="D664" s="17" t="s">
        <v>12</v>
      </c>
      <c r="E664" s="17" t="s">
        <v>23</v>
      </c>
      <c r="F664" s="17" t="s">
        <v>51</v>
      </c>
      <c r="G664" s="19">
        <v>155074</v>
      </c>
      <c r="H664" s="19">
        <v>180900</v>
      </c>
      <c r="I664" s="19">
        <f t="shared" si="20"/>
        <v>25826</v>
      </c>
      <c r="J664" s="20">
        <f t="shared" si="21"/>
        <v>0.16653984549311943</v>
      </c>
    </row>
    <row r="665" spans="1:10" x14ac:dyDescent="0.2">
      <c r="A665" s="17" t="s">
        <v>704</v>
      </c>
      <c r="B665" s="18">
        <v>46235</v>
      </c>
      <c r="C665" s="17" t="s">
        <v>626</v>
      </c>
      <c r="D665" s="17" t="s">
        <v>20</v>
      </c>
      <c r="E665" s="17" t="s">
        <v>13</v>
      </c>
      <c r="F665" s="17" t="s">
        <v>14</v>
      </c>
      <c r="G665" s="19">
        <v>157438</v>
      </c>
      <c r="H665" s="19">
        <v>189200</v>
      </c>
      <c r="I665" s="19">
        <f t="shared" si="20"/>
        <v>31762</v>
      </c>
      <c r="J665" s="20">
        <f t="shared" si="21"/>
        <v>0.20174290831946545</v>
      </c>
    </row>
    <row r="666" spans="1:10" x14ac:dyDescent="0.2">
      <c r="A666" s="17" t="s">
        <v>705</v>
      </c>
      <c r="B666" s="18">
        <v>46249</v>
      </c>
      <c r="C666" s="17" t="s">
        <v>626</v>
      </c>
      <c r="D666" s="17" t="s">
        <v>25</v>
      </c>
      <c r="E666" s="17" t="s">
        <v>46</v>
      </c>
      <c r="F666" s="17" t="s">
        <v>14</v>
      </c>
      <c r="G666" s="19">
        <v>35106</v>
      </c>
      <c r="H666" s="19">
        <v>33300</v>
      </c>
      <c r="I666" s="19">
        <f t="shared" si="20"/>
        <v>-1806</v>
      </c>
      <c r="J666" s="20">
        <f t="shared" si="21"/>
        <v>-5.1444197573064433E-2</v>
      </c>
    </row>
    <row r="667" spans="1:10" x14ac:dyDescent="0.2">
      <c r="A667" s="17" t="s">
        <v>706</v>
      </c>
      <c r="B667" s="18">
        <v>46249</v>
      </c>
      <c r="C667" s="17" t="s">
        <v>626</v>
      </c>
      <c r="D667" s="17" t="s">
        <v>49</v>
      </c>
      <c r="E667" s="17" t="s">
        <v>23</v>
      </c>
      <c r="F667" s="17" t="s">
        <v>29</v>
      </c>
      <c r="G667" s="19">
        <v>91821</v>
      </c>
      <c r="H667" s="19">
        <v>91600</v>
      </c>
      <c r="I667" s="19">
        <f t="shared" si="20"/>
        <v>-221</v>
      </c>
      <c r="J667" s="20">
        <f t="shared" si="21"/>
        <v>-2.406856819246142E-3</v>
      </c>
    </row>
    <row r="668" spans="1:10" x14ac:dyDescent="0.2">
      <c r="A668" s="17" t="s">
        <v>707</v>
      </c>
      <c r="B668" s="18">
        <v>46246</v>
      </c>
      <c r="C668" s="17" t="s">
        <v>626</v>
      </c>
      <c r="D668" s="17" t="s">
        <v>13</v>
      </c>
      <c r="E668" s="17" t="s">
        <v>65</v>
      </c>
      <c r="F668" s="17" t="s">
        <v>51</v>
      </c>
      <c r="G668" s="19">
        <v>198565</v>
      </c>
      <c r="H668" s="19">
        <v>171200</v>
      </c>
      <c r="I668" s="19">
        <f t="shared" si="20"/>
        <v>-27365</v>
      </c>
      <c r="J668" s="20">
        <f t="shared" si="21"/>
        <v>-0.13781381411628435</v>
      </c>
    </row>
    <row r="669" spans="1:10" x14ac:dyDescent="0.2">
      <c r="A669" s="17" t="s">
        <v>708</v>
      </c>
      <c r="B669" s="18">
        <v>46246</v>
      </c>
      <c r="C669" s="17" t="s">
        <v>626</v>
      </c>
      <c r="D669" s="17" t="s">
        <v>12</v>
      </c>
      <c r="E669" s="17" t="s">
        <v>26</v>
      </c>
      <c r="F669" s="17" t="s">
        <v>44</v>
      </c>
      <c r="G669" s="19">
        <v>144408</v>
      </c>
      <c r="H669" s="19">
        <v>156600</v>
      </c>
      <c r="I669" s="19">
        <f t="shared" si="20"/>
        <v>12192</v>
      </c>
      <c r="J669" s="20">
        <f t="shared" si="21"/>
        <v>8.4427455542629218E-2</v>
      </c>
    </row>
    <row r="670" spans="1:10" x14ac:dyDescent="0.2">
      <c r="A670" s="17" t="s">
        <v>709</v>
      </c>
      <c r="B670" s="18">
        <v>46278</v>
      </c>
      <c r="C670" s="17" t="s">
        <v>710</v>
      </c>
      <c r="D670" s="17" t="s">
        <v>25</v>
      </c>
      <c r="E670" s="17" t="s">
        <v>26</v>
      </c>
      <c r="F670" s="17" t="s">
        <v>18</v>
      </c>
      <c r="G670" s="19">
        <v>43695</v>
      </c>
      <c r="H670" s="19">
        <v>42100</v>
      </c>
      <c r="I670" s="19">
        <f t="shared" si="20"/>
        <v>-1595</v>
      </c>
      <c r="J670" s="20">
        <f t="shared" si="21"/>
        <v>-3.6503032383567911E-2</v>
      </c>
    </row>
    <row r="671" spans="1:10" x14ac:dyDescent="0.2">
      <c r="A671" s="17" t="s">
        <v>711</v>
      </c>
      <c r="B671" s="18">
        <v>46286</v>
      </c>
      <c r="C671" s="17" t="s">
        <v>710</v>
      </c>
      <c r="D671" s="17" t="s">
        <v>20</v>
      </c>
      <c r="E671" s="17" t="s">
        <v>13</v>
      </c>
      <c r="F671" s="17" t="s">
        <v>44</v>
      </c>
      <c r="G671" s="19">
        <v>76182</v>
      </c>
      <c r="H671" s="19">
        <v>90900</v>
      </c>
      <c r="I671" s="19">
        <f t="shared" si="20"/>
        <v>14718</v>
      </c>
      <c r="J671" s="20">
        <f t="shared" si="21"/>
        <v>0.1931952429707805</v>
      </c>
    </row>
    <row r="672" spans="1:10" x14ac:dyDescent="0.2">
      <c r="A672" s="17" t="s">
        <v>712</v>
      </c>
      <c r="B672" s="18">
        <v>46266</v>
      </c>
      <c r="C672" s="17" t="s">
        <v>710</v>
      </c>
      <c r="D672" s="17" t="s">
        <v>16</v>
      </c>
      <c r="E672" s="17" t="s">
        <v>35</v>
      </c>
      <c r="F672" s="17" t="s">
        <v>41</v>
      </c>
      <c r="G672" s="19">
        <v>190809</v>
      </c>
      <c r="H672" s="19">
        <v>193400</v>
      </c>
      <c r="I672" s="19">
        <f t="shared" si="20"/>
        <v>2591</v>
      </c>
      <c r="J672" s="20">
        <f t="shared" si="21"/>
        <v>1.3579024050228239E-2</v>
      </c>
    </row>
    <row r="673" spans="1:10" x14ac:dyDescent="0.2">
      <c r="A673" s="17" t="s">
        <v>713</v>
      </c>
      <c r="B673" s="18">
        <v>46285</v>
      </c>
      <c r="C673" s="17" t="s">
        <v>710</v>
      </c>
      <c r="D673" s="17" t="s">
        <v>25</v>
      </c>
      <c r="E673" s="17" t="s">
        <v>13</v>
      </c>
      <c r="F673" s="17" t="s">
        <v>44</v>
      </c>
      <c r="G673" s="19">
        <v>54685</v>
      </c>
      <c r="H673" s="19">
        <v>60600</v>
      </c>
      <c r="I673" s="19">
        <f t="shared" si="20"/>
        <v>5915</v>
      </c>
      <c r="J673" s="20">
        <f t="shared" si="21"/>
        <v>0.10816494468318552</v>
      </c>
    </row>
    <row r="674" spans="1:10" x14ac:dyDescent="0.2">
      <c r="A674" s="17" t="s">
        <v>714</v>
      </c>
      <c r="B674" s="18">
        <v>46275</v>
      </c>
      <c r="C674" s="17" t="s">
        <v>710</v>
      </c>
      <c r="D674" s="17" t="s">
        <v>16</v>
      </c>
      <c r="E674" s="17" t="s">
        <v>31</v>
      </c>
      <c r="F674" s="17" t="s">
        <v>27</v>
      </c>
      <c r="G674" s="19">
        <v>179473</v>
      </c>
      <c r="H674" s="19">
        <v>210300</v>
      </c>
      <c r="I674" s="19">
        <f t="shared" si="20"/>
        <v>30827</v>
      </c>
      <c r="J674" s="20">
        <f t="shared" si="21"/>
        <v>0.17176399792726482</v>
      </c>
    </row>
    <row r="675" spans="1:10" x14ac:dyDescent="0.2">
      <c r="A675" s="17" t="s">
        <v>715</v>
      </c>
      <c r="B675" s="18">
        <v>46280</v>
      </c>
      <c r="C675" s="17" t="s">
        <v>710</v>
      </c>
      <c r="D675" s="17" t="s">
        <v>12</v>
      </c>
      <c r="E675" s="17" t="s">
        <v>13</v>
      </c>
      <c r="F675" s="17" t="s">
        <v>41</v>
      </c>
      <c r="G675" s="19">
        <v>118690</v>
      </c>
      <c r="H675" s="19">
        <v>141300</v>
      </c>
      <c r="I675" s="19">
        <f t="shared" si="20"/>
        <v>22610</v>
      </c>
      <c r="J675" s="20">
        <f t="shared" si="21"/>
        <v>0.1904962507372146</v>
      </c>
    </row>
    <row r="676" spans="1:10" x14ac:dyDescent="0.2">
      <c r="A676" s="17" t="s">
        <v>716</v>
      </c>
      <c r="B676" s="18">
        <v>46292</v>
      </c>
      <c r="C676" s="17" t="s">
        <v>710</v>
      </c>
      <c r="D676" s="17" t="s">
        <v>49</v>
      </c>
      <c r="E676" s="17" t="s">
        <v>23</v>
      </c>
      <c r="F676" s="17" t="s">
        <v>18</v>
      </c>
      <c r="G676" s="19">
        <v>99205</v>
      </c>
      <c r="H676" s="19">
        <v>111200</v>
      </c>
      <c r="I676" s="19">
        <f t="shared" si="20"/>
        <v>11995</v>
      </c>
      <c r="J676" s="20">
        <f t="shared" si="21"/>
        <v>0.12091124439292375</v>
      </c>
    </row>
    <row r="677" spans="1:10" x14ac:dyDescent="0.2">
      <c r="A677" s="17" t="s">
        <v>717</v>
      </c>
      <c r="B677" s="18">
        <v>46287</v>
      </c>
      <c r="C677" s="17" t="s">
        <v>710</v>
      </c>
      <c r="D677" s="17" t="s">
        <v>12</v>
      </c>
      <c r="E677" s="17" t="s">
        <v>31</v>
      </c>
      <c r="F677" s="17" t="s">
        <v>44</v>
      </c>
      <c r="G677" s="19">
        <v>46820</v>
      </c>
      <c r="H677" s="19">
        <v>39900</v>
      </c>
      <c r="I677" s="19">
        <f t="shared" si="20"/>
        <v>-6920</v>
      </c>
      <c r="J677" s="20">
        <f t="shared" si="21"/>
        <v>-0.1478000854335754</v>
      </c>
    </row>
    <row r="678" spans="1:10" x14ac:dyDescent="0.2">
      <c r="A678" s="17" t="s">
        <v>718</v>
      </c>
      <c r="B678" s="18">
        <v>46268</v>
      </c>
      <c r="C678" s="17" t="s">
        <v>710</v>
      </c>
      <c r="D678" s="17" t="s">
        <v>12</v>
      </c>
      <c r="E678" s="17" t="s">
        <v>31</v>
      </c>
      <c r="F678" s="17" t="s">
        <v>38</v>
      </c>
      <c r="G678" s="19">
        <v>199414</v>
      </c>
      <c r="H678" s="19">
        <v>178100</v>
      </c>
      <c r="I678" s="19">
        <f t="shared" si="20"/>
        <v>-21314</v>
      </c>
      <c r="J678" s="20">
        <f t="shared" si="21"/>
        <v>-0.10688316768130622</v>
      </c>
    </row>
    <row r="679" spans="1:10" x14ac:dyDescent="0.2">
      <c r="A679" s="17" t="s">
        <v>719</v>
      </c>
      <c r="B679" s="18">
        <v>46288</v>
      </c>
      <c r="C679" s="17" t="s">
        <v>710</v>
      </c>
      <c r="D679" s="17" t="s">
        <v>16</v>
      </c>
      <c r="E679" s="17" t="s">
        <v>31</v>
      </c>
      <c r="F679" s="17" t="s">
        <v>14</v>
      </c>
      <c r="G679" s="19">
        <v>92583</v>
      </c>
      <c r="H679" s="19">
        <v>88400</v>
      </c>
      <c r="I679" s="19">
        <f t="shared" si="20"/>
        <v>-4183</v>
      </c>
      <c r="J679" s="20">
        <f t="shared" si="21"/>
        <v>-4.5181080759966734E-2</v>
      </c>
    </row>
    <row r="680" spans="1:10" x14ac:dyDescent="0.2">
      <c r="A680" s="17" t="s">
        <v>720</v>
      </c>
      <c r="B680" s="18">
        <v>46273</v>
      </c>
      <c r="C680" s="17" t="s">
        <v>710</v>
      </c>
      <c r="D680" s="17" t="s">
        <v>25</v>
      </c>
      <c r="E680" s="17" t="s">
        <v>23</v>
      </c>
      <c r="F680" s="17" t="s">
        <v>38</v>
      </c>
      <c r="G680" s="19">
        <v>59303</v>
      </c>
      <c r="H680" s="19">
        <v>62700</v>
      </c>
      <c r="I680" s="19">
        <f t="shared" si="20"/>
        <v>3397</v>
      </c>
      <c r="J680" s="20">
        <f t="shared" si="21"/>
        <v>5.7282093654621183E-2</v>
      </c>
    </row>
    <row r="681" spans="1:10" x14ac:dyDescent="0.2">
      <c r="A681" s="17" t="s">
        <v>721</v>
      </c>
      <c r="B681" s="18">
        <v>46266</v>
      </c>
      <c r="C681" s="17" t="s">
        <v>710</v>
      </c>
      <c r="D681" s="17" t="s">
        <v>16</v>
      </c>
      <c r="E681" s="17" t="s">
        <v>65</v>
      </c>
      <c r="F681" s="17" t="s">
        <v>44</v>
      </c>
      <c r="G681" s="19">
        <v>198456</v>
      </c>
      <c r="H681" s="19">
        <v>179800</v>
      </c>
      <c r="I681" s="19">
        <f t="shared" si="20"/>
        <v>-18656</v>
      </c>
      <c r="J681" s="20">
        <f t="shared" si="21"/>
        <v>-9.4005724190752607E-2</v>
      </c>
    </row>
    <row r="682" spans="1:10" x14ac:dyDescent="0.2">
      <c r="A682" s="17" t="s">
        <v>722</v>
      </c>
      <c r="B682" s="18">
        <v>46278</v>
      </c>
      <c r="C682" s="17" t="s">
        <v>710</v>
      </c>
      <c r="D682" s="17" t="s">
        <v>13</v>
      </c>
      <c r="E682" s="17" t="s">
        <v>35</v>
      </c>
      <c r="F682" s="17" t="s">
        <v>18</v>
      </c>
      <c r="G682" s="19">
        <v>88007</v>
      </c>
      <c r="H682" s="19">
        <v>106700</v>
      </c>
      <c r="I682" s="19">
        <f t="shared" si="20"/>
        <v>18693</v>
      </c>
      <c r="J682" s="20">
        <f t="shared" si="21"/>
        <v>0.21240355880782211</v>
      </c>
    </row>
    <row r="683" spans="1:10" x14ac:dyDescent="0.2">
      <c r="A683" s="17" t="s">
        <v>723</v>
      </c>
      <c r="B683" s="18">
        <v>46276</v>
      </c>
      <c r="C683" s="17" t="s">
        <v>710</v>
      </c>
      <c r="D683" s="17" t="s">
        <v>16</v>
      </c>
      <c r="E683" s="17" t="s">
        <v>13</v>
      </c>
      <c r="F683" s="17" t="s">
        <v>21</v>
      </c>
      <c r="G683" s="19">
        <v>169957</v>
      </c>
      <c r="H683" s="19">
        <v>199900</v>
      </c>
      <c r="I683" s="19">
        <f t="shared" si="20"/>
        <v>29943</v>
      </c>
      <c r="J683" s="20">
        <f t="shared" si="21"/>
        <v>0.17617985725801233</v>
      </c>
    </row>
    <row r="684" spans="1:10" x14ac:dyDescent="0.2">
      <c r="A684" s="17" t="s">
        <v>724</v>
      </c>
      <c r="B684" s="18">
        <v>46287</v>
      </c>
      <c r="C684" s="17" t="s">
        <v>710</v>
      </c>
      <c r="D684" s="17" t="s">
        <v>12</v>
      </c>
      <c r="E684" s="17" t="s">
        <v>31</v>
      </c>
      <c r="F684" s="17" t="s">
        <v>51</v>
      </c>
      <c r="G684" s="19">
        <v>187330</v>
      </c>
      <c r="H684" s="19">
        <v>218000</v>
      </c>
      <c r="I684" s="19">
        <f t="shared" si="20"/>
        <v>30670</v>
      </c>
      <c r="J684" s="20">
        <f t="shared" si="21"/>
        <v>0.16372177440879732</v>
      </c>
    </row>
    <row r="685" spans="1:10" x14ac:dyDescent="0.2">
      <c r="A685" s="17" t="s">
        <v>725</v>
      </c>
      <c r="B685" s="18">
        <v>46271</v>
      </c>
      <c r="C685" s="17" t="s">
        <v>710</v>
      </c>
      <c r="D685" s="17" t="s">
        <v>12</v>
      </c>
      <c r="E685" s="17" t="s">
        <v>17</v>
      </c>
      <c r="F685" s="17" t="s">
        <v>41</v>
      </c>
      <c r="G685" s="19">
        <v>192389</v>
      </c>
      <c r="H685" s="19">
        <v>231000</v>
      </c>
      <c r="I685" s="19">
        <f t="shared" si="20"/>
        <v>38611</v>
      </c>
      <c r="J685" s="20">
        <f t="shared" si="21"/>
        <v>0.20069234727557189</v>
      </c>
    </row>
    <row r="686" spans="1:10" x14ac:dyDescent="0.2">
      <c r="A686" s="17" t="s">
        <v>726</v>
      </c>
      <c r="B686" s="18">
        <v>46289</v>
      </c>
      <c r="C686" s="17" t="s">
        <v>710</v>
      </c>
      <c r="D686" s="17" t="s">
        <v>49</v>
      </c>
      <c r="E686" s="17" t="s">
        <v>26</v>
      </c>
      <c r="F686" s="17" t="s">
        <v>38</v>
      </c>
      <c r="G686" s="19">
        <v>53539</v>
      </c>
      <c r="H686" s="19">
        <v>61400</v>
      </c>
      <c r="I686" s="19">
        <f t="shared" si="20"/>
        <v>7861</v>
      </c>
      <c r="J686" s="20">
        <f t="shared" si="21"/>
        <v>0.14682754627467828</v>
      </c>
    </row>
    <row r="687" spans="1:10" x14ac:dyDescent="0.2">
      <c r="A687" s="17" t="s">
        <v>727</v>
      </c>
      <c r="B687" s="18">
        <v>46277</v>
      </c>
      <c r="C687" s="17" t="s">
        <v>710</v>
      </c>
      <c r="D687" s="17" t="s">
        <v>20</v>
      </c>
      <c r="E687" s="17" t="s">
        <v>31</v>
      </c>
      <c r="F687" s="17" t="s">
        <v>27</v>
      </c>
      <c r="G687" s="19">
        <v>191556</v>
      </c>
      <c r="H687" s="19">
        <v>169700</v>
      </c>
      <c r="I687" s="19">
        <f t="shared" si="20"/>
        <v>-21856</v>
      </c>
      <c r="J687" s="20">
        <f t="shared" si="21"/>
        <v>-0.11409718306918082</v>
      </c>
    </row>
    <row r="688" spans="1:10" x14ac:dyDescent="0.2">
      <c r="A688" s="17" t="s">
        <v>728</v>
      </c>
      <c r="B688" s="18">
        <v>46284</v>
      </c>
      <c r="C688" s="17" t="s">
        <v>710</v>
      </c>
      <c r="D688" s="17" t="s">
        <v>12</v>
      </c>
      <c r="E688" s="17" t="s">
        <v>65</v>
      </c>
      <c r="F688" s="17" t="s">
        <v>29</v>
      </c>
      <c r="G688" s="19">
        <v>106852</v>
      </c>
      <c r="H688" s="19">
        <v>106700</v>
      </c>
      <c r="I688" s="19">
        <f t="shared" si="20"/>
        <v>-152</v>
      </c>
      <c r="J688" s="20">
        <f t="shared" si="21"/>
        <v>-1.4225283569797478E-3</v>
      </c>
    </row>
    <row r="689" spans="1:10" x14ac:dyDescent="0.2">
      <c r="A689" s="17" t="s">
        <v>729</v>
      </c>
      <c r="B689" s="18">
        <v>46286</v>
      </c>
      <c r="C689" s="17" t="s">
        <v>710</v>
      </c>
      <c r="D689" s="17" t="s">
        <v>49</v>
      </c>
      <c r="E689" s="17" t="s">
        <v>17</v>
      </c>
      <c r="F689" s="17" t="s">
        <v>41</v>
      </c>
      <c r="G689" s="19">
        <v>143348</v>
      </c>
      <c r="H689" s="19">
        <v>124900</v>
      </c>
      <c r="I689" s="19">
        <f t="shared" si="20"/>
        <v>-18448</v>
      </c>
      <c r="J689" s="20">
        <f t="shared" si="21"/>
        <v>-0.12869380807545275</v>
      </c>
    </row>
    <row r="690" spans="1:10" x14ac:dyDescent="0.2">
      <c r="A690" s="17" t="s">
        <v>730</v>
      </c>
      <c r="B690" s="18">
        <v>46293</v>
      </c>
      <c r="C690" s="17" t="s">
        <v>710</v>
      </c>
      <c r="D690" s="17" t="s">
        <v>16</v>
      </c>
      <c r="E690" s="17" t="s">
        <v>23</v>
      </c>
      <c r="F690" s="17" t="s">
        <v>21</v>
      </c>
      <c r="G690" s="19">
        <v>70998</v>
      </c>
      <c r="H690" s="19">
        <v>74600</v>
      </c>
      <c r="I690" s="19">
        <f t="shared" si="20"/>
        <v>3602</v>
      </c>
      <c r="J690" s="20">
        <f t="shared" si="21"/>
        <v>5.073382348798558E-2</v>
      </c>
    </row>
    <row r="691" spans="1:10" x14ac:dyDescent="0.2">
      <c r="A691" s="17" t="s">
        <v>731</v>
      </c>
      <c r="B691" s="18">
        <v>46293</v>
      </c>
      <c r="C691" s="17" t="s">
        <v>710</v>
      </c>
      <c r="D691" s="17" t="s">
        <v>20</v>
      </c>
      <c r="E691" s="17" t="s">
        <v>26</v>
      </c>
      <c r="F691" s="17" t="s">
        <v>14</v>
      </c>
      <c r="G691" s="19">
        <v>98212</v>
      </c>
      <c r="H691" s="19">
        <v>99700</v>
      </c>
      <c r="I691" s="19">
        <f t="shared" si="20"/>
        <v>1488</v>
      </c>
      <c r="J691" s="20">
        <f t="shared" si="21"/>
        <v>1.5150898057263879E-2</v>
      </c>
    </row>
    <row r="692" spans="1:10" x14ac:dyDescent="0.2">
      <c r="A692" s="17" t="s">
        <v>732</v>
      </c>
      <c r="B692" s="18">
        <v>46284</v>
      </c>
      <c r="C692" s="17" t="s">
        <v>710</v>
      </c>
      <c r="D692" s="17" t="s">
        <v>13</v>
      </c>
      <c r="E692" s="17" t="s">
        <v>26</v>
      </c>
      <c r="F692" s="17" t="s">
        <v>38</v>
      </c>
      <c r="G692" s="19">
        <v>109828</v>
      </c>
      <c r="H692" s="19">
        <v>111300</v>
      </c>
      <c r="I692" s="19">
        <f t="shared" si="20"/>
        <v>1472</v>
      </c>
      <c r="J692" s="20">
        <f t="shared" si="21"/>
        <v>1.3402775248570493E-2</v>
      </c>
    </row>
    <row r="693" spans="1:10" x14ac:dyDescent="0.2">
      <c r="A693" s="17" t="s">
        <v>733</v>
      </c>
      <c r="B693" s="18">
        <v>46281</v>
      </c>
      <c r="C693" s="17" t="s">
        <v>710</v>
      </c>
      <c r="D693" s="17" t="s">
        <v>12</v>
      </c>
      <c r="E693" s="17" t="s">
        <v>26</v>
      </c>
      <c r="F693" s="17" t="s">
        <v>38</v>
      </c>
      <c r="G693" s="19">
        <v>67279</v>
      </c>
      <c r="H693" s="19">
        <v>78100</v>
      </c>
      <c r="I693" s="19">
        <f t="shared" si="20"/>
        <v>10821</v>
      </c>
      <c r="J693" s="20">
        <f t="shared" si="21"/>
        <v>0.16083770567338992</v>
      </c>
    </row>
    <row r="694" spans="1:10" x14ac:dyDescent="0.2">
      <c r="A694" s="17" t="s">
        <v>734</v>
      </c>
      <c r="B694" s="18">
        <v>46280</v>
      </c>
      <c r="C694" s="17" t="s">
        <v>710</v>
      </c>
      <c r="D694" s="17" t="s">
        <v>12</v>
      </c>
      <c r="E694" s="17" t="s">
        <v>13</v>
      </c>
      <c r="F694" s="17" t="s">
        <v>51</v>
      </c>
      <c r="G694" s="19">
        <v>186330</v>
      </c>
      <c r="H694" s="19">
        <v>162700</v>
      </c>
      <c r="I694" s="19">
        <f t="shared" si="20"/>
        <v>-23630</v>
      </c>
      <c r="J694" s="20">
        <f t="shared" si="21"/>
        <v>-0.12681801105565393</v>
      </c>
    </row>
    <row r="695" spans="1:10" x14ac:dyDescent="0.2">
      <c r="A695" s="17" t="s">
        <v>735</v>
      </c>
      <c r="B695" s="18">
        <v>46281</v>
      </c>
      <c r="C695" s="17" t="s">
        <v>710</v>
      </c>
      <c r="D695" s="17" t="s">
        <v>25</v>
      </c>
      <c r="E695" s="17" t="s">
        <v>26</v>
      </c>
      <c r="F695" s="17" t="s">
        <v>18</v>
      </c>
      <c r="G695" s="19">
        <v>171068</v>
      </c>
      <c r="H695" s="19">
        <v>197700</v>
      </c>
      <c r="I695" s="19">
        <f t="shared" si="20"/>
        <v>26632</v>
      </c>
      <c r="J695" s="20">
        <f t="shared" si="21"/>
        <v>0.15568078191128673</v>
      </c>
    </row>
    <row r="696" spans="1:10" x14ac:dyDescent="0.2">
      <c r="A696" s="17" t="s">
        <v>736</v>
      </c>
      <c r="B696" s="18">
        <v>46278</v>
      </c>
      <c r="C696" s="17" t="s">
        <v>710</v>
      </c>
      <c r="D696" s="17" t="s">
        <v>13</v>
      </c>
      <c r="E696" s="17" t="s">
        <v>65</v>
      </c>
      <c r="F696" s="17" t="s">
        <v>27</v>
      </c>
      <c r="G696" s="19">
        <v>133694</v>
      </c>
      <c r="H696" s="19">
        <v>147500</v>
      </c>
      <c r="I696" s="19">
        <f t="shared" si="20"/>
        <v>13806</v>
      </c>
      <c r="J696" s="20">
        <f t="shared" si="21"/>
        <v>0.10326566637246248</v>
      </c>
    </row>
    <row r="697" spans="1:10" x14ac:dyDescent="0.2">
      <c r="A697" s="17" t="s">
        <v>737</v>
      </c>
      <c r="B697" s="18">
        <v>46272</v>
      </c>
      <c r="C697" s="17" t="s">
        <v>710</v>
      </c>
      <c r="D697" s="17" t="s">
        <v>16</v>
      </c>
      <c r="E697" s="17" t="s">
        <v>46</v>
      </c>
      <c r="F697" s="17" t="s">
        <v>32</v>
      </c>
      <c r="G697" s="19">
        <v>21223</v>
      </c>
      <c r="H697" s="19">
        <v>18400</v>
      </c>
      <c r="I697" s="19">
        <f t="shared" si="20"/>
        <v>-2823</v>
      </c>
      <c r="J697" s="20">
        <f t="shared" si="21"/>
        <v>-0.13301606747396691</v>
      </c>
    </row>
    <row r="698" spans="1:10" x14ac:dyDescent="0.2">
      <c r="A698" s="17" t="s">
        <v>738</v>
      </c>
      <c r="B698" s="18">
        <v>46282</v>
      </c>
      <c r="C698" s="17" t="s">
        <v>710</v>
      </c>
      <c r="D698" s="17" t="s">
        <v>20</v>
      </c>
      <c r="E698" s="17" t="s">
        <v>35</v>
      </c>
      <c r="F698" s="17" t="s">
        <v>32</v>
      </c>
      <c r="G698" s="19">
        <v>104466</v>
      </c>
      <c r="H698" s="19">
        <v>120400</v>
      </c>
      <c r="I698" s="19">
        <f t="shared" si="20"/>
        <v>15934</v>
      </c>
      <c r="J698" s="20">
        <f t="shared" si="21"/>
        <v>0.15252809526544522</v>
      </c>
    </row>
    <row r="699" spans="1:10" x14ac:dyDescent="0.2">
      <c r="A699" s="17" t="s">
        <v>739</v>
      </c>
      <c r="B699" s="18">
        <v>46273</v>
      </c>
      <c r="C699" s="17" t="s">
        <v>710</v>
      </c>
      <c r="D699" s="17" t="s">
        <v>16</v>
      </c>
      <c r="E699" s="17" t="s">
        <v>46</v>
      </c>
      <c r="F699" s="17" t="s">
        <v>44</v>
      </c>
      <c r="G699" s="19">
        <v>184282</v>
      </c>
      <c r="H699" s="19">
        <v>210700</v>
      </c>
      <c r="I699" s="19">
        <f t="shared" si="20"/>
        <v>26418</v>
      </c>
      <c r="J699" s="20">
        <f t="shared" si="21"/>
        <v>0.14335637772544252</v>
      </c>
    </row>
    <row r="700" spans="1:10" x14ac:dyDescent="0.2">
      <c r="A700" s="17" t="s">
        <v>740</v>
      </c>
      <c r="B700" s="18">
        <v>46282</v>
      </c>
      <c r="C700" s="17" t="s">
        <v>710</v>
      </c>
      <c r="D700" s="17" t="s">
        <v>49</v>
      </c>
      <c r="E700" s="17" t="s">
        <v>31</v>
      </c>
      <c r="F700" s="17" t="s">
        <v>51</v>
      </c>
      <c r="G700" s="19">
        <v>53798</v>
      </c>
      <c r="H700" s="19">
        <v>47900</v>
      </c>
      <c r="I700" s="19">
        <f t="shared" si="20"/>
        <v>-5898</v>
      </c>
      <c r="J700" s="20">
        <f t="shared" si="21"/>
        <v>-0.10963232833934347</v>
      </c>
    </row>
    <row r="701" spans="1:10" x14ac:dyDescent="0.2">
      <c r="A701" s="17" t="s">
        <v>741</v>
      </c>
      <c r="B701" s="18">
        <v>46275</v>
      </c>
      <c r="C701" s="17" t="s">
        <v>710</v>
      </c>
      <c r="D701" s="17" t="s">
        <v>12</v>
      </c>
      <c r="E701" s="17" t="s">
        <v>65</v>
      </c>
      <c r="F701" s="17" t="s">
        <v>21</v>
      </c>
      <c r="G701" s="19">
        <v>37114</v>
      </c>
      <c r="H701" s="19">
        <v>43800</v>
      </c>
      <c r="I701" s="19">
        <f t="shared" si="20"/>
        <v>6686</v>
      </c>
      <c r="J701" s="20">
        <f t="shared" si="21"/>
        <v>0.18014765317669881</v>
      </c>
    </row>
    <row r="702" spans="1:10" x14ac:dyDescent="0.2">
      <c r="A702" s="17" t="s">
        <v>742</v>
      </c>
      <c r="B702" s="18">
        <v>46279</v>
      </c>
      <c r="C702" s="17" t="s">
        <v>710</v>
      </c>
      <c r="D702" s="17" t="s">
        <v>16</v>
      </c>
      <c r="E702" s="17" t="s">
        <v>26</v>
      </c>
      <c r="F702" s="17" t="s">
        <v>38</v>
      </c>
      <c r="G702" s="19">
        <v>176334</v>
      </c>
      <c r="H702" s="19">
        <v>186900</v>
      </c>
      <c r="I702" s="19">
        <f t="shared" si="20"/>
        <v>10566</v>
      </c>
      <c r="J702" s="20">
        <f t="shared" si="21"/>
        <v>5.9920378372860593E-2</v>
      </c>
    </row>
    <row r="703" spans="1:10" x14ac:dyDescent="0.2">
      <c r="A703" s="17" t="s">
        <v>743</v>
      </c>
      <c r="B703" s="18">
        <v>46272</v>
      </c>
      <c r="C703" s="17" t="s">
        <v>710</v>
      </c>
      <c r="D703" s="17" t="s">
        <v>20</v>
      </c>
      <c r="E703" s="17" t="s">
        <v>23</v>
      </c>
      <c r="F703" s="17" t="s">
        <v>32</v>
      </c>
      <c r="G703" s="19">
        <v>148497</v>
      </c>
      <c r="H703" s="19">
        <v>147600</v>
      </c>
      <c r="I703" s="19">
        <f t="shared" si="20"/>
        <v>-897</v>
      </c>
      <c r="J703" s="20">
        <f t="shared" si="21"/>
        <v>-6.040526071233762E-3</v>
      </c>
    </row>
    <row r="704" spans="1:10" x14ac:dyDescent="0.2">
      <c r="A704" s="17" t="s">
        <v>744</v>
      </c>
      <c r="B704" s="18">
        <v>46270</v>
      </c>
      <c r="C704" s="17" t="s">
        <v>710</v>
      </c>
      <c r="D704" s="17" t="s">
        <v>20</v>
      </c>
      <c r="E704" s="17" t="s">
        <v>35</v>
      </c>
      <c r="F704" s="17" t="s">
        <v>18</v>
      </c>
      <c r="G704" s="19">
        <v>79878</v>
      </c>
      <c r="H704" s="19">
        <v>75100</v>
      </c>
      <c r="I704" s="19">
        <f t="shared" si="20"/>
        <v>-4778</v>
      </c>
      <c r="J704" s="20">
        <f t="shared" si="21"/>
        <v>-5.9816219735096023E-2</v>
      </c>
    </row>
    <row r="705" spans="1:10" x14ac:dyDescent="0.2">
      <c r="A705" s="17" t="s">
        <v>745</v>
      </c>
      <c r="B705" s="18">
        <v>46277</v>
      </c>
      <c r="C705" s="17" t="s">
        <v>710</v>
      </c>
      <c r="D705" s="17" t="s">
        <v>16</v>
      </c>
      <c r="E705" s="17" t="s">
        <v>35</v>
      </c>
      <c r="F705" s="17" t="s">
        <v>27</v>
      </c>
      <c r="G705" s="19">
        <v>152286</v>
      </c>
      <c r="H705" s="19">
        <v>139700</v>
      </c>
      <c r="I705" s="19">
        <f t="shared" si="20"/>
        <v>-12586</v>
      </c>
      <c r="J705" s="20">
        <f t="shared" si="21"/>
        <v>-8.2647124489447485E-2</v>
      </c>
    </row>
    <row r="706" spans="1:10" x14ac:dyDescent="0.2">
      <c r="A706" s="17" t="s">
        <v>746</v>
      </c>
      <c r="B706" s="18">
        <v>46283</v>
      </c>
      <c r="C706" s="17" t="s">
        <v>710</v>
      </c>
      <c r="D706" s="17" t="s">
        <v>49</v>
      </c>
      <c r="E706" s="17" t="s">
        <v>35</v>
      </c>
      <c r="F706" s="17" t="s">
        <v>18</v>
      </c>
      <c r="G706" s="19">
        <v>187856</v>
      </c>
      <c r="H706" s="19">
        <v>178900</v>
      </c>
      <c r="I706" s="19">
        <f t="shared" ref="I706:I769" si="22">H706-G706</f>
        <v>-8956</v>
      </c>
      <c r="J706" s="20">
        <f t="shared" ref="J706:J769" si="23">IFERROR(I706/G706,0)</f>
        <v>-4.7674814751724727E-2</v>
      </c>
    </row>
    <row r="707" spans="1:10" x14ac:dyDescent="0.2">
      <c r="A707" s="17" t="s">
        <v>747</v>
      </c>
      <c r="B707" s="18">
        <v>46286</v>
      </c>
      <c r="C707" s="17" t="s">
        <v>710</v>
      </c>
      <c r="D707" s="17" t="s">
        <v>25</v>
      </c>
      <c r="E707" s="17" t="s">
        <v>35</v>
      </c>
      <c r="F707" s="17" t="s">
        <v>29</v>
      </c>
      <c r="G707" s="19">
        <v>32572</v>
      </c>
      <c r="H707" s="19">
        <v>36300</v>
      </c>
      <c r="I707" s="19">
        <f t="shared" si="22"/>
        <v>3728</v>
      </c>
      <c r="J707" s="20">
        <f t="shared" si="23"/>
        <v>0.1144541323836424</v>
      </c>
    </row>
    <row r="708" spans="1:10" x14ac:dyDescent="0.2">
      <c r="A708" s="17" t="s">
        <v>748</v>
      </c>
      <c r="B708" s="18">
        <v>46269</v>
      </c>
      <c r="C708" s="17" t="s">
        <v>710</v>
      </c>
      <c r="D708" s="17" t="s">
        <v>49</v>
      </c>
      <c r="E708" s="17" t="s">
        <v>31</v>
      </c>
      <c r="F708" s="17" t="s">
        <v>41</v>
      </c>
      <c r="G708" s="19">
        <v>129255</v>
      </c>
      <c r="H708" s="19">
        <v>132800</v>
      </c>
      <c r="I708" s="19">
        <f t="shared" si="22"/>
        <v>3545</v>
      </c>
      <c r="J708" s="20">
        <f t="shared" si="23"/>
        <v>2.7426405168078604E-2</v>
      </c>
    </row>
    <row r="709" spans="1:10" x14ac:dyDescent="0.2">
      <c r="A709" s="17" t="s">
        <v>749</v>
      </c>
      <c r="B709" s="18">
        <v>46287</v>
      </c>
      <c r="C709" s="17" t="s">
        <v>710</v>
      </c>
      <c r="D709" s="17" t="s">
        <v>16</v>
      </c>
      <c r="E709" s="17" t="s">
        <v>35</v>
      </c>
      <c r="F709" s="17" t="s">
        <v>44</v>
      </c>
      <c r="G709" s="19">
        <v>60141</v>
      </c>
      <c r="H709" s="19">
        <v>56100</v>
      </c>
      <c r="I709" s="19">
        <f t="shared" si="22"/>
        <v>-4041</v>
      </c>
      <c r="J709" s="20">
        <f t="shared" si="23"/>
        <v>-6.7192098568364347E-2</v>
      </c>
    </row>
    <row r="710" spans="1:10" x14ac:dyDescent="0.2">
      <c r="A710" s="17" t="s">
        <v>750</v>
      </c>
      <c r="B710" s="18">
        <v>46287</v>
      </c>
      <c r="C710" s="17" t="s">
        <v>710</v>
      </c>
      <c r="D710" s="17" t="s">
        <v>49</v>
      </c>
      <c r="E710" s="17" t="s">
        <v>31</v>
      </c>
      <c r="F710" s="17" t="s">
        <v>18</v>
      </c>
      <c r="G710" s="19">
        <v>130328</v>
      </c>
      <c r="H710" s="19">
        <v>145300</v>
      </c>
      <c r="I710" s="19">
        <f t="shared" si="22"/>
        <v>14972</v>
      </c>
      <c r="J710" s="20">
        <f t="shared" si="23"/>
        <v>0.11487938125345283</v>
      </c>
    </row>
    <row r="711" spans="1:10" x14ac:dyDescent="0.2">
      <c r="A711" s="17" t="s">
        <v>751</v>
      </c>
      <c r="B711" s="18">
        <v>46279</v>
      </c>
      <c r="C711" s="17" t="s">
        <v>710</v>
      </c>
      <c r="D711" s="17" t="s">
        <v>25</v>
      </c>
      <c r="E711" s="17" t="s">
        <v>17</v>
      </c>
      <c r="F711" s="17" t="s">
        <v>44</v>
      </c>
      <c r="G711" s="19">
        <v>178763</v>
      </c>
      <c r="H711" s="19">
        <v>202100</v>
      </c>
      <c r="I711" s="19">
        <f t="shared" si="22"/>
        <v>23337</v>
      </c>
      <c r="J711" s="20">
        <f t="shared" si="23"/>
        <v>0.13054714901853293</v>
      </c>
    </row>
    <row r="712" spans="1:10" x14ac:dyDescent="0.2">
      <c r="A712" s="17" t="s">
        <v>752</v>
      </c>
      <c r="B712" s="18">
        <v>46281</v>
      </c>
      <c r="C712" s="17" t="s">
        <v>710</v>
      </c>
      <c r="D712" s="17" t="s">
        <v>20</v>
      </c>
      <c r="E712" s="17" t="s">
        <v>13</v>
      </c>
      <c r="F712" s="17" t="s">
        <v>44</v>
      </c>
      <c r="G712" s="19">
        <v>49887</v>
      </c>
      <c r="H712" s="19">
        <v>58100</v>
      </c>
      <c r="I712" s="19">
        <f t="shared" si="22"/>
        <v>8213</v>
      </c>
      <c r="J712" s="20">
        <f t="shared" si="23"/>
        <v>0.16463206847475295</v>
      </c>
    </row>
    <row r="713" spans="1:10" x14ac:dyDescent="0.2">
      <c r="A713" s="17" t="s">
        <v>753</v>
      </c>
      <c r="B713" s="18">
        <v>46277</v>
      </c>
      <c r="C713" s="17" t="s">
        <v>710</v>
      </c>
      <c r="D713" s="17" t="s">
        <v>16</v>
      </c>
      <c r="E713" s="17" t="s">
        <v>23</v>
      </c>
      <c r="F713" s="17" t="s">
        <v>44</v>
      </c>
      <c r="G713" s="19">
        <v>157139</v>
      </c>
      <c r="H713" s="19">
        <v>194700</v>
      </c>
      <c r="I713" s="19">
        <f t="shared" si="22"/>
        <v>37561</v>
      </c>
      <c r="J713" s="20">
        <f t="shared" si="23"/>
        <v>0.23903041256467203</v>
      </c>
    </row>
    <row r="714" spans="1:10" x14ac:dyDescent="0.2">
      <c r="A714" s="17" t="s">
        <v>754</v>
      </c>
      <c r="B714" s="18">
        <v>46281</v>
      </c>
      <c r="C714" s="17" t="s">
        <v>710</v>
      </c>
      <c r="D714" s="17" t="s">
        <v>20</v>
      </c>
      <c r="E714" s="17" t="s">
        <v>65</v>
      </c>
      <c r="F714" s="17" t="s">
        <v>38</v>
      </c>
      <c r="G714" s="19">
        <v>62040</v>
      </c>
      <c r="H714" s="19">
        <v>53700</v>
      </c>
      <c r="I714" s="19">
        <f t="shared" si="22"/>
        <v>-8340</v>
      </c>
      <c r="J714" s="20">
        <f t="shared" si="23"/>
        <v>-0.1344294003868472</v>
      </c>
    </row>
    <row r="715" spans="1:10" x14ac:dyDescent="0.2">
      <c r="A715" s="17" t="s">
        <v>755</v>
      </c>
      <c r="B715" s="18">
        <v>46287</v>
      </c>
      <c r="C715" s="17" t="s">
        <v>710</v>
      </c>
      <c r="D715" s="17" t="s">
        <v>25</v>
      </c>
      <c r="E715" s="17" t="s">
        <v>17</v>
      </c>
      <c r="F715" s="17" t="s">
        <v>18</v>
      </c>
      <c r="G715" s="19">
        <v>81474</v>
      </c>
      <c r="H715" s="19">
        <v>69300</v>
      </c>
      <c r="I715" s="19">
        <f t="shared" si="22"/>
        <v>-12174</v>
      </c>
      <c r="J715" s="20">
        <f t="shared" si="23"/>
        <v>-0.14942190146549819</v>
      </c>
    </row>
    <row r="716" spans="1:10" x14ac:dyDescent="0.2">
      <c r="A716" s="17" t="s">
        <v>756</v>
      </c>
      <c r="B716" s="18">
        <v>46268</v>
      </c>
      <c r="C716" s="17" t="s">
        <v>710</v>
      </c>
      <c r="D716" s="17" t="s">
        <v>49</v>
      </c>
      <c r="E716" s="17" t="s">
        <v>17</v>
      </c>
      <c r="F716" s="17" t="s">
        <v>29</v>
      </c>
      <c r="G716" s="19">
        <v>195380</v>
      </c>
      <c r="H716" s="19">
        <v>204700</v>
      </c>
      <c r="I716" s="19">
        <f t="shared" si="22"/>
        <v>9320</v>
      </c>
      <c r="J716" s="20">
        <f t="shared" si="23"/>
        <v>4.7701914218446106E-2</v>
      </c>
    </row>
    <row r="717" spans="1:10" x14ac:dyDescent="0.2">
      <c r="A717" s="17" t="s">
        <v>757</v>
      </c>
      <c r="B717" s="18">
        <v>46280</v>
      </c>
      <c r="C717" s="17" t="s">
        <v>710</v>
      </c>
      <c r="D717" s="17" t="s">
        <v>12</v>
      </c>
      <c r="E717" s="17" t="s">
        <v>31</v>
      </c>
      <c r="F717" s="17" t="s">
        <v>41</v>
      </c>
      <c r="G717" s="19">
        <v>87080</v>
      </c>
      <c r="H717" s="19">
        <v>96500</v>
      </c>
      <c r="I717" s="19">
        <f t="shared" si="22"/>
        <v>9420</v>
      </c>
      <c r="J717" s="20">
        <f t="shared" si="23"/>
        <v>0.10817638952687184</v>
      </c>
    </row>
    <row r="718" spans="1:10" x14ac:dyDescent="0.2">
      <c r="A718" s="17" t="s">
        <v>758</v>
      </c>
      <c r="B718" s="18">
        <v>46271</v>
      </c>
      <c r="C718" s="17" t="s">
        <v>710</v>
      </c>
      <c r="D718" s="17" t="s">
        <v>25</v>
      </c>
      <c r="E718" s="17" t="s">
        <v>31</v>
      </c>
      <c r="F718" s="17" t="s">
        <v>38</v>
      </c>
      <c r="G718" s="19">
        <v>33128</v>
      </c>
      <c r="H718" s="19">
        <v>29500</v>
      </c>
      <c r="I718" s="19">
        <f t="shared" si="22"/>
        <v>-3628</v>
      </c>
      <c r="J718" s="20">
        <f t="shared" si="23"/>
        <v>-0.10951460999758512</v>
      </c>
    </row>
    <row r="719" spans="1:10" x14ac:dyDescent="0.2">
      <c r="A719" s="17" t="s">
        <v>759</v>
      </c>
      <c r="B719" s="18">
        <v>46289</v>
      </c>
      <c r="C719" s="17" t="s">
        <v>710</v>
      </c>
      <c r="D719" s="17" t="s">
        <v>25</v>
      </c>
      <c r="E719" s="17" t="s">
        <v>17</v>
      </c>
      <c r="F719" s="17" t="s">
        <v>32</v>
      </c>
      <c r="G719" s="19">
        <v>197410</v>
      </c>
      <c r="H719" s="19">
        <v>192500</v>
      </c>
      <c r="I719" s="19">
        <f t="shared" si="22"/>
        <v>-4910</v>
      </c>
      <c r="J719" s="20">
        <f t="shared" si="23"/>
        <v>-2.4872093612279014E-2</v>
      </c>
    </row>
    <row r="720" spans="1:10" x14ac:dyDescent="0.2">
      <c r="A720" s="17" t="s">
        <v>760</v>
      </c>
      <c r="B720" s="18">
        <v>46287</v>
      </c>
      <c r="C720" s="17" t="s">
        <v>710</v>
      </c>
      <c r="D720" s="17" t="s">
        <v>16</v>
      </c>
      <c r="E720" s="17" t="s">
        <v>26</v>
      </c>
      <c r="F720" s="17" t="s">
        <v>38</v>
      </c>
      <c r="G720" s="19">
        <v>22535</v>
      </c>
      <c r="H720" s="19">
        <v>26800</v>
      </c>
      <c r="I720" s="19">
        <f t="shared" si="22"/>
        <v>4265</v>
      </c>
      <c r="J720" s="20">
        <f t="shared" si="23"/>
        <v>0.1892611493232749</v>
      </c>
    </row>
    <row r="721" spans="1:10" x14ac:dyDescent="0.2">
      <c r="A721" s="17" t="s">
        <v>761</v>
      </c>
      <c r="B721" s="18">
        <v>46285</v>
      </c>
      <c r="C721" s="17" t="s">
        <v>710</v>
      </c>
      <c r="D721" s="17" t="s">
        <v>12</v>
      </c>
      <c r="E721" s="17" t="s">
        <v>17</v>
      </c>
      <c r="F721" s="17" t="s">
        <v>38</v>
      </c>
      <c r="G721" s="19">
        <v>113723</v>
      </c>
      <c r="H721" s="19">
        <v>137400</v>
      </c>
      <c r="I721" s="19">
        <f t="shared" si="22"/>
        <v>23677</v>
      </c>
      <c r="J721" s="20">
        <f t="shared" si="23"/>
        <v>0.20819886918213554</v>
      </c>
    </row>
    <row r="722" spans="1:10" x14ac:dyDescent="0.2">
      <c r="A722" s="17" t="s">
        <v>762</v>
      </c>
      <c r="B722" s="18">
        <v>46278</v>
      </c>
      <c r="C722" s="17" t="s">
        <v>710</v>
      </c>
      <c r="D722" s="17" t="s">
        <v>13</v>
      </c>
      <c r="E722" s="17" t="s">
        <v>65</v>
      </c>
      <c r="F722" s="17" t="s">
        <v>44</v>
      </c>
      <c r="G722" s="19">
        <v>109842</v>
      </c>
      <c r="H722" s="19">
        <v>101400</v>
      </c>
      <c r="I722" s="19">
        <f t="shared" si="22"/>
        <v>-8442</v>
      </c>
      <c r="J722" s="20">
        <f t="shared" si="23"/>
        <v>-7.6855847490031132E-2</v>
      </c>
    </row>
    <row r="723" spans="1:10" x14ac:dyDescent="0.2">
      <c r="A723" s="17" t="s">
        <v>763</v>
      </c>
      <c r="B723" s="18">
        <v>46281</v>
      </c>
      <c r="C723" s="17" t="s">
        <v>710</v>
      </c>
      <c r="D723" s="17" t="s">
        <v>13</v>
      </c>
      <c r="E723" s="17" t="s">
        <v>26</v>
      </c>
      <c r="F723" s="17" t="s">
        <v>29</v>
      </c>
      <c r="G723" s="19">
        <v>121113</v>
      </c>
      <c r="H723" s="19">
        <v>136400</v>
      </c>
      <c r="I723" s="19">
        <f t="shared" si="22"/>
        <v>15287</v>
      </c>
      <c r="J723" s="20">
        <f t="shared" si="23"/>
        <v>0.12622096719592446</v>
      </c>
    </row>
    <row r="724" spans="1:10" x14ac:dyDescent="0.2">
      <c r="A724" s="17" t="s">
        <v>764</v>
      </c>
      <c r="B724" s="18">
        <v>46267</v>
      </c>
      <c r="C724" s="17" t="s">
        <v>710</v>
      </c>
      <c r="D724" s="17" t="s">
        <v>20</v>
      </c>
      <c r="E724" s="17" t="s">
        <v>17</v>
      </c>
      <c r="F724" s="17" t="s">
        <v>27</v>
      </c>
      <c r="G724" s="19">
        <v>54737</v>
      </c>
      <c r="H724" s="19">
        <v>61800</v>
      </c>
      <c r="I724" s="19">
        <f t="shared" si="22"/>
        <v>7063</v>
      </c>
      <c r="J724" s="20">
        <f t="shared" si="23"/>
        <v>0.12903520470614027</v>
      </c>
    </row>
    <row r="725" spans="1:10" x14ac:dyDescent="0.2">
      <c r="A725" s="17" t="s">
        <v>765</v>
      </c>
      <c r="B725" s="18">
        <v>46284</v>
      </c>
      <c r="C725" s="17" t="s">
        <v>710</v>
      </c>
      <c r="D725" s="17" t="s">
        <v>16</v>
      </c>
      <c r="E725" s="17" t="s">
        <v>65</v>
      </c>
      <c r="F725" s="17" t="s">
        <v>51</v>
      </c>
      <c r="G725" s="19">
        <v>174861</v>
      </c>
      <c r="H725" s="19">
        <v>182400</v>
      </c>
      <c r="I725" s="19">
        <f t="shared" si="22"/>
        <v>7539</v>
      </c>
      <c r="J725" s="20">
        <f t="shared" si="23"/>
        <v>4.3114245028908676E-2</v>
      </c>
    </row>
    <row r="726" spans="1:10" x14ac:dyDescent="0.2">
      <c r="A726" s="17" t="s">
        <v>766</v>
      </c>
      <c r="B726" s="18">
        <v>46277</v>
      </c>
      <c r="C726" s="17" t="s">
        <v>710</v>
      </c>
      <c r="D726" s="17" t="s">
        <v>49</v>
      </c>
      <c r="E726" s="17" t="s">
        <v>35</v>
      </c>
      <c r="F726" s="17" t="s">
        <v>51</v>
      </c>
      <c r="G726" s="19">
        <v>180254</v>
      </c>
      <c r="H726" s="19">
        <v>180600</v>
      </c>
      <c r="I726" s="19">
        <f t="shared" si="22"/>
        <v>346</v>
      </c>
      <c r="J726" s="20">
        <f t="shared" si="23"/>
        <v>1.9195135752882045E-3</v>
      </c>
    </row>
    <row r="727" spans="1:10" x14ac:dyDescent="0.2">
      <c r="A727" s="17" t="s">
        <v>767</v>
      </c>
      <c r="B727" s="18">
        <v>46269</v>
      </c>
      <c r="C727" s="17" t="s">
        <v>710</v>
      </c>
      <c r="D727" s="17" t="s">
        <v>13</v>
      </c>
      <c r="E727" s="17" t="s">
        <v>65</v>
      </c>
      <c r="F727" s="17" t="s">
        <v>32</v>
      </c>
      <c r="G727" s="19">
        <v>146636</v>
      </c>
      <c r="H727" s="19">
        <v>178600</v>
      </c>
      <c r="I727" s="19">
        <f t="shared" si="22"/>
        <v>31964</v>
      </c>
      <c r="J727" s="20">
        <f t="shared" si="23"/>
        <v>0.21798194167871465</v>
      </c>
    </row>
    <row r="728" spans="1:10" x14ac:dyDescent="0.2">
      <c r="A728" s="17" t="s">
        <v>768</v>
      </c>
      <c r="B728" s="18">
        <v>46276</v>
      </c>
      <c r="C728" s="17" t="s">
        <v>710</v>
      </c>
      <c r="D728" s="17" t="s">
        <v>25</v>
      </c>
      <c r="E728" s="17" t="s">
        <v>13</v>
      </c>
      <c r="F728" s="17" t="s">
        <v>38</v>
      </c>
      <c r="G728" s="19">
        <v>36603</v>
      </c>
      <c r="H728" s="19">
        <v>34900</v>
      </c>
      <c r="I728" s="19">
        <f t="shared" si="22"/>
        <v>-1703</v>
      </c>
      <c r="J728" s="20">
        <f t="shared" si="23"/>
        <v>-4.652624101849575E-2</v>
      </c>
    </row>
    <row r="729" spans="1:10" x14ac:dyDescent="0.2">
      <c r="A729" s="17" t="s">
        <v>769</v>
      </c>
      <c r="B729" s="18">
        <v>46288</v>
      </c>
      <c r="C729" s="17" t="s">
        <v>710</v>
      </c>
      <c r="D729" s="17" t="s">
        <v>49</v>
      </c>
      <c r="E729" s="17" t="s">
        <v>17</v>
      </c>
      <c r="F729" s="17" t="s">
        <v>27</v>
      </c>
      <c r="G729" s="19">
        <v>156078</v>
      </c>
      <c r="H729" s="19">
        <v>165300</v>
      </c>
      <c r="I729" s="19">
        <f t="shared" si="22"/>
        <v>9222</v>
      </c>
      <c r="J729" s="20">
        <f t="shared" si="23"/>
        <v>5.9085841694537344E-2</v>
      </c>
    </row>
    <row r="730" spans="1:10" x14ac:dyDescent="0.2">
      <c r="A730" s="17" t="s">
        <v>770</v>
      </c>
      <c r="B730" s="18">
        <v>46281</v>
      </c>
      <c r="C730" s="17" t="s">
        <v>710</v>
      </c>
      <c r="D730" s="17" t="s">
        <v>12</v>
      </c>
      <c r="E730" s="17" t="s">
        <v>23</v>
      </c>
      <c r="F730" s="17" t="s">
        <v>51</v>
      </c>
      <c r="G730" s="19">
        <v>193464</v>
      </c>
      <c r="H730" s="19">
        <v>220700</v>
      </c>
      <c r="I730" s="19">
        <f t="shared" si="22"/>
        <v>27236</v>
      </c>
      <c r="J730" s="20">
        <f t="shared" si="23"/>
        <v>0.14078071372451723</v>
      </c>
    </row>
    <row r="731" spans="1:10" x14ac:dyDescent="0.2">
      <c r="A731" s="17" t="s">
        <v>771</v>
      </c>
      <c r="B731" s="18">
        <v>46285</v>
      </c>
      <c r="C731" s="17" t="s">
        <v>710</v>
      </c>
      <c r="D731" s="17" t="s">
        <v>25</v>
      </c>
      <c r="E731" s="17" t="s">
        <v>35</v>
      </c>
      <c r="F731" s="17" t="s">
        <v>51</v>
      </c>
      <c r="G731" s="19">
        <v>166366</v>
      </c>
      <c r="H731" s="19">
        <v>200800</v>
      </c>
      <c r="I731" s="19">
        <f t="shared" si="22"/>
        <v>34434</v>
      </c>
      <c r="J731" s="20">
        <f t="shared" si="23"/>
        <v>0.20697738720652056</v>
      </c>
    </row>
    <row r="732" spans="1:10" x14ac:dyDescent="0.2">
      <c r="A732" s="17" t="s">
        <v>772</v>
      </c>
      <c r="B732" s="18">
        <v>46293</v>
      </c>
      <c r="C732" s="17" t="s">
        <v>710</v>
      </c>
      <c r="D732" s="17" t="s">
        <v>13</v>
      </c>
      <c r="E732" s="17" t="s">
        <v>26</v>
      </c>
      <c r="F732" s="17" t="s">
        <v>29</v>
      </c>
      <c r="G732" s="19">
        <v>152531</v>
      </c>
      <c r="H732" s="19">
        <v>181400</v>
      </c>
      <c r="I732" s="19">
        <f t="shared" si="22"/>
        <v>28869</v>
      </c>
      <c r="J732" s="20">
        <f t="shared" si="23"/>
        <v>0.18926644419822855</v>
      </c>
    </row>
    <row r="733" spans="1:10" x14ac:dyDescent="0.2">
      <c r="A733" s="17" t="s">
        <v>773</v>
      </c>
      <c r="B733" s="18">
        <v>46276</v>
      </c>
      <c r="C733" s="17" t="s">
        <v>710</v>
      </c>
      <c r="D733" s="17" t="s">
        <v>12</v>
      </c>
      <c r="E733" s="17" t="s">
        <v>35</v>
      </c>
      <c r="F733" s="17" t="s">
        <v>21</v>
      </c>
      <c r="G733" s="19">
        <v>148882</v>
      </c>
      <c r="H733" s="19">
        <v>145600</v>
      </c>
      <c r="I733" s="19">
        <f t="shared" si="22"/>
        <v>-3282</v>
      </c>
      <c r="J733" s="20">
        <f t="shared" si="23"/>
        <v>-2.2044303542402707E-2</v>
      </c>
    </row>
    <row r="734" spans="1:10" x14ac:dyDescent="0.2">
      <c r="A734" s="17" t="s">
        <v>774</v>
      </c>
      <c r="B734" s="18">
        <v>46278</v>
      </c>
      <c r="C734" s="17" t="s">
        <v>710</v>
      </c>
      <c r="D734" s="17" t="s">
        <v>13</v>
      </c>
      <c r="E734" s="17" t="s">
        <v>13</v>
      </c>
      <c r="F734" s="17" t="s">
        <v>29</v>
      </c>
      <c r="G734" s="19">
        <v>78381</v>
      </c>
      <c r="H734" s="19">
        <v>83900</v>
      </c>
      <c r="I734" s="19">
        <f t="shared" si="22"/>
        <v>5519</v>
      </c>
      <c r="J734" s="20">
        <f t="shared" si="23"/>
        <v>7.0412472410405588E-2</v>
      </c>
    </row>
    <row r="735" spans="1:10" x14ac:dyDescent="0.2">
      <c r="A735" s="17" t="s">
        <v>775</v>
      </c>
      <c r="B735" s="18">
        <v>46284</v>
      </c>
      <c r="C735" s="17" t="s">
        <v>710</v>
      </c>
      <c r="D735" s="17" t="s">
        <v>13</v>
      </c>
      <c r="E735" s="17" t="s">
        <v>17</v>
      </c>
      <c r="F735" s="17" t="s">
        <v>41</v>
      </c>
      <c r="G735" s="19">
        <v>140348</v>
      </c>
      <c r="H735" s="19">
        <v>144200</v>
      </c>
      <c r="I735" s="19">
        <f t="shared" si="22"/>
        <v>3852</v>
      </c>
      <c r="J735" s="20">
        <f t="shared" si="23"/>
        <v>2.744606264428421E-2</v>
      </c>
    </row>
    <row r="736" spans="1:10" x14ac:dyDescent="0.2">
      <c r="A736" s="17" t="s">
        <v>776</v>
      </c>
      <c r="B736" s="18">
        <v>46281</v>
      </c>
      <c r="C736" s="17" t="s">
        <v>710</v>
      </c>
      <c r="D736" s="17" t="s">
        <v>16</v>
      </c>
      <c r="E736" s="17" t="s">
        <v>35</v>
      </c>
      <c r="F736" s="17" t="s">
        <v>29</v>
      </c>
      <c r="G736" s="19">
        <v>137196</v>
      </c>
      <c r="H736" s="19">
        <v>134000</v>
      </c>
      <c r="I736" s="19">
        <f t="shared" si="22"/>
        <v>-3196</v>
      </c>
      <c r="J736" s="20">
        <f t="shared" si="23"/>
        <v>-2.3295139799994168E-2</v>
      </c>
    </row>
    <row r="737" spans="1:10" x14ac:dyDescent="0.2">
      <c r="A737" s="17" t="s">
        <v>777</v>
      </c>
      <c r="B737" s="18">
        <v>46283</v>
      </c>
      <c r="C737" s="17" t="s">
        <v>710</v>
      </c>
      <c r="D737" s="17" t="s">
        <v>49</v>
      </c>
      <c r="E737" s="17" t="s">
        <v>35</v>
      </c>
      <c r="F737" s="17" t="s">
        <v>29</v>
      </c>
      <c r="G737" s="19">
        <v>125759</v>
      </c>
      <c r="H737" s="19">
        <v>127600</v>
      </c>
      <c r="I737" s="19">
        <f t="shared" si="22"/>
        <v>1841</v>
      </c>
      <c r="J737" s="20">
        <f t="shared" si="23"/>
        <v>1.4639111316088709E-2</v>
      </c>
    </row>
    <row r="738" spans="1:10" x14ac:dyDescent="0.2">
      <c r="A738" s="17" t="s">
        <v>778</v>
      </c>
      <c r="B738" s="18">
        <v>46286</v>
      </c>
      <c r="C738" s="17" t="s">
        <v>710</v>
      </c>
      <c r="D738" s="17" t="s">
        <v>12</v>
      </c>
      <c r="E738" s="17" t="s">
        <v>13</v>
      </c>
      <c r="F738" s="17" t="s">
        <v>41</v>
      </c>
      <c r="G738" s="19">
        <v>178388</v>
      </c>
      <c r="H738" s="19">
        <v>220400</v>
      </c>
      <c r="I738" s="19">
        <f t="shared" si="22"/>
        <v>42012</v>
      </c>
      <c r="J738" s="20">
        <f t="shared" si="23"/>
        <v>0.23550911496288987</v>
      </c>
    </row>
    <row r="739" spans="1:10" x14ac:dyDescent="0.2">
      <c r="A739" s="17" t="s">
        <v>779</v>
      </c>
      <c r="B739" s="18">
        <v>46267</v>
      </c>
      <c r="C739" s="17" t="s">
        <v>710</v>
      </c>
      <c r="D739" s="17" t="s">
        <v>20</v>
      </c>
      <c r="E739" s="17" t="s">
        <v>65</v>
      </c>
      <c r="F739" s="17" t="s">
        <v>38</v>
      </c>
      <c r="G739" s="19">
        <v>109352</v>
      </c>
      <c r="H739" s="19">
        <v>108800</v>
      </c>
      <c r="I739" s="19">
        <f t="shared" si="22"/>
        <v>-552</v>
      </c>
      <c r="J739" s="20">
        <f t="shared" si="23"/>
        <v>-5.0479186480357008E-3</v>
      </c>
    </row>
    <row r="740" spans="1:10" x14ac:dyDescent="0.2">
      <c r="A740" s="17" t="s">
        <v>780</v>
      </c>
      <c r="B740" s="18">
        <v>46285</v>
      </c>
      <c r="C740" s="17" t="s">
        <v>710</v>
      </c>
      <c r="D740" s="17" t="s">
        <v>13</v>
      </c>
      <c r="E740" s="17" t="s">
        <v>46</v>
      </c>
      <c r="F740" s="17" t="s">
        <v>41</v>
      </c>
      <c r="G740" s="19">
        <v>166840</v>
      </c>
      <c r="H740" s="19">
        <v>193000</v>
      </c>
      <c r="I740" s="19">
        <f t="shared" si="22"/>
        <v>26160</v>
      </c>
      <c r="J740" s="20">
        <f t="shared" si="23"/>
        <v>0.15679693119156077</v>
      </c>
    </row>
    <row r="741" spans="1:10" x14ac:dyDescent="0.2">
      <c r="A741" s="17" t="s">
        <v>781</v>
      </c>
      <c r="B741" s="18">
        <v>46287</v>
      </c>
      <c r="C741" s="17" t="s">
        <v>710</v>
      </c>
      <c r="D741" s="17" t="s">
        <v>20</v>
      </c>
      <c r="E741" s="17" t="s">
        <v>35</v>
      </c>
      <c r="F741" s="17" t="s">
        <v>38</v>
      </c>
      <c r="G741" s="19">
        <v>49890</v>
      </c>
      <c r="H741" s="19">
        <v>44400</v>
      </c>
      <c r="I741" s="19">
        <f t="shared" si="22"/>
        <v>-5490</v>
      </c>
      <c r="J741" s="20">
        <f t="shared" si="23"/>
        <v>-0.1100420926037282</v>
      </c>
    </row>
    <row r="742" spans="1:10" x14ac:dyDescent="0.2">
      <c r="A742" s="17" t="s">
        <v>782</v>
      </c>
      <c r="B742" s="18">
        <v>46291</v>
      </c>
      <c r="C742" s="17" t="s">
        <v>710</v>
      </c>
      <c r="D742" s="17" t="s">
        <v>12</v>
      </c>
      <c r="E742" s="17" t="s">
        <v>46</v>
      </c>
      <c r="F742" s="17" t="s">
        <v>29</v>
      </c>
      <c r="G742" s="19">
        <v>113097</v>
      </c>
      <c r="H742" s="19">
        <v>133700</v>
      </c>
      <c r="I742" s="19">
        <f t="shared" si="22"/>
        <v>20603</v>
      </c>
      <c r="J742" s="20">
        <f t="shared" si="23"/>
        <v>0.18217105670353767</v>
      </c>
    </row>
    <row r="743" spans="1:10" x14ac:dyDescent="0.2">
      <c r="A743" s="17" t="s">
        <v>783</v>
      </c>
      <c r="B743" s="18">
        <v>46281</v>
      </c>
      <c r="C743" s="17" t="s">
        <v>710</v>
      </c>
      <c r="D743" s="17" t="s">
        <v>20</v>
      </c>
      <c r="E743" s="17" t="s">
        <v>23</v>
      </c>
      <c r="F743" s="17" t="s">
        <v>29</v>
      </c>
      <c r="G743" s="19">
        <v>32000</v>
      </c>
      <c r="H743" s="19">
        <v>38700</v>
      </c>
      <c r="I743" s="19">
        <f t="shared" si="22"/>
        <v>6700</v>
      </c>
      <c r="J743" s="20">
        <f t="shared" si="23"/>
        <v>0.20937500000000001</v>
      </c>
    </row>
    <row r="744" spans="1:10" x14ac:dyDescent="0.2">
      <c r="A744" s="17" t="s">
        <v>784</v>
      </c>
      <c r="B744" s="18">
        <v>46272</v>
      </c>
      <c r="C744" s="17" t="s">
        <v>710</v>
      </c>
      <c r="D744" s="17" t="s">
        <v>25</v>
      </c>
      <c r="E744" s="17" t="s">
        <v>23</v>
      </c>
      <c r="F744" s="17" t="s">
        <v>14</v>
      </c>
      <c r="G744" s="19">
        <v>86660</v>
      </c>
      <c r="H744" s="19">
        <v>94800</v>
      </c>
      <c r="I744" s="19">
        <f t="shared" si="22"/>
        <v>8140</v>
      </c>
      <c r="J744" s="20">
        <f t="shared" si="23"/>
        <v>9.393030233094854E-2</v>
      </c>
    </row>
    <row r="745" spans="1:10" x14ac:dyDescent="0.2">
      <c r="A745" s="17" t="s">
        <v>785</v>
      </c>
      <c r="B745" s="18">
        <v>46272</v>
      </c>
      <c r="C745" s="17" t="s">
        <v>710</v>
      </c>
      <c r="D745" s="17" t="s">
        <v>16</v>
      </c>
      <c r="E745" s="17" t="s">
        <v>46</v>
      </c>
      <c r="F745" s="17" t="s">
        <v>29</v>
      </c>
      <c r="G745" s="19">
        <v>139811</v>
      </c>
      <c r="H745" s="19">
        <v>165000</v>
      </c>
      <c r="I745" s="19">
        <f t="shared" si="22"/>
        <v>25189</v>
      </c>
      <c r="J745" s="20">
        <f t="shared" si="23"/>
        <v>0.18016465085007619</v>
      </c>
    </row>
    <row r="746" spans="1:10" x14ac:dyDescent="0.2">
      <c r="A746" s="17" t="s">
        <v>786</v>
      </c>
      <c r="B746" s="18">
        <v>46286</v>
      </c>
      <c r="C746" s="17" t="s">
        <v>710</v>
      </c>
      <c r="D746" s="17" t="s">
        <v>16</v>
      </c>
      <c r="E746" s="17" t="s">
        <v>17</v>
      </c>
      <c r="F746" s="17" t="s">
        <v>41</v>
      </c>
      <c r="G746" s="19">
        <v>128650</v>
      </c>
      <c r="H746" s="19">
        <v>111700</v>
      </c>
      <c r="I746" s="19">
        <f t="shared" si="22"/>
        <v>-16950</v>
      </c>
      <c r="J746" s="20">
        <f t="shared" si="23"/>
        <v>-0.13175281772250291</v>
      </c>
    </row>
    <row r="747" spans="1:10" x14ac:dyDescent="0.2">
      <c r="A747" s="17" t="s">
        <v>787</v>
      </c>
      <c r="B747" s="18">
        <v>46282</v>
      </c>
      <c r="C747" s="17" t="s">
        <v>710</v>
      </c>
      <c r="D747" s="17" t="s">
        <v>20</v>
      </c>
      <c r="E747" s="17" t="s">
        <v>65</v>
      </c>
      <c r="F747" s="17" t="s">
        <v>32</v>
      </c>
      <c r="G747" s="19">
        <v>139901</v>
      </c>
      <c r="H747" s="19">
        <v>155800</v>
      </c>
      <c r="I747" s="19">
        <f t="shared" si="22"/>
        <v>15899</v>
      </c>
      <c r="J747" s="20">
        <f t="shared" si="23"/>
        <v>0.11364464871587765</v>
      </c>
    </row>
    <row r="748" spans="1:10" x14ac:dyDescent="0.2">
      <c r="A748" s="17" t="s">
        <v>788</v>
      </c>
      <c r="B748" s="18">
        <v>46283</v>
      </c>
      <c r="C748" s="17" t="s">
        <v>710</v>
      </c>
      <c r="D748" s="17" t="s">
        <v>13</v>
      </c>
      <c r="E748" s="17" t="s">
        <v>65</v>
      </c>
      <c r="F748" s="17" t="s">
        <v>21</v>
      </c>
      <c r="G748" s="19">
        <v>159031</v>
      </c>
      <c r="H748" s="19">
        <v>182000</v>
      </c>
      <c r="I748" s="19">
        <f t="shared" si="22"/>
        <v>22969</v>
      </c>
      <c r="J748" s="20">
        <f t="shared" si="23"/>
        <v>0.14443096000150915</v>
      </c>
    </row>
    <row r="749" spans="1:10" x14ac:dyDescent="0.2">
      <c r="A749" s="17" t="s">
        <v>789</v>
      </c>
      <c r="B749" s="18">
        <v>46271</v>
      </c>
      <c r="C749" s="17" t="s">
        <v>710</v>
      </c>
      <c r="D749" s="17" t="s">
        <v>16</v>
      </c>
      <c r="E749" s="17" t="s">
        <v>26</v>
      </c>
      <c r="F749" s="17" t="s">
        <v>29</v>
      </c>
      <c r="G749" s="19">
        <v>66452</v>
      </c>
      <c r="H749" s="19">
        <v>74900</v>
      </c>
      <c r="I749" s="19">
        <f t="shared" si="22"/>
        <v>8448</v>
      </c>
      <c r="J749" s="20">
        <f t="shared" si="23"/>
        <v>0.12712935652802024</v>
      </c>
    </row>
    <row r="750" spans="1:10" x14ac:dyDescent="0.2">
      <c r="A750" s="17" t="s">
        <v>790</v>
      </c>
      <c r="B750" s="18">
        <v>46285</v>
      </c>
      <c r="C750" s="17" t="s">
        <v>710</v>
      </c>
      <c r="D750" s="17" t="s">
        <v>12</v>
      </c>
      <c r="E750" s="17" t="s">
        <v>23</v>
      </c>
      <c r="F750" s="17" t="s">
        <v>27</v>
      </c>
      <c r="G750" s="19">
        <v>121556</v>
      </c>
      <c r="H750" s="19">
        <v>135300</v>
      </c>
      <c r="I750" s="19">
        <f t="shared" si="22"/>
        <v>13744</v>
      </c>
      <c r="J750" s="20">
        <f t="shared" si="23"/>
        <v>0.1130672282733884</v>
      </c>
    </row>
    <row r="751" spans="1:10" x14ac:dyDescent="0.2">
      <c r="A751" s="17" t="s">
        <v>791</v>
      </c>
      <c r="B751" s="18">
        <v>46290</v>
      </c>
      <c r="C751" s="17" t="s">
        <v>710</v>
      </c>
      <c r="D751" s="17" t="s">
        <v>20</v>
      </c>
      <c r="E751" s="17" t="s">
        <v>31</v>
      </c>
      <c r="F751" s="17" t="s">
        <v>27</v>
      </c>
      <c r="G751" s="19">
        <v>179644</v>
      </c>
      <c r="H751" s="19">
        <v>218500</v>
      </c>
      <c r="I751" s="19">
        <f t="shared" si="22"/>
        <v>38856</v>
      </c>
      <c r="J751" s="20">
        <f t="shared" si="23"/>
        <v>0.21629444902139788</v>
      </c>
    </row>
    <row r="752" spans="1:10" x14ac:dyDescent="0.2">
      <c r="A752" s="17" t="s">
        <v>792</v>
      </c>
      <c r="B752" s="18">
        <v>46280</v>
      </c>
      <c r="C752" s="17" t="s">
        <v>710</v>
      </c>
      <c r="D752" s="17" t="s">
        <v>20</v>
      </c>
      <c r="E752" s="17" t="s">
        <v>26</v>
      </c>
      <c r="F752" s="17" t="s">
        <v>27</v>
      </c>
      <c r="G752" s="19">
        <v>109878</v>
      </c>
      <c r="H752" s="19">
        <v>136100</v>
      </c>
      <c r="I752" s="19">
        <f t="shared" si="22"/>
        <v>26222</v>
      </c>
      <c r="J752" s="20">
        <f t="shared" si="23"/>
        <v>0.23864649884417263</v>
      </c>
    </row>
    <row r="753" spans="1:10" x14ac:dyDescent="0.2">
      <c r="A753" s="17" t="s">
        <v>793</v>
      </c>
      <c r="B753" s="18">
        <v>46319</v>
      </c>
      <c r="C753" s="17" t="s">
        <v>794</v>
      </c>
      <c r="D753" s="17" t="s">
        <v>49</v>
      </c>
      <c r="E753" s="17" t="s">
        <v>31</v>
      </c>
      <c r="F753" s="17" t="s">
        <v>21</v>
      </c>
      <c r="G753" s="19">
        <v>177948</v>
      </c>
      <c r="H753" s="19">
        <v>201100</v>
      </c>
      <c r="I753" s="19">
        <f t="shared" si="22"/>
        <v>23152</v>
      </c>
      <c r="J753" s="20">
        <f t="shared" si="23"/>
        <v>0.13010542405646594</v>
      </c>
    </row>
    <row r="754" spans="1:10" x14ac:dyDescent="0.2">
      <c r="A754" s="17" t="s">
        <v>795</v>
      </c>
      <c r="B754" s="18">
        <v>46313</v>
      </c>
      <c r="C754" s="17" t="s">
        <v>794</v>
      </c>
      <c r="D754" s="17" t="s">
        <v>16</v>
      </c>
      <c r="E754" s="17" t="s">
        <v>13</v>
      </c>
      <c r="F754" s="17" t="s">
        <v>14</v>
      </c>
      <c r="G754" s="19">
        <v>102289</v>
      </c>
      <c r="H754" s="19">
        <v>116100</v>
      </c>
      <c r="I754" s="19">
        <f t="shared" si="22"/>
        <v>13811</v>
      </c>
      <c r="J754" s="20">
        <f t="shared" si="23"/>
        <v>0.1350194058012103</v>
      </c>
    </row>
    <row r="755" spans="1:10" x14ac:dyDescent="0.2">
      <c r="A755" s="17" t="s">
        <v>796</v>
      </c>
      <c r="B755" s="18">
        <v>46305</v>
      </c>
      <c r="C755" s="17" t="s">
        <v>794</v>
      </c>
      <c r="D755" s="17" t="s">
        <v>16</v>
      </c>
      <c r="E755" s="17" t="s">
        <v>46</v>
      </c>
      <c r="F755" s="17" t="s">
        <v>51</v>
      </c>
      <c r="G755" s="19">
        <v>74974</v>
      </c>
      <c r="H755" s="19">
        <v>82400</v>
      </c>
      <c r="I755" s="19">
        <f t="shared" si="22"/>
        <v>7426</v>
      </c>
      <c r="J755" s="20">
        <f t="shared" si="23"/>
        <v>9.9047669858884413E-2</v>
      </c>
    </row>
    <row r="756" spans="1:10" x14ac:dyDescent="0.2">
      <c r="A756" s="17" t="s">
        <v>797</v>
      </c>
      <c r="B756" s="18">
        <v>46301</v>
      </c>
      <c r="C756" s="17" t="s">
        <v>794</v>
      </c>
      <c r="D756" s="17" t="s">
        <v>49</v>
      </c>
      <c r="E756" s="17" t="s">
        <v>46</v>
      </c>
      <c r="F756" s="17" t="s">
        <v>29</v>
      </c>
      <c r="G756" s="19">
        <v>190416</v>
      </c>
      <c r="H756" s="19">
        <v>236100</v>
      </c>
      <c r="I756" s="19">
        <f t="shared" si="22"/>
        <v>45684</v>
      </c>
      <c r="J756" s="20">
        <f t="shared" si="23"/>
        <v>0.23991681371313334</v>
      </c>
    </row>
    <row r="757" spans="1:10" x14ac:dyDescent="0.2">
      <c r="A757" s="17" t="s">
        <v>798</v>
      </c>
      <c r="B757" s="18">
        <v>46314</v>
      </c>
      <c r="C757" s="17" t="s">
        <v>794</v>
      </c>
      <c r="D757" s="17" t="s">
        <v>49</v>
      </c>
      <c r="E757" s="17" t="s">
        <v>23</v>
      </c>
      <c r="F757" s="17" t="s">
        <v>21</v>
      </c>
      <c r="G757" s="19">
        <v>112337</v>
      </c>
      <c r="H757" s="19">
        <v>120800</v>
      </c>
      <c r="I757" s="19">
        <f t="shared" si="22"/>
        <v>8463</v>
      </c>
      <c r="J757" s="20">
        <f t="shared" si="23"/>
        <v>7.5335819899053746E-2</v>
      </c>
    </row>
    <row r="758" spans="1:10" x14ac:dyDescent="0.2">
      <c r="A758" s="17" t="s">
        <v>799</v>
      </c>
      <c r="B758" s="18">
        <v>46309</v>
      </c>
      <c r="C758" s="17" t="s">
        <v>794</v>
      </c>
      <c r="D758" s="17" t="s">
        <v>25</v>
      </c>
      <c r="E758" s="17" t="s">
        <v>17</v>
      </c>
      <c r="F758" s="17" t="s">
        <v>32</v>
      </c>
      <c r="G758" s="19">
        <v>94954</v>
      </c>
      <c r="H758" s="19">
        <v>114000</v>
      </c>
      <c r="I758" s="19">
        <f t="shared" si="22"/>
        <v>19046</v>
      </c>
      <c r="J758" s="20">
        <f t="shared" si="23"/>
        <v>0.20058133411967899</v>
      </c>
    </row>
    <row r="759" spans="1:10" x14ac:dyDescent="0.2">
      <c r="A759" s="17" t="s">
        <v>800</v>
      </c>
      <c r="B759" s="18">
        <v>46317</v>
      </c>
      <c r="C759" s="17" t="s">
        <v>794</v>
      </c>
      <c r="D759" s="17" t="s">
        <v>25</v>
      </c>
      <c r="E759" s="17" t="s">
        <v>13</v>
      </c>
      <c r="F759" s="17" t="s">
        <v>44</v>
      </c>
      <c r="G759" s="19">
        <v>119842</v>
      </c>
      <c r="H759" s="19">
        <v>108800</v>
      </c>
      <c r="I759" s="19">
        <f t="shared" si="22"/>
        <v>-11042</v>
      </c>
      <c r="J759" s="20">
        <f t="shared" si="23"/>
        <v>-9.2137981675873226E-2</v>
      </c>
    </row>
    <row r="760" spans="1:10" x14ac:dyDescent="0.2">
      <c r="A760" s="17" t="s">
        <v>801</v>
      </c>
      <c r="B760" s="18">
        <v>46317</v>
      </c>
      <c r="C760" s="17" t="s">
        <v>794</v>
      </c>
      <c r="D760" s="17" t="s">
        <v>12</v>
      </c>
      <c r="E760" s="17" t="s">
        <v>26</v>
      </c>
      <c r="F760" s="17" t="s">
        <v>32</v>
      </c>
      <c r="G760" s="19">
        <v>62188</v>
      </c>
      <c r="H760" s="19">
        <v>77300</v>
      </c>
      <c r="I760" s="19">
        <f t="shared" si="22"/>
        <v>15112</v>
      </c>
      <c r="J760" s="20">
        <f t="shared" si="23"/>
        <v>0.24300508136617996</v>
      </c>
    </row>
    <row r="761" spans="1:10" x14ac:dyDescent="0.2">
      <c r="A761" s="17" t="s">
        <v>802</v>
      </c>
      <c r="B761" s="18">
        <v>46313</v>
      </c>
      <c r="C761" s="17" t="s">
        <v>794</v>
      </c>
      <c r="D761" s="17" t="s">
        <v>25</v>
      </c>
      <c r="E761" s="17" t="s">
        <v>46</v>
      </c>
      <c r="F761" s="17" t="s">
        <v>41</v>
      </c>
      <c r="G761" s="19">
        <v>97369</v>
      </c>
      <c r="H761" s="19">
        <v>90700</v>
      </c>
      <c r="I761" s="19">
        <f t="shared" si="22"/>
        <v>-6669</v>
      </c>
      <c r="J761" s="20">
        <f t="shared" si="23"/>
        <v>-6.8492025182552971E-2</v>
      </c>
    </row>
    <row r="762" spans="1:10" x14ac:dyDescent="0.2">
      <c r="A762" s="17" t="s">
        <v>803</v>
      </c>
      <c r="B762" s="18">
        <v>46317</v>
      </c>
      <c r="C762" s="17" t="s">
        <v>794</v>
      </c>
      <c r="D762" s="17" t="s">
        <v>16</v>
      </c>
      <c r="E762" s="17" t="s">
        <v>13</v>
      </c>
      <c r="F762" s="17" t="s">
        <v>21</v>
      </c>
      <c r="G762" s="19">
        <v>46864</v>
      </c>
      <c r="H762" s="19">
        <v>51400</v>
      </c>
      <c r="I762" s="19">
        <f t="shared" si="22"/>
        <v>4536</v>
      </c>
      <c r="J762" s="20">
        <f t="shared" si="23"/>
        <v>9.6790713554114033E-2</v>
      </c>
    </row>
    <row r="763" spans="1:10" x14ac:dyDescent="0.2">
      <c r="A763" s="17" t="s">
        <v>804</v>
      </c>
      <c r="B763" s="18">
        <v>46321</v>
      </c>
      <c r="C763" s="17" t="s">
        <v>794</v>
      </c>
      <c r="D763" s="17" t="s">
        <v>16</v>
      </c>
      <c r="E763" s="17" t="s">
        <v>31</v>
      </c>
      <c r="F763" s="17" t="s">
        <v>32</v>
      </c>
      <c r="G763" s="19">
        <v>121944</v>
      </c>
      <c r="H763" s="19">
        <v>115200</v>
      </c>
      <c r="I763" s="19">
        <f t="shared" si="22"/>
        <v>-6744</v>
      </c>
      <c r="J763" s="20">
        <f t="shared" si="23"/>
        <v>-5.530407400118087E-2</v>
      </c>
    </row>
    <row r="764" spans="1:10" x14ac:dyDescent="0.2">
      <c r="A764" s="17" t="s">
        <v>805</v>
      </c>
      <c r="B764" s="18">
        <v>46321</v>
      </c>
      <c r="C764" s="17" t="s">
        <v>794</v>
      </c>
      <c r="D764" s="17" t="s">
        <v>16</v>
      </c>
      <c r="E764" s="17" t="s">
        <v>46</v>
      </c>
      <c r="F764" s="17" t="s">
        <v>21</v>
      </c>
      <c r="G764" s="19">
        <v>120029</v>
      </c>
      <c r="H764" s="19">
        <v>120600</v>
      </c>
      <c r="I764" s="19">
        <f t="shared" si="22"/>
        <v>571</v>
      </c>
      <c r="J764" s="20">
        <f t="shared" si="23"/>
        <v>4.7571836806105192E-3</v>
      </c>
    </row>
    <row r="765" spans="1:10" x14ac:dyDescent="0.2">
      <c r="A765" s="17" t="s">
        <v>806</v>
      </c>
      <c r="B765" s="18">
        <v>46304</v>
      </c>
      <c r="C765" s="17" t="s">
        <v>794</v>
      </c>
      <c r="D765" s="17" t="s">
        <v>20</v>
      </c>
      <c r="E765" s="17" t="s">
        <v>65</v>
      </c>
      <c r="F765" s="17" t="s">
        <v>14</v>
      </c>
      <c r="G765" s="19">
        <v>34103</v>
      </c>
      <c r="H765" s="19">
        <v>29200</v>
      </c>
      <c r="I765" s="19">
        <f t="shared" si="22"/>
        <v>-4903</v>
      </c>
      <c r="J765" s="20">
        <f t="shared" si="23"/>
        <v>-0.14377034278509221</v>
      </c>
    </row>
    <row r="766" spans="1:10" x14ac:dyDescent="0.2">
      <c r="A766" s="17" t="s">
        <v>807</v>
      </c>
      <c r="B766" s="18">
        <v>46316</v>
      </c>
      <c r="C766" s="17" t="s">
        <v>794</v>
      </c>
      <c r="D766" s="17" t="s">
        <v>12</v>
      </c>
      <c r="E766" s="17" t="s">
        <v>13</v>
      </c>
      <c r="F766" s="17" t="s">
        <v>14</v>
      </c>
      <c r="G766" s="19">
        <v>186143</v>
      </c>
      <c r="H766" s="19">
        <v>210700</v>
      </c>
      <c r="I766" s="19">
        <f t="shared" si="22"/>
        <v>24557</v>
      </c>
      <c r="J766" s="20">
        <f t="shared" si="23"/>
        <v>0.13192545516081722</v>
      </c>
    </row>
    <row r="767" spans="1:10" x14ac:dyDescent="0.2">
      <c r="A767" s="17" t="s">
        <v>808</v>
      </c>
      <c r="B767" s="18">
        <v>46317</v>
      </c>
      <c r="C767" s="17" t="s">
        <v>794</v>
      </c>
      <c r="D767" s="17" t="s">
        <v>25</v>
      </c>
      <c r="E767" s="17" t="s">
        <v>26</v>
      </c>
      <c r="F767" s="17" t="s">
        <v>51</v>
      </c>
      <c r="G767" s="19">
        <v>97116</v>
      </c>
      <c r="H767" s="19">
        <v>100000</v>
      </c>
      <c r="I767" s="19">
        <f t="shared" si="22"/>
        <v>2884</v>
      </c>
      <c r="J767" s="20">
        <f t="shared" si="23"/>
        <v>2.9696445487870177E-2</v>
      </c>
    </row>
    <row r="768" spans="1:10" x14ac:dyDescent="0.2">
      <c r="A768" s="17" t="s">
        <v>809</v>
      </c>
      <c r="B768" s="18">
        <v>46297</v>
      </c>
      <c r="C768" s="17" t="s">
        <v>794</v>
      </c>
      <c r="D768" s="17" t="s">
        <v>13</v>
      </c>
      <c r="E768" s="17" t="s">
        <v>31</v>
      </c>
      <c r="F768" s="17" t="s">
        <v>21</v>
      </c>
      <c r="G768" s="19">
        <v>154701</v>
      </c>
      <c r="H768" s="19">
        <v>138900</v>
      </c>
      <c r="I768" s="19">
        <f t="shared" si="22"/>
        <v>-15801</v>
      </c>
      <c r="J768" s="20">
        <f t="shared" si="23"/>
        <v>-0.10213896484185622</v>
      </c>
    </row>
    <row r="769" spans="1:10" x14ac:dyDescent="0.2">
      <c r="A769" s="17" t="s">
        <v>810</v>
      </c>
      <c r="B769" s="18">
        <v>46314</v>
      </c>
      <c r="C769" s="17" t="s">
        <v>794</v>
      </c>
      <c r="D769" s="17" t="s">
        <v>12</v>
      </c>
      <c r="E769" s="17" t="s">
        <v>35</v>
      </c>
      <c r="F769" s="17" t="s">
        <v>38</v>
      </c>
      <c r="G769" s="19">
        <v>89268</v>
      </c>
      <c r="H769" s="19">
        <v>80500</v>
      </c>
      <c r="I769" s="19">
        <f t="shared" si="22"/>
        <v>-8768</v>
      </c>
      <c r="J769" s="20">
        <f t="shared" si="23"/>
        <v>-9.8221087063673426E-2</v>
      </c>
    </row>
    <row r="770" spans="1:10" x14ac:dyDescent="0.2">
      <c r="A770" s="17" t="s">
        <v>811</v>
      </c>
      <c r="B770" s="18">
        <v>46300</v>
      </c>
      <c r="C770" s="17" t="s">
        <v>794</v>
      </c>
      <c r="D770" s="17" t="s">
        <v>25</v>
      </c>
      <c r="E770" s="17" t="s">
        <v>26</v>
      </c>
      <c r="F770" s="17" t="s">
        <v>38</v>
      </c>
      <c r="G770" s="19">
        <v>142245</v>
      </c>
      <c r="H770" s="19">
        <v>161300</v>
      </c>
      <c r="I770" s="19">
        <f t="shared" ref="I770:I833" si="24">H770-G770</f>
        <v>19055</v>
      </c>
      <c r="J770" s="20">
        <f t="shared" ref="J770:J833" si="25">IFERROR(I770/G770,0)</f>
        <v>0.13395901437660374</v>
      </c>
    </row>
    <row r="771" spans="1:10" x14ac:dyDescent="0.2">
      <c r="A771" s="17" t="s">
        <v>812</v>
      </c>
      <c r="B771" s="18">
        <v>46316</v>
      </c>
      <c r="C771" s="17" t="s">
        <v>794</v>
      </c>
      <c r="D771" s="17" t="s">
        <v>49</v>
      </c>
      <c r="E771" s="17" t="s">
        <v>31</v>
      </c>
      <c r="F771" s="17" t="s">
        <v>41</v>
      </c>
      <c r="G771" s="19">
        <v>176468</v>
      </c>
      <c r="H771" s="19">
        <v>153600</v>
      </c>
      <c r="I771" s="19">
        <f t="shared" si="24"/>
        <v>-22868</v>
      </c>
      <c r="J771" s="20">
        <f t="shared" si="25"/>
        <v>-0.12958723394609786</v>
      </c>
    </row>
    <row r="772" spans="1:10" x14ac:dyDescent="0.2">
      <c r="A772" s="17" t="s">
        <v>813</v>
      </c>
      <c r="B772" s="18">
        <v>46298</v>
      </c>
      <c r="C772" s="17" t="s">
        <v>794</v>
      </c>
      <c r="D772" s="17" t="s">
        <v>16</v>
      </c>
      <c r="E772" s="17" t="s">
        <v>46</v>
      </c>
      <c r="F772" s="17" t="s">
        <v>21</v>
      </c>
      <c r="G772" s="19">
        <v>170123</v>
      </c>
      <c r="H772" s="19">
        <v>182000</v>
      </c>
      <c r="I772" s="19">
        <f t="shared" si="24"/>
        <v>11877</v>
      </c>
      <c r="J772" s="20">
        <f t="shared" si="25"/>
        <v>6.9814193260170576E-2</v>
      </c>
    </row>
    <row r="773" spans="1:10" x14ac:dyDescent="0.2">
      <c r="A773" s="17" t="s">
        <v>814</v>
      </c>
      <c r="B773" s="18">
        <v>46312</v>
      </c>
      <c r="C773" s="17" t="s">
        <v>794</v>
      </c>
      <c r="D773" s="17" t="s">
        <v>25</v>
      </c>
      <c r="E773" s="17" t="s">
        <v>26</v>
      </c>
      <c r="F773" s="17" t="s">
        <v>27</v>
      </c>
      <c r="G773" s="19">
        <v>77661</v>
      </c>
      <c r="H773" s="19">
        <v>95700</v>
      </c>
      <c r="I773" s="19">
        <f t="shared" si="24"/>
        <v>18039</v>
      </c>
      <c r="J773" s="20">
        <f t="shared" si="25"/>
        <v>0.23227874995171321</v>
      </c>
    </row>
    <row r="774" spans="1:10" x14ac:dyDescent="0.2">
      <c r="A774" s="17" t="s">
        <v>815</v>
      </c>
      <c r="B774" s="18">
        <v>46298</v>
      </c>
      <c r="C774" s="17" t="s">
        <v>794</v>
      </c>
      <c r="D774" s="17" t="s">
        <v>12</v>
      </c>
      <c r="E774" s="17" t="s">
        <v>13</v>
      </c>
      <c r="F774" s="17" t="s">
        <v>14</v>
      </c>
      <c r="G774" s="19">
        <v>162365</v>
      </c>
      <c r="H774" s="19">
        <v>172900</v>
      </c>
      <c r="I774" s="19">
        <f t="shared" si="24"/>
        <v>10535</v>
      </c>
      <c r="J774" s="20">
        <f t="shared" si="25"/>
        <v>6.4884673420995909E-2</v>
      </c>
    </row>
    <row r="775" spans="1:10" x14ac:dyDescent="0.2">
      <c r="A775" s="17" t="s">
        <v>816</v>
      </c>
      <c r="B775" s="18">
        <v>46307</v>
      </c>
      <c r="C775" s="17" t="s">
        <v>794</v>
      </c>
      <c r="D775" s="17" t="s">
        <v>12</v>
      </c>
      <c r="E775" s="17" t="s">
        <v>13</v>
      </c>
      <c r="F775" s="17" t="s">
        <v>18</v>
      </c>
      <c r="G775" s="19">
        <v>193889</v>
      </c>
      <c r="H775" s="19">
        <v>190500</v>
      </c>
      <c r="I775" s="19">
        <f t="shared" si="24"/>
        <v>-3389</v>
      </c>
      <c r="J775" s="20">
        <f t="shared" si="25"/>
        <v>-1.7479073077895084E-2</v>
      </c>
    </row>
    <row r="776" spans="1:10" x14ac:dyDescent="0.2">
      <c r="A776" s="17" t="s">
        <v>817</v>
      </c>
      <c r="B776" s="18">
        <v>46313</v>
      </c>
      <c r="C776" s="17" t="s">
        <v>794</v>
      </c>
      <c r="D776" s="17" t="s">
        <v>16</v>
      </c>
      <c r="E776" s="17" t="s">
        <v>35</v>
      </c>
      <c r="F776" s="17" t="s">
        <v>29</v>
      </c>
      <c r="G776" s="19">
        <v>159067</v>
      </c>
      <c r="H776" s="19">
        <v>165400</v>
      </c>
      <c r="I776" s="19">
        <f t="shared" si="24"/>
        <v>6333</v>
      </c>
      <c r="J776" s="20">
        <f t="shared" si="25"/>
        <v>3.9813411958482904E-2</v>
      </c>
    </row>
    <row r="777" spans="1:10" x14ac:dyDescent="0.2">
      <c r="A777" s="17" t="s">
        <v>818</v>
      </c>
      <c r="B777" s="18">
        <v>46303</v>
      </c>
      <c r="C777" s="17" t="s">
        <v>794</v>
      </c>
      <c r="D777" s="17" t="s">
        <v>16</v>
      </c>
      <c r="E777" s="17" t="s">
        <v>13</v>
      </c>
      <c r="F777" s="17" t="s">
        <v>32</v>
      </c>
      <c r="G777" s="19">
        <v>195358</v>
      </c>
      <c r="H777" s="19">
        <v>193100</v>
      </c>
      <c r="I777" s="19">
        <f t="shared" si="24"/>
        <v>-2258</v>
      </c>
      <c r="J777" s="20">
        <f t="shared" si="25"/>
        <v>-1.155826738602975E-2</v>
      </c>
    </row>
    <row r="778" spans="1:10" x14ac:dyDescent="0.2">
      <c r="A778" s="17" t="s">
        <v>819</v>
      </c>
      <c r="B778" s="18">
        <v>46308</v>
      </c>
      <c r="C778" s="17" t="s">
        <v>794</v>
      </c>
      <c r="D778" s="17" t="s">
        <v>25</v>
      </c>
      <c r="E778" s="17" t="s">
        <v>23</v>
      </c>
      <c r="F778" s="17" t="s">
        <v>44</v>
      </c>
      <c r="G778" s="19">
        <v>198926</v>
      </c>
      <c r="H778" s="19">
        <v>239600</v>
      </c>
      <c r="I778" s="19">
        <f t="shared" si="24"/>
        <v>40674</v>
      </c>
      <c r="J778" s="20">
        <f t="shared" si="25"/>
        <v>0.2044679931230709</v>
      </c>
    </row>
    <row r="779" spans="1:10" x14ac:dyDescent="0.2">
      <c r="A779" s="17" t="s">
        <v>820</v>
      </c>
      <c r="B779" s="18">
        <v>46296</v>
      </c>
      <c r="C779" s="17" t="s">
        <v>794</v>
      </c>
      <c r="D779" s="17" t="s">
        <v>49</v>
      </c>
      <c r="E779" s="17" t="s">
        <v>46</v>
      </c>
      <c r="F779" s="17" t="s">
        <v>21</v>
      </c>
      <c r="G779" s="19">
        <v>161619</v>
      </c>
      <c r="H779" s="19">
        <v>184200</v>
      </c>
      <c r="I779" s="19">
        <f t="shared" si="24"/>
        <v>22581</v>
      </c>
      <c r="J779" s="20">
        <f t="shared" si="25"/>
        <v>0.13971748371169232</v>
      </c>
    </row>
    <row r="780" spans="1:10" x14ac:dyDescent="0.2">
      <c r="A780" s="17" t="s">
        <v>821</v>
      </c>
      <c r="B780" s="18">
        <v>46297</v>
      </c>
      <c r="C780" s="17" t="s">
        <v>794</v>
      </c>
      <c r="D780" s="17" t="s">
        <v>12</v>
      </c>
      <c r="E780" s="17" t="s">
        <v>13</v>
      </c>
      <c r="F780" s="17" t="s">
        <v>38</v>
      </c>
      <c r="G780" s="19">
        <v>153361</v>
      </c>
      <c r="H780" s="19">
        <v>157700</v>
      </c>
      <c r="I780" s="19">
        <f t="shared" si="24"/>
        <v>4339</v>
      </c>
      <c r="J780" s="20">
        <f t="shared" si="25"/>
        <v>2.8292721095976161E-2</v>
      </c>
    </row>
    <row r="781" spans="1:10" x14ac:dyDescent="0.2">
      <c r="A781" s="17" t="s">
        <v>822</v>
      </c>
      <c r="B781" s="18">
        <v>46299</v>
      </c>
      <c r="C781" s="17" t="s">
        <v>794</v>
      </c>
      <c r="D781" s="17" t="s">
        <v>20</v>
      </c>
      <c r="E781" s="17" t="s">
        <v>35</v>
      </c>
      <c r="F781" s="17" t="s">
        <v>29</v>
      </c>
      <c r="G781" s="19">
        <v>154714</v>
      </c>
      <c r="H781" s="19">
        <v>136600</v>
      </c>
      <c r="I781" s="19">
        <f t="shared" si="24"/>
        <v>-18114</v>
      </c>
      <c r="J781" s="20">
        <f t="shared" si="25"/>
        <v>-0.11708054862520521</v>
      </c>
    </row>
    <row r="782" spans="1:10" x14ac:dyDescent="0.2">
      <c r="A782" s="17" t="s">
        <v>823</v>
      </c>
      <c r="B782" s="18">
        <v>46320</v>
      </c>
      <c r="C782" s="17" t="s">
        <v>794</v>
      </c>
      <c r="D782" s="17" t="s">
        <v>20</v>
      </c>
      <c r="E782" s="17" t="s">
        <v>23</v>
      </c>
      <c r="F782" s="17" t="s">
        <v>29</v>
      </c>
      <c r="G782" s="19">
        <v>75255</v>
      </c>
      <c r="H782" s="19">
        <v>84100</v>
      </c>
      <c r="I782" s="19">
        <f t="shared" si="24"/>
        <v>8845</v>
      </c>
      <c r="J782" s="20">
        <f t="shared" si="25"/>
        <v>0.11753371868978806</v>
      </c>
    </row>
    <row r="783" spans="1:10" x14ac:dyDescent="0.2">
      <c r="A783" s="17" t="s">
        <v>824</v>
      </c>
      <c r="B783" s="18">
        <v>46318</v>
      </c>
      <c r="C783" s="17" t="s">
        <v>794</v>
      </c>
      <c r="D783" s="17" t="s">
        <v>16</v>
      </c>
      <c r="E783" s="17" t="s">
        <v>23</v>
      </c>
      <c r="F783" s="17" t="s">
        <v>29</v>
      </c>
      <c r="G783" s="19">
        <v>73891</v>
      </c>
      <c r="H783" s="19">
        <v>78700</v>
      </c>
      <c r="I783" s="19">
        <f t="shared" si="24"/>
        <v>4809</v>
      </c>
      <c r="J783" s="20">
        <f t="shared" si="25"/>
        <v>6.5082351030572055E-2</v>
      </c>
    </row>
    <row r="784" spans="1:10" x14ac:dyDescent="0.2">
      <c r="A784" s="17" t="s">
        <v>825</v>
      </c>
      <c r="B784" s="18">
        <v>46310</v>
      </c>
      <c r="C784" s="17" t="s">
        <v>794</v>
      </c>
      <c r="D784" s="17" t="s">
        <v>16</v>
      </c>
      <c r="E784" s="17" t="s">
        <v>46</v>
      </c>
      <c r="F784" s="17" t="s">
        <v>32</v>
      </c>
      <c r="G784" s="19">
        <v>199842</v>
      </c>
      <c r="H784" s="19">
        <v>182200</v>
      </c>
      <c r="I784" s="19">
        <f t="shared" si="24"/>
        <v>-17642</v>
      </c>
      <c r="J784" s="20">
        <f t="shared" si="25"/>
        <v>-8.8279740995386352E-2</v>
      </c>
    </row>
    <row r="785" spans="1:10" x14ac:dyDescent="0.2">
      <c r="A785" s="17" t="s">
        <v>826</v>
      </c>
      <c r="B785" s="18">
        <v>46301</v>
      </c>
      <c r="C785" s="17" t="s">
        <v>794</v>
      </c>
      <c r="D785" s="17" t="s">
        <v>12</v>
      </c>
      <c r="E785" s="17" t="s">
        <v>17</v>
      </c>
      <c r="F785" s="17" t="s">
        <v>18</v>
      </c>
      <c r="G785" s="19">
        <v>42943</v>
      </c>
      <c r="H785" s="19">
        <v>37800</v>
      </c>
      <c r="I785" s="19">
        <f t="shared" si="24"/>
        <v>-5143</v>
      </c>
      <c r="J785" s="20">
        <f t="shared" si="25"/>
        <v>-0.11976340730736092</v>
      </c>
    </row>
    <row r="786" spans="1:10" x14ac:dyDescent="0.2">
      <c r="A786" s="17" t="s">
        <v>827</v>
      </c>
      <c r="B786" s="18">
        <v>46309</v>
      </c>
      <c r="C786" s="17" t="s">
        <v>794</v>
      </c>
      <c r="D786" s="17" t="s">
        <v>13</v>
      </c>
      <c r="E786" s="17" t="s">
        <v>65</v>
      </c>
      <c r="F786" s="17" t="s">
        <v>27</v>
      </c>
      <c r="G786" s="19">
        <v>79675</v>
      </c>
      <c r="H786" s="19">
        <v>96800</v>
      </c>
      <c r="I786" s="19">
        <f t="shared" si="24"/>
        <v>17125</v>
      </c>
      <c r="J786" s="20">
        <f t="shared" si="25"/>
        <v>0.21493567618449952</v>
      </c>
    </row>
    <row r="787" spans="1:10" x14ac:dyDescent="0.2">
      <c r="A787" s="17" t="s">
        <v>828</v>
      </c>
      <c r="B787" s="18">
        <v>46308</v>
      </c>
      <c r="C787" s="17" t="s">
        <v>794</v>
      </c>
      <c r="D787" s="17" t="s">
        <v>16</v>
      </c>
      <c r="E787" s="17" t="s">
        <v>17</v>
      </c>
      <c r="F787" s="17" t="s">
        <v>21</v>
      </c>
      <c r="G787" s="19">
        <v>133514</v>
      </c>
      <c r="H787" s="19">
        <v>130400</v>
      </c>
      <c r="I787" s="19">
        <f t="shared" si="24"/>
        <v>-3114</v>
      </c>
      <c r="J787" s="20">
        <f t="shared" si="25"/>
        <v>-2.3323396797339604E-2</v>
      </c>
    </row>
    <row r="788" spans="1:10" x14ac:dyDescent="0.2">
      <c r="A788" s="17" t="s">
        <v>829</v>
      </c>
      <c r="B788" s="18">
        <v>46315</v>
      </c>
      <c r="C788" s="17" t="s">
        <v>794</v>
      </c>
      <c r="D788" s="17" t="s">
        <v>25</v>
      </c>
      <c r="E788" s="17" t="s">
        <v>35</v>
      </c>
      <c r="F788" s="17" t="s">
        <v>29</v>
      </c>
      <c r="G788" s="19">
        <v>21546</v>
      </c>
      <c r="H788" s="19">
        <v>23800</v>
      </c>
      <c r="I788" s="19">
        <f t="shared" si="24"/>
        <v>2254</v>
      </c>
      <c r="J788" s="20">
        <f t="shared" si="25"/>
        <v>0.1046133853151397</v>
      </c>
    </row>
    <row r="789" spans="1:10" x14ac:dyDescent="0.2">
      <c r="A789" s="17" t="s">
        <v>830</v>
      </c>
      <c r="B789" s="18">
        <v>46299</v>
      </c>
      <c r="C789" s="17" t="s">
        <v>794</v>
      </c>
      <c r="D789" s="17" t="s">
        <v>12</v>
      </c>
      <c r="E789" s="17" t="s">
        <v>31</v>
      </c>
      <c r="F789" s="17" t="s">
        <v>18</v>
      </c>
      <c r="G789" s="19">
        <v>113768</v>
      </c>
      <c r="H789" s="19">
        <v>138900</v>
      </c>
      <c r="I789" s="19">
        <f t="shared" si="24"/>
        <v>25132</v>
      </c>
      <c r="J789" s="20">
        <f t="shared" si="25"/>
        <v>0.22090570283383729</v>
      </c>
    </row>
    <row r="790" spans="1:10" x14ac:dyDescent="0.2">
      <c r="A790" s="17" t="s">
        <v>831</v>
      </c>
      <c r="B790" s="18">
        <v>46310</v>
      </c>
      <c r="C790" s="17" t="s">
        <v>794</v>
      </c>
      <c r="D790" s="17" t="s">
        <v>13</v>
      </c>
      <c r="E790" s="17" t="s">
        <v>23</v>
      </c>
      <c r="F790" s="17" t="s">
        <v>32</v>
      </c>
      <c r="G790" s="19">
        <v>42676</v>
      </c>
      <c r="H790" s="19">
        <v>41100</v>
      </c>
      <c r="I790" s="19">
        <f t="shared" si="24"/>
        <v>-1576</v>
      </c>
      <c r="J790" s="20">
        <f t="shared" si="25"/>
        <v>-3.692942168900553E-2</v>
      </c>
    </row>
    <row r="791" spans="1:10" x14ac:dyDescent="0.2">
      <c r="A791" s="17" t="s">
        <v>832</v>
      </c>
      <c r="B791" s="18">
        <v>46303</v>
      </c>
      <c r="C791" s="17" t="s">
        <v>794</v>
      </c>
      <c r="D791" s="17" t="s">
        <v>20</v>
      </c>
      <c r="E791" s="17" t="s">
        <v>23</v>
      </c>
      <c r="F791" s="17" t="s">
        <v>21</v>
      </c>
      <c r="G791" s="19">
        <v>144253</v>
      </c>
      <c r="H791" s="19">
        <v>131600</v>
      </c>
      <c r="I791" s="19">
        <f t="shared" si="24"/>
        <v>-12653</v>
      </c>
      <c r="J791" s="20">
        <f t="shared" si="25"/>
        <v>-8.7713947023632097E-2</v>
      </c>
    </row>
    <row r="792" spans="1:10" x14ac:dyDescent="0.2">
      <c r="A792" s="17" t="s">
        <v>833</v>
      </c>
      <c r="B792" s="18">
        <v>46300</v>
      </c>
      <c r="C792" s="17" t="s">
        <v>794</v>
      </c>
      <c r="D792" s="17" t="s">
        <v>12</v>
      </c>
      <c r="E792" s="17" t="s">
        <v>46</v>
      </c>
      <c r="F792" s="17" t="s">
        <v>32</v>
      </c>
      <c r="G792" s="19">
        <v>97326</v>
      </c>
      <c r="H792" s="19">
        <v>120100</v>
      </c>
      <c r="I792" s="19">
        <f t="shared" si="24"/>
        <v>22774</v>
      </c>
      <c r="J792" s="20">
        <f t="shared" si="25"/>
        <v>0.23399708197192939</v>
      </c>
    </row>
    <row r="793" spans="1:10" x14ac:dyDescent="0.2">
      <c r="A793" s="17" t="s">
        <v>834</v>
      </c>
      <c r="B793" s="18">
        <v>46300</v>
      </c>
      <c r="C793" s="17" t="s">
        <v>794</v>
      </c>
      <c r="D793" s="17" t="s">
        <v>25</v>
      </c>
      <c r="E793" s="17" t="s">
        <v>35</v>
      </c>
      <c r="F793" s="17" t="s">
        <v>32</v>
      </c>
      <c r="G793" s="19">
        <v>165103</v>
      </c>
      <c r="H793" s="19">
        <v>198100</v>
      </c>
      <c r="I793" s="19">
        <f t="shared" si="24"/>
        <v>32997</v>
      </c>
      <c r="J793" s="20">
        <f t="shared" si="25"/>
        <v>0.19985705892685171</v>
      </c>
    </row>
    <row r="794" spans="1:10" x14ac:dyDescent="0.2">
      <c r="A794" s="17" t="s">
        <v>835</v>
      </c>
      <c r="B794" s="18">
        <v>46313</v>
      </c>
      <c r="C794" s="17" t="s">
        <v>794</v>
      </c>
      <c r="D794" s="17" t="s">
        <v>49</v>
      </c>
      <c r="E794" s="17" t="s">
        <v>17</v>
      </c>
      <c r="F794" s="17" t="s">
        <v>44</v>
      </c>
      <c r="G794" s="19">
        <v>170134</v>
      </c>
      <c r="H794" s="19">
        <v>185200</v>
      </c>
      <c r="I794" s="19">
        <f t="shared" si="24"/>
        <v>15066</v>
      </c>
      <c r="J794" s="20">
        <f t="shared" si="25"/>
        <v>8.8553728237742019E-2</v>
      </c>
    </row>
    <row r="795" spans="1:10" x14ac:dyDescent="0.2">
      <c r="A795" s="17" t="s">
        <v>836</v>
      </c>
      <c r="B795" s="18">
        <v>46319</v>
      </c>
      <c r="C795" s="17" t="s">
        <v>794</v>
      </c>
      <c r="D795" s="17" t="s">
        <v>12</v>
      </c>
      <c r="E795" s="17" t="s">
        <v>13</v>
      </c>
      <c r="F795" s="17" t="s">
        <v>27</v>
      </c>
      <c r="G795" s="19">
        <v>75064</v>
      </c>
      <c r="H795" s="19">
        <v>86300</v>
      </c>
      <c r="I795" s="19">
        <f t="shared" si="24"/>
        <v>11236</v>
      </c>
      <c r="J795" s="20">
        <f t="shared" si="25"/>
        <v>0.14968560161995098</v>
      </c>
    </row>
    <row r="796" spans="1:10" x14ac:dyDescent="0.2">
      <c r="A796" s="17" t="s">
        <v>837</v>
      </c>
      <c r="B796" s="18">
        <v>46300</v>
      </c>
      <c r="C796" s="17" t="s">
        <v>794</v>
      </c>
      <c r="D796" s="17" t="s">
        <v>20</v>
      </c>
      <c r="E796" s="17" t="s">
        <v>26</v>
      </c>
      <c r="F796" s="17" t="s">
        <v>14</v>
      </c>
      <c r="G796" s="19">
        <v>189327</v>
      </c>
      <c r="H796" s="19">
        <v>225400</v>
      </c>
      <c r="I796" s="19">
        <f t="shared" si="24"/>
        <v>36073</v>
      </c>
      <c r="J796" s="20">
        <f t="shared" si="25"/>
        <v>0.19053278190643702</v>
      </c>
    </row>
    <row r="797" spans="1:10" x14ac:dyDescent="0.2">
      <c r="A797" s="17" t="s">
        <v>838</v>
      </c>
      <c r="B797" s="18">
        <v>46302</v>
      </c>
      <c r="C797" s="17" t="s">
        <v>794</v>
      </c>
      <c r="D797" s="17" t="s">
        <v>25</v>
      </c>
      <c r="E797" s="17" t="s">
        <v>26</v>
      </c>
      <c r="F797" s="17" t="s">
        <v>18</v>
      </c>
      <c r="G797" s="19">
        <v>181712</v>
      </c>
      <c r="H797" s="19">
        <v>215100</v>
      </c>
      <c r="I797" s="19">
        <f t="shared" si="24"/>
        <v>33388</v>
      </c>
      <c r="J797" s="20">
        <f t="shared" si="25"/>
        <v>0.18374130492207449</v>
      </c>
    </row>
    <row r="798" spans="1:10" x14ac:dyDescent="0.2">
      <c r="A798" s="17" t="s">
        <v>839</v>
      </c>
      <c r="B798" s="18">
        <v>46313</v>
      </c>
      <c r="C798" s="17" t="s">
        <v>794</v>
      </c>
      <c r="D798" s="17" t="s">
        <v>13</v>
      </c>
      <c r="E798" s="17" t="s">
        <v>17</v>
      </c>
      <c r="F798" s="17" t="s">
        <v>44</v>
      </c>
      <c r="G798" s="19">
        <v>34257</v>
      </c>
      <c r="H798" s="19">
        <v>40800</v>
      </c>
      <c r="I798" s="19">
        <f t="shared" si="24"/>
        <v>6543</v>
      </c>
      <c r="J798" s="20">
        <f t="shared" si="25"/>
        <v>0.19099746037306245</v>
      </c>
    </row>
    <row r="799" spans="1:10" x14ac:dyDescent="0.2">
      <c r="A799" s="17" t="s">
        <v>840</v>
      </c>
      <c r="B799" s="18">
        <v>46299</v>
      </c>
      <c r="C799" s="17" t="s">
        <v>794</v>
      </c>
      <c r="D799" s="17" t="s">
        <v>20</v>
      </c>
      <c r="E799" s="17" t="s">
        <v>65</v>
      </c>
      <c r="F799" s="17" t="s">
        <v>38</v>
      </c>
      <c r="G799" s="19">
        <v>196078</v>
      </c>
      <c r="H799" s="19">
        <v>171900</v>
      </c>
      <c r="I799" s="19">
        <f t="shared" si="24"/>
        <v>-24178</v>
      </c>
      <c r="J799" s="20">
        <f t="shared" si="25"/>
        <v>-0.12330807127775681</v>
      </c>
    </row>
    <row r="800" spans="1:10" x14ac:dyDescent="0.2">
      <c r="A800" s="17" t="s">
        <v>841</v>
      </c>
      <c r="B800" s="18">
        <v>46316</v>
      </c>
      <c r="C800" s="17" t="s">
        <v>794</v>
      </c>
      <c r="D800" s="17" t="s">
        <v>20</v>
      </c>
      <c r="E800" s="17" t="s">
        <v>17</v>
      </c>
      <c r="F800" s="17" t="s">
        <v>44</v>
      </c>
      <c r="G800" s="19">
        <v>113621</v>
      </c>
      <c r="H800" s="19">
        <v>102400</v>
      </c>
      <c r="I800" s="19">
        <f t="shared" si="24"/>
        <v>-11221</v>
      </c>
      <c r="J800" s="20">
        <f t="shared" si="25"/>
        <v>-9.8758152102164209E-2</v>
      </c>
    </row>
    <row r="801" spans="1:10" x14ac:dyDescent="0.2">
      <c r="A801" s="17" t="s">
        <v>842</v>
      </c>
      <c r="B801" s="18">
        <v>46302</v>
      </c>
      <c r="C801" s="17" t="s">
        <v>794</v>
      </c>
      <c r="D801" s="17" t="s">
        <v>12</v>
      </c>
      <c r="E801" s="17" t="s">
        <v>65</v>
      </c>
      <c r="F801" s="17" t="s">
        <v>41</v>
      </c>
      <c r="G801" s="19">
        <v>182402</v>
      </c>
      <c r="H801" s="19">
        <v>160100</v>
      </c>
      <c r="I801" s="19">
        <f t="shared" si="24"/>
        <v>-22302</v>
      </c>
      <c r="J801" s="20">
        <f t="shared" si="25"/>
        <v>-0.12226839617986644</v>
      </c>
    </row>
    <row r="802" spans="1:10" x14ac:dyDescent="0.2">
      <c r="A802" s="17" t="s">
        <v>843</v>
      </c>
      <c r="B802" s="18">
        <v>46305</v>
      </c>
      <c r="C802" s="17" t="s">
        <v>794</v>
      </c>
      <c r="D802" s="17" t="s">
        <v>16</v>
      </c>
      <c r="E802" s="17" t="s">
        <v>26</v>
      </c>
      <c r="F802" s="17" t="s">
        <v>18</v>
      </c>
      <c r="G802" s="19">
        <v>106073</v>
      </c>
      <c r="H802" s="19">
        <v>116300</v>
      </c>
      <c r="I802" s="19">
        <f t="shared" si="24"/>
        <v>10227</v>
      </c>
      <c r="J802" s="20">
        <f t="shared" si="25"/>
        <v>9.6414733249743104E-2</v>
      </c>
    </row>
    <row r="803" spans="1:10" x14ac:dyDescent="0.2">
      <c r="A803" s="17" t="s">
        <v>844</v>
      </c>
      <c r="B803" s="18">
        <v>46306</v>
      </c>
      <c r="C803" s="17" t="s">
        <v>794</v>
      </c>
      <c r="D803" s="17" t="s">
        <v>13</v>
      </c>
      <c r="E803" s="17" t="s">
        <v>26</v>
      </c>
      <c r="F803" s="17" t="s">
        <v>32</v>
      </c>
      <c r="G803" s="19">
        <v>168599</v>
      </c>
      <c r="H803" s="19">
        <v>167900</v>
      </c>
      <c r="I803" s="19">
        <f t="shared" si="24"/>
        <v>-699</v>
      </c>
      <c r="J803" s="20">
        <f t="shared" si="25"/>
        <v>-4.1459320636539959E-3</v>
      </c>
    </row>
    <row r="804" spans="1:10" x14ac:dyDescent="0.2">
      <c r="A804" s="17" t="s">
        <v>845</v>
      </c>
      <c r="B804" s="18">
        <v>46303</v>
      </c>
      <c r="C804" s="17" t="s">
        <v>794</v>
      </c>
      <c r="D804" s="17" t="s">
        <v>16</v>
      </c>
      <c r="E804" s="17" t="s">
        <v>23</v>
      </c>
      <c r="F804" s="17" t="s">
        <v>44</v>
      </c>
      <c r="G804" s="19">
        <v>102107</v>
      </c>
      <c r="H804" s="19">
        <v>96800</v>
      </c>
      <c r="I804" s="19">
        <f t="shared" si="24"/>
        <v>-5307</v>
      </c>
      <c r="J804" s="20">
        <f t="shared" si="25"/>
        <v>-5.197488908693821E-2</v>
      </c>
    </row>
    <row r="805" spans="1:10" x14ac:dyDescent="0.2">
      <c r="A805" s="17" t="s">
        <v>846</v>
      </c>
      <c r="B805" s="18">
        <v>46319</v>
      </c>
      <c r="C805" s="17" t="s">
        <v>794</v>
      </c>
      <c r="D805" s="17" t="s">
        <v>12</v>
      </c>
      <c r="E805" s="17" t="s">
        <v>65</v>
      </c>
      <c r="F805" s="17" t="s">
        <v>41</v>
      </c>
      <c r="G805" s="19">
        <v>114237</v>
      </c>
      <c r="H805" s="19">
        <v>103200</v>
      </c>
      <c r="I805" s="19">
        <f t="shared" si="24"/>
        <v>-11037</v>
      </c>
      <c r="J805" s="20">
        <f t="shared" si="25"/>
        <v>-9.6614932114813937E-2</v>
      </c>
    </row>
    <row r="806" spans="1:10" x14ac:dyDescent="0.2">
      <c r="A806" s="17" t="s">
        <v>847</v>
      </c>
      <c r="B806" s="18">
        <v>46305</v>
      </c>
      <c r="C806" s="17" t="s">
        <v>794</v>
      </c>
      <c r="D806" s="17" t="s">
        <v>13</v>
      </c>
      <c r="E806" s="17" t="s">
        <v>17</v>
      </c>
      <c r="F806" s="17" t="s">
        <v>51</v>
      </c>
      <c r="G806" s="19">
        <v>136747</v>
      </c>
      <c r="H806" s="19">
        <v>135900</v>
      </c>
      <c r="I806" s="19">
        <f t="shared" si="24"/>
        <v>-847</v>
      </c>
      <c r="J806" s="20">
        <f t="shared" si="25"/>
        <v>-6.1939201591259775E-3</v>
      </c>
    </row>
    <row r="807" spans="1:10" x14ac:dyDescent="0.2">
      <c r="A807" s="17" t="s">
        <v>848</v>
      </c>
      <c r="B807" s="18">
        <v>46322</v>
      </c>
      <c r="C807" s="17" t="s">
        <v>794</v>
      </c>
      <c r="D807" s="17" t="s">
        <v>12</v>
      </c>
      <c r="E807" s="17" t="s">
        <v>26</v>
      </c>
      <c r="F807" s="17" t="s">
        <v>21</v>
      </c>
      <c r="G807" s="19">
        <v>189227</v>
      </c>
      <c r="H807" s="19">
        <v>206800</v>
      </c>
      <c r="I807" s="19">
        <f t="shared" si="24"/>
        <v>17573</v>
      </c>
      <c r="J807" s="20">
        <f t="shared" si="25"/>
        <v>9.2867296950223804E-2</v>
      </c>
    </row>
    <row r="808" spans="1:10" x14ac:dyDescent="0.2">
      <c r="A808" s="17" t="s">
        <v>849</v>
      </c>
      <c r="B808" s="18">
        <v>46316</v>
      </c>
      <c r="C808" s="17" t="s">
        <v>794</v>
      </c>
      <c r="D808" s="17" t="s">
        <v>25</v>
      </c>
      <c r="E808" s="17" t="s">
        <v>17</v>
      </c>
      <c r="F808" s="17" t="s">
        <v>32</v>
      </c>
      <c r="G808" s="19">
        <v>71493</v>
      </c>
      <c r="H808" s="19">
        <v>68300</v>
      </c>
      <c r="I808" s="19">
        <f t="shared" si="24"/>
        <v>-3193</v>
      </c>
      <c r="J808" s="20">
        <f t="shared" si="25"/>
        <v>-4.4661715132950079E-2</v>
      </c>
    </row>
    <row r="809" spans="1:10" x14ac:dyDescent="0.2">
      <c r="A809" s="17" t="s">
        <v>850</v>
      </c>
      <c r="B809" s="18">
        <v>46322</v>
      </c>
      <c r="C809" s="17" t="s">
        <v>794</v>
      </c>
      <c r="D809" s="17" t="s">
        <v>49</v>
      </c>
      <c r="E809" s="17" t="s">
        <v>23</v>
      </c>
      <c r="F809" s="17" t="s">
        <v>18</v>
      </c>
      <c r="G809" s="19">
        <v>152953</v>
      </c>
      <c r="H809" s="19">
        <v>168700</v>
      </c>
      <c r="I809" s="19">
        <f t="shared" si="24"/>
        <v>15747</v>
      </c>
      <c r="J809" s="20">
        <f t="shared" si="25"/>
        <v>0.1029531947722503</v>
      </c>
    </row>
    <row r="810" spans="1:10" x14ac:dyDescent="0.2">
      <c r="A810" s="17" t="s">
        <v>851</v>
      </c>
      <c r="B810" s="18">
        <v>46313</v>
      </c>
      <c r="C810" s="17" t="s">
        <v>794</v>
      </c>
      <c r="D810" s="17" t="s">
        <v>12</v>
      </c>
      <c r="E810" s="17" t="s">
        <v>65</v>
      </c>
      <c r="F810" s="17" t="s">
        <v>51</v>
      </c>
      <c r="G810" s="19">
        <v>75773</v>
      </c>
      <c r="H810" s="19">
        <v>91900</v>
      </c>
      <c r="I810" s="19">
        <f t="shared" si="24"/>
        <v>16127</v>
      </c>
      <c r="J810" s="20">
        <f t="shared" si="25"/>
        <v>0.21283306718752062</v>
      </c>
    </row>
    <row r="811" spans="1:10" x14ac:dyDescent="0.2">
      <c r="A811" s="17" t="s">
        <v>852</v>
      </c>
      <c r="B811" s="18">
        <v>46320</v>
      </c>
      <c r="C811" s="17" t="s">
        <v>794</v>
      </c>
      <c r="D811" s="17" t="s">
        <v>49</v>
      </c>
      <c r="E811" s="17" t="s">
        <v>31</v>
      </c>
      <c r="F811" s="17" t="s">
        <v>51</v>
      </c>
      <c r="G811" s="19">
        <v>115897</v>
      </c>
      <c r="H811" s="19">
        <v>116700</v>
      </c>
      <c r="I811" s="19">
        <f t="shared" si="24"/>
        <v>803</v>
      </c>
      <c r="J811" s="20">
        <f t="shared" si="25"/>
        <v>6.9285658817743343E-3</v>
      </c>
    </row>
    <row r="812" spans="1:10" x14ac:dyDescent="0.2">
      <c r="A812" s="17" t="s">
        <v>853</v>
      </c>
      <c r="B812" s="18">
        <v>46298</v>
      </c>
      <c r="C812" s="17" t="s">
        <v>794</v>
      </c>
      <c r="D812" s="17" t="s">
        <v>13</v>
      </c>
      <c r="E812" s="17" t="s">
        <v>46</v>
      </c>
      <c r="F812" s="17" t="s">
        <v>21</v>
      </c>
      <c r="G812" s="19">
        <v>141818</v>
      </c>
      <c r="H812" s="19">
        <v>149000</v>
      </c>
      <c r="I812" s="19">
        <f t="shared" si="24"/>
        <v>7182</v>
      </c>
      <c r="J812" s="20">
        <f t="shared" si="25"/>
        <v>5.0642372618426433E-2</v>
      </c>
    </row>
    <row r="813" spans="1:10" x14ac:dyDescent="0.2">
      <c r="A813" s="17" t="s">
        <v>854</v>
      </c>
      <c r="B813" s="18">
        <v>46323</v>
      </c>
      <c r="C813" s="17" t="s">
        <v>794</v>
      </c>
      <c r="D813" s="17" t="s">
        <v>49</v>
      </c>
      <c r="E813" s="17" t="s">
        <v>26</v>
      </c>
      <c r="F813" s="17" t="s">
        <v>21</v>
      </c>
      <c r="G813" s="19">
        <v>22776</v>
      </c>
      <c r="H813" s="19">
        <v>25400</v>
      </c>
      <c r="I813" s="19">
        <f t="shared" si="24"/>
        <v>2624</v>
      </c>
      <c r="J813" s="20">
        <f t="shared" si="25"/>
        <v>0.11520899192132068</v>
      </c>
    </row>
    <row r="814" spans="1:10" x14ac:dyDescent="0.2">
      <c r="A814" s="17" t="s">
        <v>855</v>
      </c>
      <c r="B814" s="18">
        <v>46301</v>
      </c>
      <c r="C814" s="17" t="s">
        <v>794</v>
      </c>
      <c r="D814" s="17" t="s">
        <v>49</v>
      </c>
      <c r="E814" s="17" t="s">
        <v>26</v>
      </c>
      <c r="F814" s="17" t="s">
        <v>41</v>
      </c>
      <c r="G814" s="19">
        <v>56797</v>
      </c>
      <c r="H814" s="19">
        <v>58400</v>
      </c>
      <c r="I814" s="19">
        <f t="shared" si="24"/>
        <v>1603</v>
      </c>
      <c r="J814" s="20">
        <f t="shared" si="25"/>
        <v>2.8223321654312728E-2</v>
      </c>
    </row>
    <row r="815" spans="1:10" x14ac:dyDescent="0.2">
      <c r="A815" s="17" t="s">
        <v>856</v>
      </c>
      <c r="B815" s="18">
        <v>46320</v>
      </c>
      <c r="C815" s="17" t="s">
        <v>794</v>
      </c>
      <c r="D815" s="17" t="s">
        <v>13</v>
      </c>
      <c r="E815" s="17" t="s">
        <v>13</v>
      </c>
      <c r="F815" s="17" t="s">
        <v>29</v>
      </c>
      <c r="G815" s="19">
        <v>114056</v>
      </c>
      <c r="H815" s="19">
        <v>98800</v>
      </c>
      <c r="I815" s="19">
        <f t="shared" si="24"/>
        <v>-15256</v>
      </c>
      <c r="J815" s="20">
        <f t="shared" si="25"/>
        <v>-0.1337588552991513</v>
      </c>
    </row>
    <row r="816" spans="1:10" x14ac:dyDescent="0.2">
      <c r="A816" s="17" t="s">
        <v>857</v>
      </c>
      <c r="B816" s="18">
        <v>46297</v>
      </c>
      <c r="C816" s="17" t="s">
        <v>794</v>
      </c>
      <c r="D816" s="17" t="s">
        <v>16</v>
      </c>
      <c r="E816" s="17" t="s">
        <v>13</v>
      </c>
      <c r="F816" s="17" t="s">
        <v>21</v>
      </c>
      <c r="G816" s="19">
        <v>89299</v>
      </c>
      <c r="H816" s="19">
        <v>89100</v>
      </c>
      <c r="I816" s="19">
        <f t="shared" si="24"/>
        <v>-199</v>
      </c>
      <c r="J816" s="20">
        <f t="shared" si="25"/>
        <v>-2.2284684039014994E-3</v>
      </c>
    </row>
    <row r="817" spans="1:10" x14ac:dyDescent="0.2">
      <c r="A817" s="17" t="s">
        <v>858</v>
      </c>
      <c r="B817" s="18">
        <v>46310</v>
      </c>
      <c r="C817" s="17" t="s">
        <v>794</v>
      </c>
      <c r="D817" s="17" t="s">
        <v>25</v>
      </c>
      <c r="E817" s="17" t="s">
        <v>35</v>
      </c>
      <c r="F817" s="17" t="s">
        <v>38</v>
      </c>
      <c r="G817" s="19">
        <v>114699</v>
      </c>
      <c r="H817" s="19">
        <v>115300</v>
      </c>
      <c r="I817" s="19">
        <f t="shared" si="24"/>
        <v>601</v>
      </c>
      <c r="J817" s="20">
        <f t="shared" si="25"/>
        <v>5.2398015675812343E-3</v>
      </c>
    </row>
    <row r="818" spans="1:10" x14ac:dyDescent="0.2">
      <c r="A818" s="17" t="s">
        <v>859</v>
      </c>
      <c r="B818" s="18">
        <v>46312</v>
      </c>
      <c r="C818" s="17" t="s">
        <v>794</v>
      </c>
      <c r="D818" s="17" t="s">
        <v>16</v>
      </c>
      <c r="E818" s="17" t="s">
        <v>31</v>
      </c>
      <c r="F818" s="17" t="s">
        <v>44</v>
      </c>
      <c r="G818" s="19">
        <v>47059</v>
      </c>
      <c r="H818" s="19">
        <v>53200</v>
      </c>
      <c r="I818" s="19">
        <f t="shared" si="24"/>
        <v>6141</v>
      </c>
      <c r="J818" s="20">
        <f t="shared" si="25"/>
        <v>0.1304957606408976</v>
      </c>
    </row>
    <row r="819" spans="1:10" x14ac:dyDescent="0.2">
      <c r="A819" s="17" t="s">
        <v>860</v>
      </c>
      <c r="B819" s="18">
        <v>46301</v>
      </c>
      <c r="C819" s="17" t="s">
        <v>794</v>
      </c>
      <c r="D819" s="17" t="s">
        <v>13</v>
      </c>
      <c r="E819" s="17" t="s">
        <v>23</v>
      </c>
      <c r="F819" s="17" t="s">
        <v>38</v>
      </c>
      <c r="G819" s="19">
        <v>171684</v>
      </c>
      <c r="H819" s="19">
        <v>183300</v>
      </c>
      <c r="I819" s="19">
        <f t="shared" si="24"/>
        <v>11616</v>
      </c>
      <c r="J819" s="20">
        <f t="shared" si="25"/>
        <v>6.7659187810162863E-2</v>
      </c>
    </row>
    <row r="820" spans="1:10" x14ac:dyDescent="0.2">
      <c r="A820" s="17" t="s">
        <v>861</v>
      </c>
      <c r="B820" s="18">
        <v>46322</v>
      </c>
      <c r="C820" s="17" t="s">
        <v>794</v>
      </c>
      <c r="D820" s="17" t="s">
        <v>25</v>
      </c>
      <c r="E820" s="17" t="s">
        <v>31</v>
      </c>
      <c r="F820" s="17" t="s">
        <v>27</v>
      </c>
      <c r="G820" s="19">
        <v>174056</v>
      </c>
      <c r="H820" s="19">
        <v>193400</v>
      </c>
      <c r="I820" s="19">
        <f t="shared" si="24"/>
        <v>19344</v>
      </c>
      <c r="J820" s="20">
        <f t="shared" si="25"/>
        <v>0.1111366456772533</v>
      </c>
    </row>
    <row r="821" spans="1:10" x14ac:dyDescent="0.2">
      <c r="A821" s="17" t="s">
        <v>862</v>
      </c>
      <c r="B821" s="18">
        <v>46307</v>
      </c>
      <c r="C821" s="17" t="s">
        <v>794</v>
      </c>
      <c r="D821" s="17" t="s">
        <v>12</v>
      </c>
      <c r="E821" s="17" t="s">
        <v>65</v>
      </c>
      <c r="F821" s="17" t="s">
        <v>41</v>
      </c>
      <c r="G821" s="19">
        <v>78431</v>
      </c>
      <c r="H821" s="19">
        <v>82900</v>
      </c>
      <c r="I821" s="19">
        <f t="shared" si="24"/>
        <v>4469</v>
      </c>
      <c r="J821" s="20">
        <f t="shared" si="25"/>
        <v>5.6980020655098114E-2</v>
      </c>
    </row>
    <row r="822" spans="1:10" x14ac:dyDescent="0.2">
      <c r="A822" s="17" t="s">
        <v>863</v>
      </c>
      <c r="B822" s="18">
        <v>46300</v>
      </c>
      <c r="C822" s="17" t="s">
        <v>794</v>
      </c>
      <c r="D822" s="17" t="s">
        <v>13</v>
      </c>
      <c r="E822" s="17" t="s">
        <v>26</v>
      </c>
      <c r="F822" s="17" t="s">
        <v>14</v>
      </c>
      <c r="G822" s="19">
        <v>178390</v>
      </c>
      <c r="H822" s="19">
        <v>152100</v>
      </c>
      <c r="I822" s="19">
        <f t="shared" si="24"/>
        <v>-26290</v>
      </c>
      <c r="J822" s="20">
        <f t="shared" si="25"/>
        <v>-0.14737373171141879</v>
      </c>
    </row>
    <row r="823" spans="1:10" x14ac:dyDescent="0.2">
      <c r="A823" s="17" t="s">
        <v>864</v>
      </c>
      <c r="B823" s="18">
        <v>46304</v>
      </c>
      <c r="C823" s="17" t="s">
        <v>794</v>
      </c>
      <c r="D823" s="17" t="s">
        <v>20</v>
      </c>
      <c r="E823" s="17" t="s">
        <v>26</v>
      </c>
      <c r="F823" s="17" t="s">
        <v>51</v>
      </c>
      <c r="G823" s="19">
        <v>40208</v>
      </c>
      <c r="H823" s="19">
        <v>42500</v>
      </c>
      <c r="I823" s="19">
        <f t="shared" si="24"/>
        <v>2292</v>
      </c>
      <c r="J823" s="20">
        <f t="shared" si="25"/>
        <v>5.7003581376840431E-2</v>
      </c>
    </row>
    <row r="824" spans="1:10" x14ac:dyDescent="0.2">
      <c r="A824" s="17" t="s">
        <v>865</v>
      </c>
      <c r="B824" s="18">
        <v>46318</v>
      </c>
      <c r="C824" s="17" t="s">
        <v>794</v>
      </c>
      <c r="D824" s="17" t="s">
        <v>25</v>
      </c>
      <c r="E824" s="17" t="s">
        <v>13</v>
      </c>
      <c r="F824" s="17" t="s">
        <v>27</v>
      </c>
      <c r="G824" s="19">
        <v>61250</v>
      </c>
      <c r="H824" s="19">
        <v>60900</v>
      </c>
      <c r="I824" s="19">
        <f t="shared" si="24"/>
        <v>-350</v>
      </c>
      <c r="J824" s="20">
        <f t="shared" si="25"/>
        <v>-5.7142857142857143E-3</v>
      </c>
    </row>
    <row r="825" spans="1:10" x14ac:dyDescent="0.2">
      <c r="A825" s="17" t="s">
        <v>866</v>
      </c>
      <c r="B825" s="18">
        <v>46311</v>
      </c>
      <c r="C825" s="17" t="s">
        <v>794</v>
      </c>
      <c r="D825" s="17" t="s">
        <v>16</v>
      </c>
      <c r="E825" s="17" t="s">
        <v>65</v>
      </c>
      <c r="F825" s="17" t="s">
        <v>41</v>
      </c>
      <c r="G825" s="19">
        <v>106566</v>
      </c>
      <c r="H825" s="19">
        <v>121300</v>
      </c>
      <c r="I825" s="19">
        <f t="shared" si="24"/>
        <v>14734</v>
      </c>
      <c r="J825" s="20">
        <f t="shared" si="25"/>
        <v>0.13826173451194565</v>
      </c>
    </row>
    <row r="826" spans="1:10" x14ac:dyDescent="0.2">
      <c r="A826" s="17" t="s">
        <v>867</v>
      </c>
      <c r="B826" s="18">
        <v>46316</v>
      </c>
      <c r="C826" s="17" t="s">
        <v>794</v>
      </c>
      <c r="D826" s="17" t="s">
        <v>13</v>
      </c>
      <c r="E826" s="17" t="s">
        <v>35</v>
      </c>
      <c r="F826" s="17" t="s">
        <v>14</v>
      </c>
      <c r="G826" s="19">
        <v>75234</v>
      </c>
      <c r="H826" s="19">
        <v>81700</v>
      </c>
      <c r="I826" s="19">
        <f t="shared" si="24"/>
        <v>6466</v>
      </c>
      <c r="J826" s="20">
        <f t="shared" si="25"/>
        <v>8.5945184358135945E-2</v>
      </c>
    </row>
    <row r="827" spans="1:10" x14ac:dyDescent="0.2">
      <c r="A827" s="17" t="s">
        <v>868</v>
      </c>
      <c r="B827" s="18">
        <v>46314</v>
      </c>
      <c r="C827" s="17" t="s">
        <v>794</v>
      </c>
      <c r="D827" s="17" t="s">
        <v>20</v>
      </c>
      <c r="E827" s="17" t="s">
        <v>26</v>
      </c>
      <c r="F827" s="17" t="s">
        <v>21</v>
      </c>
      <c r="G827" s="19">
        <v>31310</v>
      </c>
      <c r="H827" s="19">
        <v>28200</v>
      </c>
      <c r="I827" s="19">
        <f t="shared" si="24"/>
        <v>-3110</v>
      </c>
      <c r="J827" s="20">
        <f t="shared" si="25"/>
        <v>-9.9329287767486424E-2</v>
      </c>
    </row>
    <row r="828" spans="1:10" x14ac:dyDescent="0.2">
      <c r="A828" s="17" t="s">
        <v>869</v>
      </c>
      <c r="B828" s="18">
        <v>46300</v>
      </c>
      <c r="C828" s="17" t="s">
        <v>794</v>
      </c>
      <c r="D828" s="17" t="s">
        <v>25</v>
      </c>
      <c r="E828" s="17" t="s">
        <v>26</v>
      </c>
      <c r="F828" s="17" t="s">
        <v>44</v>
      </c>
      <c r="G828" s="19">
        <v>30273</v>
      </c>
      <c r="H828" s="19">
        <v>36500</v>
      </c>
      <c r="I828" s="19">
        <f t="shared" si="24"/>
        <v>6227</v>
      </c>
      <c r="J828" s="20">
        <f t="shared" si="25"/>
        <v>0.20569484358999768</v>
      </c>
    </row>
    <row r="829" spans="1:10" x14ac:dyDescent="0.2">
      <c r="A829" s="17" t="s">
        <v>870</v>
      </c>
      <c r="B829" s="18">
        <v>46308</v>
      </c>
      <c r="C829" s="17" t="s">
        <v>794</v>
      </c>
      <c r="D829" s="17" t="s">
        <v>49</v>
      </c>
      <c r="E829" s="17" t="s">
        <v>35</v>
      </c>
      <c r="F829" s="17" t="s">
        <v>44</v>
      </c>
      <c r="G829" s="19">
        <v>67195</v>
      </c>
      <c r="H829" s="19">
        <v>71000</v>
      </c>
      <c r="I829" s="19">
        <f t="shared" si="24"/>
        <v>3805</v>
      </c>
      <c r="J829" s="20">
        <f t="shared" si="25"/>
        <v>5.6626237071210658E-2</v>
      </c>
    </row>
    <row r="830" spans="1:10" x14ac:dyDescent="0.2">
      <c r="A830" s="17" t="s">
        <v>871</v>
      </c>
      <c r="B830" s="18">
        <v>46315</v>
      </c>
      <c r="C830" s="17" t="s">
        <v>794</v>
      </c>
      <c r="D830" s="17" t="s">
        <v>13</v>
      </c>
      <c r="E830" s="17" t="s">
        <v>65</v>
      </c>
      <c r="F830" s="17" t="s">
        <v>51</v>
      </c>
      <c r="G830" s="19">
        <v>42478</v>
      </c>
      <c r="H830" s="19">
        <v>39800</v>
      </c>
      <c r="I830" s="19">
        <f t="shared" si="24"/>
        <v>-2678</v>
      </c>
      <c r="J830" s="20">
        <f t="shared" si="25"/>
        <v>-6.3044399453834929E-2</v>
      </c>
    </row>
    <row r="831" spans="1:10" x14ac:dyDescent="0.2">
      <c r="A831" s="17" t="s">
        <v>872</v>
      </c>
      <c r="B831" s="18">
        <v>46315</v>
      </c>
      <c r="C831" s="17" t="s">
        <v>794</v>
      </c>
      <c r="D831" s="17" t="s">
        <v>20</v>
      </c>
      <c r="E831" s="17" t="s">
        <v>26</v>
      </c>
      <c r="F831" s="17" t="s">
        <v>18</v>
      </c>
      <c r="G831" s="19">
        <v>77504</v>
      </c>
      <c r="H831" s="19">
        <v>91600</v>
      </c>
      <c r="I831" s="19">
        <f t="shared" si="24"/>
        <v>14096</v>
      </c>
      <c r="J831" s="20">
        <f t="shared" si="25"/>
        <v>0.18187448389760527</v>
      </c>
    </row>
    <row r="832" spans="1:10" x14ac:dyDescent="0.2">
      <c r="A832" s="17" t="s">
        <v>873</v>
      </c>
      <c r="B832" s="18">
        <v>46301</v>
      </c>
      <c r="C832" s="17" t="s">
        <v>794</v>
      </c>
      <c r="D832" s="17" t="s">
        <v>16</v>
      </c>
      <c r="E832" s="17" t="s">
        <v>46</v>
      </c>
      <c r="F832" s="17" t="s">
        <v>41</v>
      </c>
      <c r="G832" s="19">
        <v>192922</v>
      </c>
      <c r="H832" s="19">
        <v>203400</v>
      </c>
      <c r="I832" s="19">
        <f t="shared" si="24"/>
        <v>10478</v>
      </c>
      <c r="J832" s="20">
        <f t="shared" si="25"/>
        <v>5.431210541047677E-2</v>
      </c>
    </row>
    <row r="833" spans="1:10" x14ac:dyDescent="0.2">
      <c r="A833" s="17" t="s">
        <v>874</v>
      </c>
      <c r="B833" s="18">
        <v>46303</v>
      </c>
      <c r="C833" s="17" t="s">
        <v>794</v>
      </c>
      <c r="D833" s="17" t="s">
        <v>13</v>
      </c>
      <c r="E833" s="17" t="s">
        <v>23</v>
      </c>
      <c r="F833" s="17" t="s">
        <v>51</v>
      </c>
      <c r="G833" s="19">
        <v>176377</v>
      </c>
      <c r="H833" s="19">
        <v>191600</v>
      </c>
      <c r="I833" s="19">
        <f t="shared" si="24"/>
        <v>15223</v>
      </c>
      <c r="J833" s="20">
        <f t="shared" si="25"/>
        <v>8.6309439439382685E-2</v>
      </c>
    </row>
    <row r="834" spans="1:10" x14ac:dyDescent="0.2">
      <c r="A834" s="17" t="s">
        <v>875</v>
      </c>
      <c r="B834" s="18">
        <v>46312</v>
      </c>
      <c r="C834" s="17" t="s">
        <v>794</v>
      </c>
      <c r="D834" s="17" t="s">
        <v>49</v>
      </c>
      <c r="E834" s="17" t="s">
        <v>23</v>
      </c>
      <c r="F834" s="17" t="s">
        <v>51</v>
      </c>
      <c r="G834" s="19">
        <v>48461</v>
      </c>
      <c r="H834" s="19">
        <v>41500</v>
      </c>
      <c r="I834" s="19">
        <f t="shared" ref="I834:I897" si="26">H834-G834</f>
        <v>-6961</v>
      </c>
      <c r="J834" s="20">
        <f t="shared" ref="J834:J897" si="27">IFERROR(I834/G834,0)</f>
        <v>-0.1436412785538887</v>
      </c>
    </row>
    <row r="835" spans="1:10" x14ac:dyDescent="0.2">
      <c r="A835" s="17" t="s">
        <v>876</v>
      </c>
      <c r="B835" s="18">
        <v>46311</v>
      </c>
      <c r="C835" s="17" t="s">
        <v>794</v>
      </c>
      <c r="D835" s="17" t="s">
        <v>49</v>
      </c>
      <c r="E835" s="17" t="s">
        <v>35</v>
      </c>
      <c r="F835" s="17" t="s">
        <v>21</v>
      </c>
      <c r="G835" s="19">
        <v>178731</v>
      </c>
      <c r="H835" s="19">
        <v>158800</v>
      </c>
      <c r="I835" s="19">
        <f t="shared" si="26"/>
        <v>-19931</v>
      </c>
      <c r="J835" s="20">
        <f t="shared" si="27"/>
        <v>-0.11151395113326731</v>
      </c>
    </row>
    <row r="836" spans="1:10" x14ac:dyDescent="0.2">
      <c r="A836" s="17" t="s">
        <v>877</v>
      </c>
      <c r="B836" s="18">
        <v>46329</v>
      </c>
      <c r="C836" s="17" t="s">
        <v>878</v>
      </c>
      <c r="D836" s="17" t="s">
        <v>13</v>
      </c>
      <c r="E836" s="17" t="s">
        <v>26</v>
      </c>
      <c r="F836" s="17" t="s">
        <v>18</v>
      </c>
      <c r="G836" s="19">
        <v>151944</v>
      </c>
      <c r="H836" s="19">
        <v>174900</v>
      </c>
      <c r="I836" s="19">
        <f t="shared" si="26"/>
        <v>22956</v>
      </c>
      <c r="J836" s="20">
        <f t="shared" si="27"/>
        <v>0.15108197757068392</v>
      </c>
    </row>
    <row r="837" spans="1:10" x14ac:dyDescent="0.2">
      <c r="A837" s="17" t="s">
        <v>879</v>
      </c>
      <c r="B837" s="18">
        <v>46351</v>
      </c>
      <c r="C837" s="17" t="s">
        <v>878</v>
      </c>
      <c r="D837" s="17" t="s">
        <v>16</v>
      </c>
      <c r="E837" s="17" t="s">
        <v>23</v>
      </c>
      <c r="F837" s="17" t="s">
        <v>21</v>
      </c>
      <c r="G837" s="19">
        <v>161370</v>
      </c>
      <c r="H837" s="19">
        <v>190600</v>
      </c>
      <c r="I837" s="19">
        <f t="shared" si="26"/>
        <v>29230</v>
      </c>
      <c r="J837" s="20">
        <f t="shared" si="27"/>
        <v>0.18113651855983146</v>
      </c>
    </row>
    <row r="838" spans="1:10" x14ac:dyDescent="0.2">
      <c r="A838" s="17" t="s">
        <v>880</v>
      </c>
      <c r="B838" s="18">
        <v>46328</v>
      </c>
      <c r="C838" s="17" t="s">
        <v>878</v>
      </c>
      <c r="D838" s="17" t="s">
        <v>16</v>
      </c>
      <c r="E838" s="17" t="s">
        <v>23</v>
      </c>
      <c r="F838" s="17" t="s">
        <v>14</v>
      </c>
      <c r="G838" s="19">
        <v>130279</v>
      </c>
      <c r="H838" s="19">
        <v>130000</v>
      </c>
      <c r="I838" s="19">
        <f t="shared" si="26"/>
        <v>-279</v>
      </c>
      <c r="J838" s="20">
        <f t="shared" si="27"/>
        <v>-2.1415577337867194E-3</v>
      </c>
    </row>
    <row r="839" spans="1:10" x14ac:dyDescent="0.2">
      <c r="A839" s="17" t="s">
        <v>881</v>
      </c>
      <c r="B839" s="18">
        <v>46339</v>
      </c>
      <c r="C839" s="17" t="s">
        <v>878</v>
      </c>
      <c r="D839" s="17" t="s">
        <v>12</v>
      </c>
      <c r="E839" s="17" t="s">
        <v>17</v>
      </c>
      <c r="F839" s="17" t="s">
        <v>27</v>
      </c>
      <c r="G839" s="19">
        <v>146385</v>
      </c>
      <c r="H839" s="19">
        <v>170700</v>
      </c>
      <c r="I839" s="19">
        <f t="shared" si="26"/>
        <v>24315</v>
      </c>
      <c r="J839" s="20">
        <f t="shared" si="27"/>
        <v>0.16610308433241111</v>
      </c>
    </row>
    <row r="840" spans="1:10" x14ac:dyDescent="0.2">
      <c r="A840" s="17" t="s">
        <v>882</v>
      </c>
      <c r="B840" s="18">
        <v>46351</v>
      </c>
      <c r="C840" s="17" t="s">
        <v>878</v>
      </c>
      <c r="D840" s="17" t="s">
        <v>20</v>
      </c>
      <c r="E840" s="17" t="s">
        <v>17</v>
      </c>
      <c r="F840" s="17" t="s">
        <v>44</v>
      </c>
      <c r="G840" s="19">
        <v>55096</v>
      </c>
      <c r="H840" s="19">
        <v>52400</v>
      </c>
      <c r="I840" s="19">
        <f t="shared" si="26"/>
        <v>-2696</v>
      </c>
      <c r="J840" s="20">
        <f t="shared" si="27"/>
        <v>-4.8932771889066355E-2</v>
      </c>
    </row>
    <row r="841" spans="1:10" x14ac:dyDescent="0.2">
      <c r="A841" s="17" t="s">
        <v>883</v>
      </c>
      <c r="B841" s="18">
        <v>46340</v>
      </c>
      <c r="C841" s="17" t="s">
        <v>878</v>
      </c>
      <c r="D841" s="17" t="s">
        <v>12</v>
      </c>
      <c r="E841" s="17" t="s">
        <v>13</v>
      </c>
      <c r="F841" s="17" t="s">
        <v>32</v>
      </c>
      <c r="G841" s="19">
        <v>176838</v>
      </c>
      <c r="H841" s="19">
        <v>212300</v>
      </c>
      <c r="I841" s="19">
        <f t="shared" si="26"/>
        <v>35462</v>
      </c>
      <c r="J841" s="20">
        <f t="shared" si="27"/>
        <v>0.200533821916104</v>
      </c>
    </row>
    <row r="842" spans="1:10" x14ac:dyDescent="0.2">
      <c r="A842" s="17" t="s">
        <v>884</v>
      </c>
      <c r="B842" s="18">
        <v>46330</v>
      </c>
      <c r="C842" s="17" t="s">
        <v>878</v>
      </c>
      <c r="D842" s="17" t="s">
        <v>49</v>
      </c>
      <c r="E842" s="17" t="s">
        <v>35</v>
      </c>
      <c r="F842" s="17" t="s">
        <v>27</v>
      </c>
      <c r="G842" s="19">
        <v>21864</v>
      </c>
      <c r="H842" s="19">
        <v>23600</v>
      </c>
      <c r="I842" s="19">
        <f t="shared" si="26"/>
        <v>1736</v>
      </c>
      <c r="J842" s="20">
        <f t="shared" si="27"/>
        <v>7.9399926820343941E-2</v>
      </c>
    </row>
    <row r="843" spans="1:10" x14ac:dyDescent="0.2">
      <c r="A843" s="17" t="s">
        <v>885</v>
      </c>
      <c r="B843" s="18">
        <v>46352</v>
      </c>
      <c r="C843" s="17" t="s">
        <v>878</v>
      </c>
      <c r="D843" s="17" t="s">
        <v>12</v>
      </c>
      <c r="E843" s="17" t="s">
        <v>23</v>
      </c>
      <c r="F843" s="17" t="s">
        <v>38</v>
      </c>
      <c r="G843" s="19">
        <v>191585</v>
      </c>
      <c r="H843" s="19">
        <v>178600</v>
      </c>
      <c r="I843" s="19">
        <f t="shared" si="26"/>
        <v>-12985</v>
      </c>
      <c r="J843" s="20">
        <f t="shared" si="27"/>
        <v>-6.7776704856852055E-2</v>
      </c>
    </row>
    <row r="844" spans="1:10" x14ac:dyDescent="0.2">
      <c r="A844" s="17" t="s">
        <v>886</v>
      </c>
      <c r="B844" s="18">
        <v>46347</v>
      </c>
      <c r="C844" s="17" t="s">
        <v>878</v>
      </c>
      <c r="D844" s="17" t="s">
        <v>49</v>
      </c>
      <c r="E844" s="17" t="s">
        <v>31</v>
      </c>
      <c r="F844" s="17" t="s">
        <v>44</v>
      </c>
      <c r="G844" s="19">
        <v>47940</v>
      </c>
      <c r="H844" s="19">
        <v>43700</v>
      </c>
      <c r="I844" s="19">
        <f t="shared" si="26"/>
        <v>-4240</v>
      </c>
      <c r="J844" s="20">
        <f t="shared" si="27"/>
        <v>-8.8443888193575307E-2</v>
      </c>
    </row>
    <row r="845" spans="1:10" x14ac:dyDescent="0.2">
      <c r="A845" s="17" t="s">
        <v>887</v>
      </c>
      <c r="B845" s="18">
        <v>46338</v>
      </c>
      <c r="C845" s="17" t="s">
        <v>878</v>
      </c>
      <c r="D845" s="17" t="s">
        <v>49</v>
      </c>
      <c r="E845" s="17" t="s">
        <v>31</v>
      </c>
      <c r="F845" s="17" t="s">
        <v>27</v>
      </c>
      <c r="G845" s="19">
        <v>160536</v>
      </c>
      <c r="H845" s="19">
        <v>163700</v>
      </c>
      <c r="I845" s="19">
        <f t="shared" si="26"/>
        <v>3164</v>
      </c>
      <c r="J845" s="20">
        <f t="shared" si="27"/>
        <v>1.9708974933971196E-2</v>
      </c>
    </row>
    <row r="846" spans="1:10" x14ac:dyDescent="0.2">
      <c r="A846" s="17" t="s">
        <v>888</v>
      </c>
      <c r="B846" s="18">
        <v>46352</v>
      </c>
      <c r="C846" s="17" t="s">
        <v>878</v>
      </c>
      <c r="D846" s="17" t="s">
        <v>49</v>
      </c>
      <c r="E846" s="17" t="s">
        <v>65</v>
      </c>
      <c r="F846" s="17" t="s">
        <v>51</v>
      </c>
      <c r="G846" s="19">
        <v>73397</v>
      </c>
      <c r="H846" s="19">
        <v>74500</v>
      </c>
      <c r="I846" s="19">
        <f t="shared" si="26"/>
        <v>1103</v>
      </c>
      <c r="J846" s="20">
        <f t="shared" si="27"/>
        <v>1.5027862174203306E-2</v>
      </c>
    </row>
    <row r="847" spans="1:10" x14ac:dyDescent="0.2">
      <c r="A847" s="17" t="s">
        <v>889</v>
      </c>
      <c r="B847" s="18">
        <v>46342</v>
      </c>
      <c r="C847" s="17" t="s">
        <v>878</v>
      </c>
      <c r="D847" s="17" t="s">
        <v>12</v>
      </c>
      <c r="E847" s="17" t="s">
        <v>31</v>
      </c>
      <c r="F847" s="17" t="s">
        <v>18</v>
      </c>
      <c r="G847" s="19">
        <v>117049</v>
      </c>
      <c r="H847" s="19">
        <v>125700</v>
      </c>
      <c r="I847" s="19">
        <f t="shared" si="26"/>
        <v>8651</v>
      </c>
      <c r="J847" s="20">
        <f t="shared" si="27"/>
        <v>7.3909217507197839E-2</v>
      </c>
    </row>
    <row r="848" spans="1:10" x14ac:dyDescent="0.2">
      <c r="A848" s="17" t="s">
        <v>890</v>
      </c>
      <c r="B848" s="18">
        <v>46339</v>
      </c>
      <c r="C848" s="17" t="s">
        <v>878</v>
      </c>
      <c r="D848" s="17" t="s">
        <v>16</v>
      </c>
      <c r="E848" s="17" t="s">
        <v>26</v>
      </c>
      <c r="F848" s="17" t="s">
        <v>29</v>
      </c>
      <c r="G848" s="19">
        <v>110270</v>
      </c>
      <c r="H848" s="19">
        <v>127900</v>
      </c>
      <c r="I848" s="19">
        <f t="shared" si="26"/>
        <v>17630</v>
      </c>
      <c r="J848" s="20">
        <f t="shared" si="27"/>
        <v>0.15988029382424956</v>
      </c>
    </row>
    <row r="849" spans="1:10" x14ac:dyDescent="0.2">
      <c r="A849" s="17" t="s">
        <v>891</v>
      </c>
      <c r="B849" s="18">
        <v>46349</v>
      </c>
      <c r="C849" s="17" t="s">
        <v>878</v>
      </c>
      <c r="D849" s="17" t="s">
        <v>20</v>
      </c>
      <c r="E849" s="17" t="s">
        <v>17</v>
      </c>
      <c r="F849" s="17" t="s">
        <v>14</v>
      </c>
      <c r="G849" s="19">
        <v>80233</v>
      </c>
      <c r="H849" s="19">
        <v>82500</v>
      </c>
      <c r="I849" s="19">
        <f t="shared" si="26"/>
        <v>2267</v>
      </c>
      <c r="J849" s="20">
        <f t="shared" si="27"/>
        <v>2.8255206710455796E-2</v>
      </c>
    </row>
    <row r="850" spans="1:10" x14ac:dyDescent="0.2">
      <c r="A850" s="17" t="s">
        <v>892</v>
      </c>
      <c r="B850" s="18">
        <v>46337</v>
      </c>
      <c r="C850" s="17" t="s">
        <v>878</v>
      </c>
      <c r="D850" s="17" t="s">
        <v>49</v>
      </c>
      <c r="E850" s="17" t="s">
        <v>35</v>
      </c>
      <c r="F850" s="17" t="s">
        <v>51</v>
      </c>
      <c r="G850" s="19">
        <v>153259</v>
      </c>
      <c r="H850" s="19">
        <v>154800</v>
      </c>
      <c r="I850" s="19">
        <f t="shared" si="26"/>
        <v>1541</v>
      </c>
      <c r="J850" s="20">
        <f t="shared" si="27"/>
        <v>1.0054874428255436E-2</v>
      </c>
    </row>
    <row r="851" spans="1:10" x14ac:dyDescent="0.2">
      <c r="A851" s="17" t="s">
        <v>893</v>
      </c>
      <c r="B851" s="18">
        <v>46327</v>
      </c>
      <c r="C851" s="17" t="s">
        <v>878</v>
      </c>
      <c r="D851" s="17" t="s">
        <v>25</v>
      </c>
      <c r="E851" s="17" t="s">
        <v>26</v>
      </c>
      <c r="F851" s="17" t="s">
        <v>41</v>
      </c>
      <c r="G851" s="19">
        <v>122001</v>
      </c>
      <c r="H851" s="19">
        <v>150800</v>
      </c>
      <c r="I851" s="19">
        <f t="shared" si="26"/>
        <v>28799</v>
      </c>
      <c r="J851" s="20">
        <f t="shared" si="27"/>
        <v>0.23605544216850682</v>
      </c>
    </row>
    <row r="852" spans="1:10" x14ac:dyDescent="0.2">
      <c r="A852" s="17" t="s">
        <v>894</v>
      </c>
      <c r="B852" s="18">
        <v>46329</v>
      </c>
      <c r="C852" s="17" t="s">
        <v>878</v>
      </c>
      <c r="D852" s="17" t="s">
        <v>12</v>
      </c>
      <c r="E852" s="17" t="s">
        <v>13</v>
      </c>
      <c r="F852" s="17" t="s">
        <v>38</v>
      </c>
      <c r="G852" s="19">
        <v>177350</v>
      </c>
      <c r="H852" s="19">
        <v>181600</v>
      </c>
      <c r="I852" s="19">
        <f t="shared" si="26"/>
        <v>4250</v>
      </c>
      <c r="J852" s="20">
        <f t="shared" si="27"/>
        <v>2.3963913166055822E-2</v>
      </c>
    </row>
    <row r="853" spans="1:10" x14ac:dyDescent="0.2">
      <c r="A853" s="17" t="s">
        <v>895</v>
      </c>
      <c r="B853" s="18">
        <v>46350</v>
      </c>
      <c r="C853" s="17" t="s">
        <v>878</v>
      </c>
      <c r="D853" s="17" t="s">
        <v>13</v>
      </c>
      <c r="E853" s="17" t="s">
        <v>23</v>
      </c>
      <c r="F853" s="17" t="s">
        <v>18</v>
      </c>
      <c r="G853" s="19">
        <v>40981</v>
      </c>
      <c r="H853" s="19">
        <v>44800</v>
      </c>
      <c r="I853" s="19">
        <f t="shared" si="26"/>
        <v>3819</v>
      </c>
      <c r="J853" s="20">
        <f t="shared" si="27"/>
        <v>9.3189526853907911E-2</v>
      </c>
    </row>
    <row r="854" spans="1:10" x14ac:dyDescent="0.2">
      <c r="A854" s="17" t="s">
        <v>896</v>
      </c>
      <c r="B854" s="18">
        <v>46349</v>
      </c>
      <c r="C854" s="17" t="s">
        <v>878</v>
      </c>
      <c r="D854" s="17" t="s">
        <v>49</v>
      </c>
      <c r="E854" s="17" t="s">
        <v>35</v>
      </c>
      <c r="F854" s="17" t="s">
        <v>51</v>
      </c>
      <c r="G854" s="19">
        <v>192012</v>
      </c>
      <c r="H854" s="19">
        <v>203200</v>
      </c>
      <c r="I854" s="19">
        <f t="shared" si="26"/>
        <v>11188</v>
      </c>
      <c r="J854" s="20">
        <f t="shared" si="27"/>
        <v>5.826719163385622E-2</v>
      </c>
    </row>
    <row r="855" spans="1:10" x14ac:dyDescent="0.2">
      <c r="A855" s="17" t="s">
        <v>897</v>
      </c>
      <c r="B855" s="18">
        <v>46327</v>
      </c>
      <c r="C855" s="17" t="s">
        <v>878</v>
      </c>
      <c r="D855" s="17" t="s">
        <v>20</v>
      </c>
      <c r="E855" s="17" t="s">
        <v>31</v>
      </c>
      <c r="F855" s="17" t="s">
        <v>14</v>
      </c>
      <c r="G855" s="19">
        <v>187848</v>
      </c>
      <c r="H855" s="19">
        <v>196800</v>
      </c>
      <c r="I855" s="19">
        <f t="shared" si="26"/>
        <v>8952</v>
      </c>
      <c r="J855" s="20">
        <f t="shared" si="27"/>
        <v>4.765555129679315E-2</v>
      </c>
    </row>
    <row r="856" spans="1:10" x14ac:dyDescent="0.2">
      <c r="A856" s="17" t="s">
        <v>898</v>
      </c>
      <c r="B856" s="18">
        <v>46343</v>
      </c>
      <c r="C856" s="17" t="s">
        <v>878</v>
      </c>
      <c r="D856" s="17" t="s">
        <v>49</v>
      </c>
      <c r="E856" s="17" t="s">
        <v>13</v>
      </c>
      <c r="F856" s="17" t="s">
        <v>18</v>
      </c>
      <c r="G856" s="19">
        <v>28810</v>
      </c>
      <c r="H856" s="19">
        <v>33500</v>
      </c>
      <c r="I856" s="19">
        <f t="shared" si="26"/>
        <v>4690</v>
      </c>
      <c r="J856" s="20">
        <f t="shared" si="27"/>
        <v>0.16279069767441862</v>
      </c>
    </row>
    <row r="857" spans="1:10" x14ac:dyDescent="0.2">
      <c r="A857" s="17" t="s">
        <v>899</v>
      </c>
      <c r="B857" s="18">
        <v>46338</v>
      </c>
      <c r="C857" s="17" t="s">
        <v>878</v>
      </c>
      <c r="D857" s="17" t="s">
        <v>20</v>
      </c>
      <c r="E857" s="17" t="s">
        <v>35</v>
      </c>
      <c r="F857" s="17" t="s">
        <v>51</v>
      </c>
      <c r="G857" s="19">
        <v>64428</v>
      </c>
      <c r="H857" s="19">
        <v>72100</v>
      </c>
      <c r="I857" s="19">
        <f t="shared" si="26"/>
        <v>7672</v>
      </c>
      <c r="J857" s="20">
        <f t="shared" si="27"/>
        <v>0.11907866145154281</v>
      </c>
    </row>
    <row r="858" spans="1:10" x14ac:dyDescent="0.2">
      <c r="A858" s="17" t="s">
        <v>900</v>
      </c>
      <c r="B858" s="18">
        <v>46351</v>
      </c>
      <c r="C858" s="17" t="s">
        <v>878</v>
      </c>
      <c r="D858" s="17" t="s">
        <v>13</v>
      </c>
      <c r="E858" s="17" t="s">
        <v>46</v>
      </c>
      <c r="F858" s="17" t="s">
        <v>27</v>
      </c>
      <c r="G858" s="19">
        <v>42765</v>
      </c>
      <c r="H858" s="19">
        <v>53400</v>
      </c>
      <c r="I858" s="19">
        <f t="shared" si="26"/>
        <v>10635</v>
      </c>
      <c r="J858" s="20">
        <f t="shared" si="27"/>
        <v>0.24868467204489653</v>
      </c>
    </row>
    <row r="859" spans="1:10" x14ac:dyDescent="0.2">
      <c r="A859" s="17" t="s">
        <v>901</v>
      </c>
      <c r="B859" s="18">
        <v>46343</v>
      </c>
      <c r="C859" s="17" t="s">
        <v>878</v>
      </c>
      <c r="D859" s="17" t="s">
        <v>25</v>
      </c>
      <c r="E859" s="17" t="s">
        <v>17</v>
      </c>
      <c r="F859" s="17" t="s">
        <v>29</v>
      </c>
      <c r="G859" s="19">
        <v>126286</v>
      </c>
      <c r="H859" s="19">
        <v>136900</v>
      </c>
      <c r="I859" s="19">
        <f t="shared" si="26"/>
        <v>10614</v>
      </c>
      <c r="J859" s="20">
        <f t="shared" si="27"/>
        <v>8.4047321159906874E-2</v>
      </c>
    </row>
    <row r="860" spans="1:10" x14ac:dyDescent="0.2">
      <c r="A860" s="17" t="s">
        <v>902</v>
      </c>
      <c r="B860" s="18">
        <v>46353</v>
      </c>
      <c r="C860" s="17" t="s">
        <v>878</v>
      </c>
      <c r="D860" s="17" t="s">
        <v>49</v>
      </c>
      <c r="E860" s="17" t="s">
        <v>46</v>
      </c>
      <c r="F860" s="17" t="s">
        <v>38</v>
      </c>
      <c r="G860" s="19">
        <v>164072</v>
      </c>
      <c r="H860" s="19">
        <v>158100</v>
      </c>
      <c r="I860" s="19">
        <f t="shared" si="26"/>
        <v>-5972</v>
      </c>
      <c r="J860" s="20">
        <f t="shared" si="27"/>
        <v>-3.6398654249353943E-2</v>
      </c>
    </row>
    <row r="861" spans="1:10" x14ac:dyDescent="0.2">
      <c r="A861" s="17" t="s">
        <v>903</v>
      </c>
      <c r="B861" s="18">
        <v>46333</v>
      </c>
      <c r="C861" s="17" t="s">
        <v>878</v>
      </c>
      <c r="D861" s="17" t="s">
        <v>13</v>
      </c>
      <c r="E861" s="17" t="s">
        <v>23</v>
      </c>
      <c r="F861" s="17" t="s">
        <v>18</v>
      </c>
      <c r="G861" s="19">
        <v>92484</v>
      </c>
      <c r="H861" s="19">
        <v>87000</v>
      </c>
      <c r="I861" s="19">
        <f t="shared" si="26"/>
        <v>-5484</v>
      </c>
      <c r="J861" s="20">
        <f t="shared" si="27"/>
        <v>-5.9296743220448943E-2</v>
      </c>
    </row>
    <row r="862" spans="1:10" x14ac:dyDescent="0.2">
      <c r="A862" s="17" t="s">
        <v>904</v>
      </c>
      <c r="B862" s="18">
        <v>46340</v>
      </c>
      <c r="C862" s="17" t="s">
        <v>878</v>
      </c>
      <c r="D862" s="17" t="s">
        <v>49</v>
      </c>
      <c r="E862" s="17" t="s">
        <v>17</v>
      </c>
      <c r="F862" s="17" t="s">
        <v>21</v>
      </c>
      <c r="G862" s="19">
        <v>21219</v>
      </c>
      <c r="H862" s="19">
        <v>20300</v>
      </c>
      <c r="I862" s="19">
        <f t="shared" si="26"/>
        <v>-919</v>
      </c>
      <c r="J862" s="20">
        <f t="shared" si="27"/>
        <v>-4.3310240821904898E-2</v>
      </c>
    </row>
    <row r="863" spans="1:10" x14ac:dyDescent="0.2">
      <c r="A863" s="17" t="s">
        <v>905</v>
      </c>
      <c r="B863" s="18">
        <v>46337</v>
      </c>
      <c r="C863" s="17" t="s">
        <v>878</v>
      </c>
      <c r="D863" s="17" t="s">
        <v>25</v>
      </c>
      <c r="E863" s="17" t="s">
        <v>31</v>
      </c>
      <c r="F863" s="17" t="s">
        <v>21</v>
      </c>
      <c r="G863" s="19">
        <v>38975</v>
      </c>
      <c r="H863" s="19">
        <v>41000</v>
      </c>
      <c r="I863" s="19">
        <f t="shared" si="26"/>
        <v>2025</v>
      </c>
      <c r="J863" s="20">
        <f t="shared" si="27"/>
        <v>5.1956382296343813E-2</v>
      </c>
    </row>
    <row r="864" spans="1:10" x14ac:dyDescent="0.2">
      <c r="A864" s="17" t="s">
        <v>906</v>
      </c>
      <c r="B864" s="18">
        <v>46341</v>
      </c>
      <c r="C864" s="17" t="s">
        <v>878</v>
      </c>
      <c r="D864" s="17" t="s">
        <v>13</v>
      </c>
      <c r="E864" s="17" t="s">
        <v>65</v>
      </c>
      <c r="F864" s="17" t="s">
        <v>14</v>
      </c>
      <c r="G864" s="19">
        <v>170704</v>
      </c>
      <c r="H864" s="19">
        <v>162200</v>
      </c>
      <c r="I864" s="19">
        <f t="shared" si="26"/>
        <v>-8504</v>
      </c>
      <c r="J864" s="20">
        <f t="shared" si="27"/>
        <v>-4.9817227481488424E-2</v>
      </c>
    </row>
    <row r="865" spans="1:10" x14ac:dyDescent="0.2">
      <c r="A865" s="17" t="s">
        <v>907</v>
      </c>
      <c r="B865" s="18">
        <v>46341</v>
      </c>
      <c r="C865" s="17" t="s">
        <v>878</v>
      </c>
      <c r="D865" s="17" t="s">
        <v>16</v>
      </c>
      <c r="E865" s="17" t="s">
        <v>65</v>
      </c>
      <c r="F865" s="17" t="s">
        <v>18</v>
      </c>
      <c r="G865" s="19">
        <v>109040</v>
      </c>
      <c r="H865" s="19">
        <v>134600</v>
      </c>
      <c r="I865" s="19">
        <f t="shared" si="26"/>
        <v>25560</v>
      </c>
      <c r="J865" s="20">
        <f t="shared" si="27"/>
        <v>0.23440939104915628</v>
      </c>
    </row>
    <row r="866" spans="1:10" x14ac:dyDescent="0.2">
      <c r="A866" s="17" t="s">
        <v>908</v>
      </c>
      <c r="B866" s="18">
        <v>46335</v>
      </c>
      <c r="C866" s="17" t="s">
        <v>878</v>
      </c>
      <c r="D866" s="17" t="s">
        <v>25</v>
      </c>
      <c r="E866" s="17" t="s">
        <v>23</v>
      </c>
      <c r="F866" s="17" t="s">
        <v>14</v>
      </c>
      <c r="G866" s="19">
        <v>27169</v>
      </c>
      <c r="H866" s="19">
        <v>28300</v>
      </c>
      <c r="I866" s="19">
        <f t="shared" si="26"/>
        <v>1131</v>
      </c>
      <c r="J866" s="20">
        <f t="shared" si="27"/>
        <v>4.1628326401413375E-2</v>
      </c>
    </row>
    <row r="867" spans="1:10" x14ac:dyDescent="0.2">
      <c r="A867" s="17" t="s">
        <v>909</v>
      </c>
      <c r="B867" s="18">
        <v>46352</v>
      </c>
      <c r="C867" s="17" t="s">
        <v>878</v>
      </c>
      <c r="D867" s="17" t="s">
        <v>12</v>
      </c>
      <c r="E867" s="17" t="s">
        <v>23</v>
      </c>
      <c r="F867" s="17" t="s">
        <v>38</v>
      </c>
      <c r="G867" s="19">
        <v>197448</v>
      </c>
      <c r="H867" s="19">
        <v>223200</v>
      </c>
      <c r="I867" s="19">
        <f t="shared" si="26"/>
        <v>25752</v>
      </c>
      <c r="J867" s="20">
        <f t="shared" si="27"/>
        <v>0.13042421295733561</v>
      </c>
    </row>
    <row r="868" spans="1:10" x14ac:dyDescent="0.2">
      <c r="A868" s="17" t="s">
        <v>910</v>
      </c>
      <c r="B868" s="18">
        <v>46349</v>
      </c>
      <c r="C868" s="17" t="s">
        <v>878</v>
      </c>
      <c r="D868" s="17" t="s">
        <v>12</v>
      </c>
      <c r="E868" s="17" t="s">
        <v>13</v>
      </c>
      <c r="F868" s="17" t="s">
        <v>44</v>
      </c>
      <c r="G868" s="19">
        <v>155398</v>
      </c>
      <c r="H868" s="19">
        <v>165400</v>
      </c>
      <c r="I868" s="19">
        <f t="shared" si="26"/>
        <v>10002</v>
      </c>
      <c r="J868" s="20">
        <f t="shared" si="27"/>
        <v>6.4363762725389004E-2</v>
      </c>
    </row>
    <row r="869" spans="1:10" x14ac:dyDescent="0.2">
      <c r="A869" s="17" t="s">
        <v>911</v>
      </c>
      <c r="B869" s="18">
        <v>46350</v>
      </c>
      <c r="C869" s="17" t="s">
        <v>878</v>
      </c>
      <c r="D869" s="17" t="s">
        <v>12</v>
      </c>
      <c r="E869" s="17" t="s">
        <v>17</v>
      </c>
      <c r="F869" s="17" t="s">
        <v>21</v>
      </c>
      <c r="G869" s="19">
        <v>44381</v>
      </c>
      <c r="H869" s="19">
        <v>44800</v>
      </c>
      <c r="I869" s="19">
        <f t="shared" si="26"/>
        <v>419</v>
      </c>
      <c r="J869" s="20">
        <f t="shared" si="27"/>
        <v>9.4409769946598773E-3</v>
      </c>
    </row>
    <row r="870" spans="1:10" x14ac:dyDescent="0.2">
      <c r="A870" s="17" t="s">
        <v>912</v>
      </c>
      <c r="B870" s="18">
        <v>46338</v>
      </c>
      <c r="C870" s="17" t="s">
        <v>878</v>
      </c>
      <c r="D870" s="17" t="s">
        <v>20</v>
      </c>
      <c r="E870" s="17" t="s">
        <v>31</v>
      </c>
      <c r="F870" s="17" t="s">
        <v>51</v>
      </c>
      <c r="G870" s="19">
        <v>66788</v>
      </c>
      <c r="H870" s="19">
        <v>69500</v>
      </c>
      <c r="I870" s="19">
        <f t="shared" si="26"/>
        <v>2712</v>
      </c>
      <c r="J870" s="20">
        <f t="shared" si="27"/>
        <v>4.0606096903635383E-2</v>
      </c>
    </row>
    <row r="871" spans="1:10" x14ac:dyDescent="0.2">
      <c r="A871" s="17" t="s">
        <v>913</v>
      </c>
      <c r="B871" s="18">
        <v>46333</v>
      </c>
      <c r="C871" s="17" t="s">
        <v>878</v>
      </c>
      <c r="D871" s="17" t="s">
        <v>13</v>
      </c>
      <c r="E871" s="17" t="s">
        <v>13</v>
      </c>
      <c r="F871" s="17" t="s">
        <v>14</v>
      </c>
      <c r="G871" s="19">
        <v>199072</v>
      </c>
      <c r="H871" s="19">
        <v>243300</v>
      </c>
      <c r="I871" s="19">
        <f t="shared" si="26"/>
        <v>44228</v>
      </c>
      <c r="J871" s="20">
        <f t="shared" si="27"/>
        <v>0.2221708728500241</v>
      </c>
    </row>
    <row r="872" spans="1:10" x14ac:dyDescent="0.2">
      <c r="A872" s="17" t="s">
        <v>914</v>
      </c>
      <c r="B872" s="18">
        <v>46333</v>
      </c>
      <c r="C872" s="17" t="s">
        <v>878</v>
      </c>
      <c r="D872" s="17" t="s">
        <v>20</v>
      </c>
      <c r="E872" s="17" t="s">
        <v>13</v>
      </c>
      <c r="F872" s="17" t="s">
        <v>14</v>
      </c>
      <c r="G872" s="19">
        <v>83453</v>
      </c>
      <c r="H872" s="19">
        <v>100100</v>
      </c>
      <c r="I872" s="19">
        <f t="shared" si="26"/>
        <v>16647</v>
      </c>
      <c r="J872" s="20">
        <f t="shared" si="27"/>
        <v>0.19947755023785843</v>
      </c>
    </row>
    <row r="873" spans="1:10" x14ac:dyDescent="0.2">
      <c r="A873" s="17" t="s">
        <v>915</v>
      </c>
      <c r="B873" s="18">
        <v>46351</v>
      </c>
      <c r="C873" s="17" t="s">
        <v>878</v>
      </c>
      <c r="D873" s="17" t="s">
        <v>25</v>
      </c>
      <c r="E873" s="17" t="s">
        <v>17</v>
      </c>
      <c r="F873" s="17" t="s">
        <v>29</v>
      </c>
      <c r="G873" s="19">
        <v>182161</v>
      </c>
      <c r="H873" s="19">
        <v>180800</v>
      </c>
      <c r="I873" s="19">
        <f t="shared" si="26"/>
        <v>-1361</v>
      </c>
      <c r="J873" s="20">
        <f t="shared" si="27"/>
        <v>-7.4714126514456988E-3</v>
      </c>
    </row>
    <row r="874" spans="1:10" x14ac:dyDescent="0.2">
      <c r="A874" s="17" t="s">
        <v>916</v>
      </c>
      <c r="B874" s="18">
        <v>46342</v>
      </c>
      <c r="C874" s="17" t="s">
        <v>878</v>
      </c>
      <c r="D874" s="17" t="s">
        <v>49</v>
      </c>
      <c r="E874" s="17" t="s">
        <v>35</v>
      </c>
      <c r="F874" s="17" t="s">
        <v>21</v>
      </c>
      <c r="G874" s="19">
        <v>197160</v>
      </c>
      <c r="H874" s="19">
        <v>243000</v>
      </c>
      <c r="I874" s="19">
        <f t="shared" si="26"/>
        <v>45840</v>
      </c>
      <c r="J874" s="20">
        <f t="shared" si="27"/>
        <v>0.23250152160681681</v>
      </c>
    </row>
    <row r="875" spans="1:10" x14ac:dyDescent="0.2">
      <c r="A875" s="17" t="s">
        <v>917</v>
      </c>
      <c r="B875" s="18">
        <v>46338</v>
      </c>
      <c r="C875" s="17" t="s">
        <v>878</v>
      </c>
      <c r="D875" s="17" t="s">
        <v>49</v>
      </c>
      <c r="E875" s="17" t="s">
        <v>46</v>
      </c>
      <c r="F875" s="17" t="s">
        <v>41</v>
      </c>
      <c r="G875" s="19">
        <v>31079</v>
      </c>
      <c r="H875" s="19">
        <v>37000</v>
      </c>
      <c r="I875" s="19">
        <f t="shared" si="26"/>
        <v>5921</v>
      </c>
      <c r="J875" s="20">
        <f t="shared" si="27"/>
        <v>0.19051449531838219</v>
      </c>
    </row>
    <row r="876" spans="1:10" x14ac:dyDescent="0.2">
      <c r="A876" s="17" t="s">
        <v>918</v>
      </c>
      <c r="B876" s="18">
        <v>46342</v>
      </c>
      <c r="C876" s="17" t="s">
        <v>878</v>
      </c>
      <c r="D876" s="17" t="s">
        <v>20</v>
      </c>
      <c r="E876" s="17" t="s">
        <v>31</v>
      </c>
      <c r="F876" s="17" t="s">
        <v>27</v>
      </c>
      <c r="G876" s="19">
        <v>170606</v>
      </c>
      <c r="H876" s="19">
        <v>204300</v>
      </c>
      <c r="I876" s="19">
        <f t="shared" si="26"/>
        <v>33694</v>
      </c>
      <c r="J876" s="20">
        <f t="shared" si="27"/>
        <v>0.19749598490088274</v>
      </c>
    </row>
    <row r="877" spans="1:10" x14ac:dyDescent="0.2">
      <c r="A877" s="17" t="s">
        <v>919</v>
      </c>
      <c r="B877" s="18">
        <v>46331</v>
      </c>
      <c r="C877" s="17" t="s">
        <v>878</v>
      </c>
      <c r="D877" s="17" t="s">
        <v>25</v>
      </c>
      <c r="E877" s="17" t="s">
        <v>23</v>
      </c>
      <c r="F877" s="17" t="s">
        <v>41</v>
      </c>
      <c r="G877" s="19">
        <v>78220</v>
      </c>
      <c r="H877" s="19">
        <v>90000</v>
      </c>
      <c r="I877" s="19">
        <f t="shared" si="26"/>
        <v>11780</v>
      </c>
      <c r="J877" s="20">
        <f t="shared" si="27"/>
        <v>0.15060086934287906</v>
      </c>
    </row>
    <row r="878" spans="1:10" x14ac:dyDescent="0.2">
      <c r="A878" s="17" t="s">
        <v>920</v>
      </c>
      <c r="B878" s="18">
        <v>46338</v>
      </c>
      <c r="C878" s="17" t="s">
        <v>878</v>
      </c>
      <c r="D878" s="17" t="s">
        <v>13</v>
      </c>
      <c r="E878" s="17" t="s">
        <v>26</v>
      </c>
      <c r="F878" s="17" t="s">
        <v>41</v>
      </c>
      <c r="G878" s="19">
        <v>161759</v>
      </c>
      <c r="H878" s="19">
        <v>139600</v>
      </c>
      <c r="I878" s="19">
        <f t="shared" si="26"/>
        <v>-22159</v>
      </c>
      <c r="J878" s="20">
        <f t="shared" si="27"/>
        <v>-0.13698774102213787</v>
      </c>
    </row>
    <row r="879" spans="1:10" x14ac:dyDescent="0.2">
      <c r="A879" s="17" t="s">
        <v>921</v>
      </c>
      <c r="B879" s="18">
        <v>46341</v>
      </c>
      <c r="C879" s="17" t="s">
        <v>878</v>
      </c>
      <c r="D879" s="17" t="s">
        <v>12</v>
      </c>
      <c r="E879" s="17" t="s">
        <v>35</v>
      </c>
      <c r="F879" s="17" t="s">
        <v>32</v>
      </c>
      <c r="G879" s="19">
        <v>51553</v>
      </c>
      <c r="H879" s="19">
        <v>58200</v>
      </c>
      <c r="I879" s="19">
        <f t="shared" si="26"/>
        <v>6647</v>
      </c>
      <c r="J879" s="20">
        <f t="shared" si="27"/>
        <v>0.12893527049832212</v>
      </c>
    </row>
    <row r="880" spans="1:10" x14ac:dyDescent="0.2">
      <c r="A880" s="17" t="s">
        <v>922</v>
      </c>
      <c r="B880" s="18">
        <v>46345</v>
      </c>
      <c r="C880" s="17" t="s">
        <v>878</v>
      </c>
      <c r="D880" s="17" t="s">
        <v>25</v>
      </c>
      <c r="E880" s="17" t="s">
        <v>46</v>
      </c>
      <c r="F880" s="17" t="s">
        <v>38</v>
      </c>
      <c r="G880" s="19">
        <v>196712</v>
      </c>
      <c r="H880" s="19">
        <v>183800</v>
      </c>
      <c r="I880" s="19">
        <f t="shared" si="26"/>
        <v>-12912</v>
      </c>
      <c r="J880" s="20">
        <f t="shared" si="27"/>
        <v>-6.5639106917727438E-2</v>
      </c>
    </row>
    <row r="881" spans="1:10" x14ac:dyDescent="0.2">
      <c r="A881" s="17" t="s">
        <v>923</v>
      </c>
      <c r="B881" s="18">
        <v>46332</v>
      </c>
      <c r="C881" s="17" t="s">
        <v>878</v>
      </c>
      <c r="D881" s="17" t="s">
        <v>49</v>
      </c>
      <c r="E881" s="17" t="s">
        <v>31</v>
      </c>
      <c r="F881" s="17" t="s">
        <v>14</v>
      </c>
      <c r="G881" s="19">
        <v>180636</v>
      </c>
      <c r="H881" s="19">
        <v>215800</v>
      </c>
      <c r="I881" s="19">
        <f t="shared" si="26"/>
        <v>35164</v>
      </c>
      <c r="J881" s="20">
        <f t="shared" si="27"/>
        <v>0.1946677295777143</v>
      </c>
    </row>
    <row r="882" spans="1:10" x14ac:dyDescent="0.2">
      <c r="A882" s="17" t="s">
        <v>924</v>
      </c>
      <c r="B882" s="18">
        <v>46346</v>
      </c>
      <c r="C882" s="17" t="s">
        <v>878</v>
      </c>
      <c r="D882" s="17" t="s">
        <v>12</v>
      </c>
      <c r="E882" s="17" t="s">
        <v>46</v>
      </c>
      <c r="F882" s="17" t="s">
        <v>51</v>
      </c>
      <c r="G882" s="19">
        <v>90623</v>
      </c>
      <c r="H882" s="19">
        <v>94100</v>
      </c>
      <c r="I882" s="19">
        <f t="shared" si="26"/>
        <v>3477</v>
      </c>
      <c r="J882" s="20">
        <f t="shared" si="27"/>
        <v>3.836774328812774E-2</v>
      </c>
    </row>
    <row r="883" spans="1:10" x14ac:dyDescent="0.2">
      <c r="A883" s="17" t="s">
        <v>925</v>
      </c>
      <c r="B883" s="18">
        <v>46340</v>
      </c>
      <c r="C883" s="17" t="s">
        <v>878</v>
      </c>
      <c r="D883" s="17" t="s">
        <v>16</v>
      </c>
      <c r="E883" s="17" t="s">
        <v>46</v>
      </c>
      <c r="F883" s="17" t="s">
        <v>38</v>
      </c>
      <c r="G883" s="19">
        <v>150749</v>
      </c>
      <c r="H883" s="19">
        <v>153700</v>
      </c>
      <c r="I883" s="19">
        <f t="shared" si="26"/>
        <v>2951</v>
      </c>
      <c r="J883" s="20">
        <f t="shared" si="27"/>
        <v>1.9575585907700879E-2</v>
      </c>
    </row>
    <row r="884" spans="1:10" x14ac:dyDescent="0.2">
      <c r="A884" s="17" t="s">
        <v>926</v>
      </c>
      <c r="B884" s="18">
        <v>46332</v>
      </c>
      <c r="C884" s="17" t="s">
        <v>878</v>
      </c>
      <c r="D884" s="17" t="s">
        <v>49</v>
      </c>
      <c r="E884" s="17" t="s">
        <v>26</v>
      </c>
      <c r="F884" s="17" t="s">
        <v>18</v>
      </c>
      <c r="G884" s="19">
        <v>125012</v>
      </c>
      <c r="H884" s="19">
        <v>120200</v>
      </c>
      <c r="I884" s="19">
        <f t="shared" si="26"/>
        <v>-4812</v>
      </c>
      <c r="J884" s="20">
        <f t="shared" si="27"/>
        <v>-3.8492304738745077E-2</v>
      </c>
    </row>
    <row r="885" spans="1:10" x14ac:dyDescent="0.2">
      <c r="A885" s="17" t="s">
        <v>927</v>
      </c>
      <c r="B885" s="18">
        <v>46330</v>
      </c>
      <c r="C885" s="17" t="s">
        <v>878</v>
      </c>
      <c r="D885" s="17" t="s">
        <v>16</v>
      </c>
      <c r="E885" s="17" t="s">
        <v>31</v>
      </c>
      <c r="F885" s="17" t="s">
        <v>14</v>
      </c>
      <c r="G885" s="19">
        <v>199833</v>
      </c>
      <c r="H885" s="19">
        <v>188100</v>
      </c>
      <c r="I885" s="19">
        <f t="shared" si="26"/>
        <v>-11733</v>
      </c>
      <c r="J885" s="20">
        <f t="shared" si="27"/>
        <v>-5.8714026211886927E-2</v>
      </c>
    </row>
    <row r="886" spans="1:10" x14ac:dyDescent="0.2">
      <c r="A886" s="17" t="s">
        <v>928</v>
      </c>
      <c r="B886" s="18">
        <v>46339</v>
      </c>
      <c r="C886" s="17" t="s">
        <v>878</v>
      </c>
      <c r="D886" s="17" t="s">
        <v>20</v>
      </c>
      <c r="E886" s="17" t="s">
        <v>26</v>
      </c>
      <c r="F886" s="17" t="s">
        <v>51</v>
      </c>
      <c r="G886" s="19">
        <v>165579</v>
      </c>
      <c r="H886" s="19">
        <v>169400</v>
      </c>
      <c r="I886" s="19">
        <f t="shared" si="26"/>
        <v>3821</v>
      </c>
      <c r="J886" s="20">
        <f t="shared" si="27"/>
        <v>2.3076597877750196E-2</v>
      </c>
    </row>
    <row r="887" spans="1:10" x14ac:dyDescent="0.2">
      <c r="A887" s="17" t="s">
        <v>929</v>
      </c>
      <c r="B887" s="18">
        <v>46332</v>
      </c>
      <c r="C887" s="17" t="s">
        <v>878</v>
      </c>
      <c r="D887" s="17" t="s">
        <v>13</v>
      </c>
      <c r="E887" s="17" t="s">
        <v>65</v>
      </c>
      <c r="F887" s="17" t="s">
        <v>51</v>
      </c>
      <c r="G887" s="19">
        <v>143990</v>
      </c>
      <c r="H887" s="19">
        <v>168800</v>
      </c>
      <c r="I887" s="19">
        <f t="shared" si="26"/>
        <v>24810</v>
      </c>
      <c r="J887" s="20">
        <f t="shared" si="27"/>
        <v>0.17230363219668032</v>
      </c>
    </row>
    <row r="888" spans="1:10" x14ac:dyDescent="0.2">
      <c r="A888" s="17" t="s">
        <v>930</v>
      </c>
      <c r="B888" s="18">
        <v>46350</v>
      </c>
      <c r="C888" s="17" t="s">
        <v>878</v>
      </c>
      <c r="D888" s="17" t="s">
        <v>12</v>
      </c>
      <c r="E888" s="17" t="s">
        <v>65</v>
      </c>
      <c r="F888" s="17" t="s">
        <v>44</v>
      </c>
      <c r="G888" s="19">
        <v>185321</v>
      </c>
      <c r="H888" s="19">
        <v>195800</v>
      </c>
      <c r="I888" s="19">
        <f t="shared" si="26"/>
        <v>10479</v>
      </c>
      <c r="J888" s="20">
        <f t="shared" si="27"/>
        <v>5.6545129801803359E-2</v>
      </c>
    </row>
    <row r="889" spans="1:10" x14ac:dyDescent="0.2">
      <c r="A889" s="17" t="s">
        <v>931</v>
      </c>
      <c r="B889" s="18">
        <v>46345</v>
      </c>
      <c r="C889" s="17" t="s">
        <v>878</v>
      </c>
      <c r="D889" s="17" t="s">
        <v>25</v>
      </c>
      <c r="E889" s="17" t="s">
        <v>23</v>
      </c>
      <c r="F889" s="17" t="s">
        <v>29</v>
      </c>
      <c r="G889" s="19">
        <v>85791</v>
      </c>
      <c r="H889" s="19">
        <v>92200</v>
      </c>
      <c r="I889" s="19">
        <f t="shared" si="26"/>
        <v>6409</v>
      </c>
      <c r="J889" s="20">
        <f t="shared" si="27"/>
        <v>7.4704805865417112E-2</v>
      </c>
    </row>
    <row r="890" spans="1:10" x14ac:dyDescent="0.2">
      <c r="A890" s="17" t="s">
        <v>932</v>
      </c>
      <c r="B890" s="18">
        <v>46353</v>
      </c>
      <c r="C890" s="17" t="s">
        <v>878</v>
      </c>
      <c r="D890" s="17" t="s">
        <v>12</v>
      </c>
      <c r="E890" s="17" t="s">
        <v>65</v>
      </c>
      <c r="F890" s="17" t="s">
        <v>29</v>
      </c>
      <c r="G890" s="19">
        <v>62819</v>
      </c>
      <c r="H890" s="19">
        <v>54900</v>
      </c>
      <c r="I890" s="19">
        <f t="shared" si="26"/>
        <v>-7919</v>
      </c>
      <c r="J890" s="20">
        <f t="shared" si="27"/>
        <v>-0.12606058676515067</v>
      </c>
    </row>
    <row r="891" spans="1:10" x14ac:dyDescent="0.2">
      <c r="A891" s="17" t="s">
        <v>933</v>
      </c>
      <c r="B891" s="18">
        <v>46335</v>
      </c>
      <c r="C891" s="17" t="s">
        <v>878</v>
      </c>
      <c r="D891" s="17" t="s">
        <v>12</v>
      </c>
      <c r="E891" s="17" t="s">
        <v>46</v>
      </c>
      <c r="F891" s="17" t="s">
        <v>21</v>
      </c>
      <c r="G891" s="19">
        <v>137926</v>
      </c>
      <c r="H891" s="19">
        <v>158300</v>
      </c>
      <c r="I891" s="19">
        <f t="shared" si="26"/>
        <v>20374</v>
      </c>
      <c r="J891" s="20">
        <f t="shared" si="27"/>
        <v>0.14771689166654584</v>
      </c>
    </row>
    <row r="892" spans="1:10" x14ac:dyDescent="0.2">
      <c r="A892" s="17" t="s">
        <v>934</v>
      </c>
      <c r="B892" s="18">
        <v>46335</v>
      </c>
      <c r="C892" s="17" t="s">
        <v>878</v>
      </c>
      <c r="D892" s="17" t="s">
        <v>12</v>
      </c>
      <c r="E892" s="17" t="s">
        <v>35</v>
      </c>
      <c r="F892" s="17" t="s">
        <v>27</v>
      </c>
      <c r="G892" s="19">
        <v>166143</v>
      </c>
      <c r="H892" s="19">
        <v>203100</v>
      </c>
      <c r="I892" s="19">
        <f t="shared" si="26"/>
        <v>36957</v>
      </c>
      <c r="J892" s="20">
        <f t="shared" si="27"/>
        <v>0.22244090933713728</v>
      </c>
    </row>
    <row r="893" spans="1:10" x14ac:dyDescent="0.2">
      <c r="A893" s="17" t="s">
        <v>935</v>
      </c>
      <c r="B893" s="18">
        <v>46348</v>
      </c>
      <c r="C893" s="17" t="s">
        <v>878</v>
      </c>
      <c r="D893" s="17" t="s">
        <v>49</v>
      </c>
      <c r="E893" s="17" t="s">
        <v>13</v>
      </c>
      <c r="F893" s="17" t="s">
        <v>18</v>
      </c>
      <c r="G893" s="19">
        <v>51781</v>
      </c>
      <c r="H893" s="19">
        <v>51300</v>
      </c>
      <c r="I893" s="19">
        <f t="shared" si="26"/>
        <v>-481</v>
      </c>
      <c r="J893" s="20">
        <f t="shared" si="27"/>
        <v>-9.2891214924393124E-3</v>
      </c>
    </row>
    <row r="894" spans="1:10" x14ac:dyDescent="0.2">
      <c r="A894" s="17" t="s">
        <v>936</v>
      </c>
      <c r="B894" s="18">
        <v>46344</v>
      </c>
      <c r="C894" s="17" t="s">
        <v>878</v>
      </c>
      <c r="D894" s="17" t="s">
        <v>20</v>
      </c>
      <c r="E894" s="17" t="s">
        <v>31</v>
      </c>
      <c r="F894" s="17" t="s">
        <v>38</v>
      </c>
      <c r="G894" s="19">
        <v>170967</v>
      </c>
      <c r="H894" s="19">
        <v>189800</v>
      </c>
      <c r="I894" s="19">
        <f t="shared" si="26"/>
        <v>18833</v>
      </c>
      <c r="J894" s="20">
        <f t="shared" si="27"/>
        <v>0.11015576105330269</v>
      </c>
    </row>
    <row r="895" spans="1:10" x14ac:dyDescent="0.2">
      <c r="A895" s="17" t="s">
        <v>937</v>
      </c>
      <c r="B895" s="18">
        <v>46342</v>
      </c>
      <c r="C895" s="17" t="s">
        <v>878</v>
      </c>
      <c r="D895" s="17" t="s">
        <v>16</v>
      </c>
      <c r="E895" s="17" t="s">
        <v>65</v>
      </c>
      <c r="F895" s="17" t="s">
        <v>29</v>
      </c>
      <c r="G895" s="19">
        <v>105220</v>
      </c>
      <c r="H895" s="19">
        <v>117800</v>
      </c>
      <c r="I895" s="19">
        <f t="shared" si="26"/>
        <v>12580</v>
      </c>
      <c r="J895" s="20">
        <f t="shared" si="27"/>
        <v>0.11955901919787112</v>
      </c>
    </row>
    <row r="896" spans="1:10" x14ac:dyDescent="0.2">
      <c r="A896" s="17" t="s">
        <v>938</v>
      </c>
      <c r="B896" s="18">
        <v>46341</v>
      </c>
      <c r="C896" s="17" t="s">
        <v>878</v>
      </c>
      <c r="D896" s="17" t="s">
        <v>16</v>
      </c>
      <c r="E896" s="17" t="s">
        <v>26</v>
      </c>
      <c r="F896" s="17" t="s">
        <v>51</v>
      </c>
      <c r="G896" s="19">
        <v>119895</v>
      </c>
      <c r="H896" s="19">
        <v>131300</v>
      </c>
      <c r="I896" s="19">
        <f t="shared" si="26"/>
        <v>11405</v>
      </c>
      <c r="J896" s="20">
        <f t="shared" si="27"/>
        <v>9.5124900955002298E-2</v>
      </c>
    </row>
    <row r="897" spans="1:10" x14ac:dyDescent="0.2">
      <c r="A897" s="17" t="s">
        <v>939</v>
      </c>
      <c r="B897" s="18">
        <v>46337</v>
      </c>
      <c r="C897" s="17" t="s">
        <v>878</v>
      </c>
      <c r="D897" s="17" t="s">
        <v>13</v>
      </c>
      <c r="E897" s="17" t="s">
        <v>23</v>
      </c>
      <c r="F897" s="17" t="s">
        <v>29</v>
      </c>
      <c r="G897" s="19">
        <v>187924</v>
      </c>
      <c r="H897" s="19">
        <v>220500</v>
      </c>
      <c r="I897" s="19">
        <f t="shared" si="26"/>
        <v>32576</v>
      </c>
      <c r="J897" s="20">
        <f t="shared" si="27"/>
        <v>0.17334667205891743</v>
      </c>
    </row>
    <row r="898" spans="1:10" x14ac:dyDescent="0.2">
      <c r="A898" s="17" t="s">
        <v>940</v>
      </c>
      <c r="B898" s="18">
        <v>46334</v>
      </c>
      <c r="C898" s="17" t="s">
        <v>878</v>
      </c>
      <c r="D898" s="17" t="s">
        <v>12</v>
      </c>
      <c r="E898" s="17" t="s">
        <v>46</v>
      </c>
      <c r="F898" s="17" t="s">
        <v>44</v>
      </c>
      <c r="G898" s="19">
        <v>40738</v>
      </c>
      <c r="H898" s="19">
        <v>37300</v>
      </c>
      <c r="I898" s="19">
        <f t="shared" ref="I898:I961" si="28">H898-G898</f>
        <v>-3438</v>
      </c>
      <c r="J898" s="20">
        <f t="shared" ref="J898:J961" si="29">IFERROR(I898/G898,0)</f>
        <v>-8.4392950071186607E-2</v>
      </c>
    </row>
    <row r="899" spans="1:10" x14ac:dyDescent="0.2">
      <c r="A899" s="17" t="s">
        <v>941</v>
      </c>
      <c r="B899" s="18">
        <v>46339</v>
      </c>
      <c r="C899" s="17" t="s">
        <v>878</v>
      </c>
      <c r="D899" s="17" t="s">
        <v>12</v>
      </c>
      <c r="E899" s="17" t="s">
        <v>65</v>
      </c>
      <c r="F899" s="17" t="s">
        <v>38</v>
      </c>
      <c r="G899" s="19">
        <v>90116</v>
      </c>
      <c r="H899" s="19">
        <v>98400</v>
      </c>
      <c r="I899" s="19">
        <f t="shared" si="28"/>
        <v>8284</v>
      </c>
      <c r="J899" s="20">
        <f t="shared" si="29"/>
        <v>9.1925962093301963E-2</v>
      </c>
    </row>
    <row r="900" spans="1:10" x14ac:dyDescent="0.2">
      <c r="A900" s="17" t="s">
        <v>942</v>
      </c>
      <c r="B900" s="18">
        <v>46341</v>
      </c>
      <c r="C900" s="17" t="s">
        <v>878</v>
      </c>
      <c r="D900" s="17" t="s">
        <v>13</v>
      </c>
      <c r="E900" s="17" t="s">
        <v>26</v>
      </c>
      <c r="F900" s="17" t="s">
        <v>51</v>
      </c>
      <c r="G900" s="19">
        <v>173857</v>
      </c>
      <c r="H900" s="19">
        <v>184000</v>
      </c>
      <c r="I900" s="19">
        <f t="shared" si="28"/>
        <v>10143</v>
      </c>
      <c r="J900" s="20">
        <f t="shared" si="29"/>
        <v>5.8341050403492523E-2</v>
      </c>
    </row>
    <row r="901" spans="1:10" x14ac:dyDescent="0.2">
      <c r="A901" s="17" t="s">
        <v>943</v>
      </c>
      <c r="B901" s="18">
        <v>46334</v>
      </c>
      <c r="C901" s="17" t="s">
        <v>878</v>
      </c>
      <c r="D901" s="17" t="s">
        <v>16</v>
      </c>
      <c r="E901" s="17" t="s">
        <v>31</v>
      </c>
      <c r="F901" s="17" t="s">
        <v>29</v>
      </c>
      <c r="G901" s="19">
        <v>26055</v>
      </c>
      <c r="H901" s="19">
        <v>23400</v>
      </c>
      <c r="I901" s="19">
        <f t="shared" si="28"/>
        <v>-2655</v>
      </c>
      <c r="J901" s="20">
        <f t="shared" si="29"/>
        <v>-0.10189982728842832</v>
      </c>
    </row>
    <row r="902" spans="1:10" x14ac:dyDescent="0.2">
      <c r="A902" s="17" t="s">
        <v>944</v>
      </c>
      <c r="B902" s="18">
        <v>46330</v>
      </c>
      <c r="C902" s="17" t="s">
        <v>878</v>
      </c>
      <c r="D902" s="17" t="s">
        <v>25</v>
      </c>
      <c r="E902" s="17" t="s">
        <v>17</v>
      </c>
      <c r="F902" s="17" t="s">
        <v>41</v>
      </c>
      <c r="G902" s="19">
        <v>75200</v>
      </c>
      <c r="H902" s="19">
        <v>68900</v>
      </c>
      <c r="I902" s="19">
        <f t="shared" si="28"/>
        <v>-6300</v>
      </c>
      <c r="J902" s="20">
        <f t="shared" si="29"/>
        <v>-8.3776595744680854E-2</v>
      </c>
    </row>
    <row r="903" spans="1:10" x14ac:dyDescent="0.2">
      <c r="A903" s="17" t="s">
        <v>945</v>
      </c>
      <c r="B903" s="18">
        <v>46351</v>
      </c>
      <c r="C903" s="17" t="s">
        <v>878</v>
      </c>
      <c r="D903" s="17" t="s">
        <v>13</v>
      </c>
      <c r="E903" s="17" t="s">
        <v>17</v>
      </c>
      <c r="F903" s="17" t="s">
        <v>29</v>
      </c>
      <c r="G903" s="19">
        <v>163768</v>
      </c>
      <c r="H903" s="19">
        <v>142700</v>
      </c>
      <c r="I903" s="19">
        <f t="shared" si="28"/>
        <v>-21068</v>
      </c>
      <c r="J903" s="20">
        <f t="shared" si="29"/>
        <v>-0.12864540081090323</v>
      </c>
    </row>
    <row r="904" spans="1:10" x14ac:dyDescent="0.2">
      <c r="A904" s="17" t="s">
        <v>946</v>
      </c>
      <c r="B904" s="18">
        <v>46329</v>
      </c>
      <c r="C904" s="17" t="s">
        <v>878</v>
      </c>
      <c r="D904" s="17" t="s">
        <v>16</v>
      </c>
      <c r="E904" s="17" t="s">
        <v>23</v>
      </c>
      <c r="F904" s="17" t="s">
        <v>44</v>
      </c>
      <c r="G904" s="19">
        <v>88800</v>
      </c>
      <c r="H904" s="19">
        <v>97400</v>
      </c>
      <c r="I904" s="19">
        <f t="shared" si="28"/>
        <v>8600</v>
      </c>
      <c r="J904" s="20">
        <f t="shared" si="29"/>
        <v>9.6846846846846843E-2</v>
      </c>
    </row>
    <row r="905" spans="1:10" x14ac:dyDescent="0.2">
      <c r="A905" s="17" t="s">
        <v>947</v>
      </c>
      <c r="B905" s="18">
        <v>46336</v>
      </c>
      <c r="C905" s="17" t="s">
        <v>878</v>
      </c>
      <c r="D905" s="17" t="s">
        <v>13</v>
      </c>
      <c r="E905" s="17" t="s">
        <v>26</v>
      </c>
      <c r="F905" s="17" t="s">
        <v>51</v>
      </c>
      <c r="G905" s="19">
        <v>80124</v>
      </c>
      <c r="H905" s="19">
        <v>76000</v>
      </c>
      <c r="I905" s="19">
        <f t="shared" si="28"/>
        <v>-4124</v>
      </c>
      <c r="J905" s="20">
        <f t="shared" si="29"/>
        <v>-5.1470221157206328E-2</v>
      </c>
    </row>
    <row r="906" spans="1:10" x14ac:dyDescent="0.2">
      <c r="A906" s="17" t="s">
        <v>948</v>
      </c>
      <c r="B906" s="18">
        <v>46327</v>
      </c>
      <c r="C906" s="17" t="s">
        <v>878</v>
      </c>
      <c r="D906" s="17" t="s">
        <v>25</v>
      </c>
      <c r="E906" s="17" t="s">
        <v>46</v>
      </c>
      <c r="F906" s="17" t="s">
        <v>38</v>
      </c>
      <c r="G906" s="19">
        <v>158082</v>
      </c>
      <c r="H906" s="19">
        <v>187400</v>
      </c>
      <c r="I906" s="19">
        <f t="shared" si="28"/>
        <v>29318</v>
      </c>
      <c r="J906" s="20">
        <f t="shared" si="29"/>
        <v>0.18546071026429323</v>
      </c>
    </row>
    <row r="907" spans="1:10" x14ac:dyDescent="0.2">
      <c r="A907" s="17" t="s">
        <v>949</v>
      </c>
      <c r="B907" s="18">
        <v>46354</v>
      </c>
      <c r="C907" s="17" t="s">
        <v>878</v>
      </c>
      <c r="D907" s="17" t="s">
        <v>49</v>
      </c>
      <c r="E907" s="17" t="s">
        <v>31</v>
      </c>
      <c r="F907" s="17" t="s">
        <v>21</v>
      </c>
      <c r="G907" s="19">
        <v>144821</v>
      </c>
      <c r="H907" s="19">
        <v>150200</v>
      </c>
      <c r="I907" s="19">
        <f t="shared" si="28"/>
        <v>5379</v>
      </c>
      <c r="J907" s="20">
        <f t="shared" si="29"/>
        <v>3.7142403380725171E-2</v>
      </c>
    </row>
    <row r="908" spans="1:10" x14ac:dyDescent="0.2">
      <c r="A908" s="17" t="s">
        <v>950</v>
      </c>
      <c r="B908" s="18">
        <v>46349</v>
      </c>
      <c r="C908" s="17" t="s">
        <v>878</v>
      </c>
      <c r="D908" s="17" t="s">
        <v>49</v>
      </c>
      <c r="E908" s="17" t="s">
        <v>26</v>
      </c>
      <c r="F908" s="17" t="s">
        <v>18</v>
      </c>
      <c r="G908" s="19">
        <v>136613</v>
      </c>
      <c r="H908" s="19">
        <v>123500</v>
      </c>
      <c r="I908" s="19">
        <f t="shared" si="28"/>
        <v>-13113</v>
      </c>
      <c r="J908" s="20">
        <f t="shared" si="29"/>
        <v>-9.5986472736855205E-2</v>
      </c>
    </row>
    <row r="909" spans="1:10" x14ac:dyDescent="0.2">
      <c r="A909" s="17" t="s">
        <v>951</v>
      </c>
      <c r="B909" s="18">
        <v>46350</v>
      </c>
      <c r="C909" s="17" t="s">
        <v>878</v>
      </c>
      <c r="D909" s="17" t="s">
        <v>16</v>
      </c>
      <c r="E909" s="17" t="s">
        <v>23</v>
      </c>
      <c r="F909" s="17" t="s">
        <v>21</v>
      </c>
      <c r="G909" s="19">
        <v>176653</v>
      </c>
      <c r="H909" s="19">
        <v>182400</v>
      </c>
      <c r="I909" s="19">
        <f t="shared" si="28"/>
        <v>5747</v>
      </c>
      <c r="J909" s="20">
        <f t="shared" si="29"/>
        <v>3.2532705360225983E-2</v>
      </c>
    </row>
    <row r="910" spans="1:10" x14ac:dyDescent="0.2">
      <c r="A910" s="17" t="s">
        <v>952</v>
      </c>
      <c r="B910" s="18">
        <v>46336</v>
      </c>
      <c r="C910" s="17" t="s">
        <v>878</v>
      </c>
      <c r="D910" s="17" t="s">
        <v>12</v>
      </c>
      <c r="E910" s="17" t="s">
        <v>65</v>
      </c>
      <c r="F910" s="17" t="s">
        <v>21</v>
      </c>
      <c r="G910" s="19">
        <v>187716</v>
      </c>
      <c r="H910" s="19">
        <v>207600</v>
      </c>
      <c r="I910" s="19">
        <f t="shared" si="28"/>
        <v>19884</v>
      </c>
      <c r="J910" s="20">
        <f t="shared" si="29"/>
        <v>0.10592597327878284</v>
      </c>
    </row>
    <row r="911" spans="1:10" x14ac:dyDescent="0.2">
      <c r="A911" s="17" t="s">
        <v>953</v>
      </c>
      <c r="B911" s="18">
        <v>46341</v>
      </c>
      <c r="C911" s="17" t="s">
        <v>878</v>
      </c>
      <c r="D911" s="17" t="s">
        <v>12</v>
      </c>
      <c r="E911" s="17" t="s">
        <v>46</v>
      </c>
      <c r="F911" s="17" t="s">
        <v>27</v>
      </c>
      <c r="G911" s="19">
        <v>79540</v>
      </c>
      <c r="H911" s="19">
        <v>93200</v>
      </c>
      <c r="I911" s="19">
        <f t="shared" si="28"/>
        <v>13660</v>
      </c>
      <c r="J911" s="20">
        <f t="shared" si="29"/>
        <v>0.171737490570782</v>
      </c>
    </row>
    <row r="912" spans="1:10" x14ac:dyDescent="0.2">
      <c r="A912" s="17" t="s">
        <v>954</v>
      </c>
      <c r="B912" s="18">
        <v>46327</v>
      </c>
      <c r="C912" s="17" t="s">
        <v>878</v>
      </c>
      <c r="D912" s="17" t="s">
        <v>25</v>
      </c>
      <c r="E912" s="17" t="s">
        <v>26</v>
      </c>
      <c r="F912" s="17" t="s">
        <v>38</v>
      </c>
      <c r="G912" s="19">
        <v>88106</v>
      </c>
      <c r="H912" s="19">
        <v>80400</v>
      </c>
      <c r="I912" s="19">
        <f t="shared" si="28"/>
        <v>-7706</v>
      </c>
      <c r="J912" s="20">
        <f t="shared" si="29"/>
        <v>-8.7462828865230519E-2</v>
      </c>
    </row>
    <row r="913" spans="1:10" x14ac:dyDescent="0.2">
      <c r="A913" s="17" t="s">
        <v>955</v>
      </c>
      <c r="B913" s="18">
        <v>46327</v>
      </c>
      <c r="C913" s="17" t="s">
        <v>878</v>
      </c>
      <c r="D913" s="17" t="s">
        <v>16</v>
      </c>
      <c r="E913" s="17" t="s">
        <v>65</v>
      </c>
      <c r="F913" s="17" t="s">
        <v>41</v>
      </c>
      <c r="G913" s="19">
        <v>95173</v>
      </c>
      <c r="H913" s="19">
        <v>98800</v>
      </c>
      <c r="I913" s="19">
        <f t="shared" si="28"/>
        <v>3627</v>
      </c>
      <c r="J913" s="20">
        <f t="shared" si="29"/>
        <v>3.8109547875973225E-2</v>
      </c>
    </row>
    <row r="914" spans="1:10" x14ac:dyDescent="0.2">
      <c r="A914" s="17" t="s">
        <v>956</v>
      </c>
      <c r="B914" s="18">
        <v>46340</v>
      </c>
      <c r="C914" s="17" t="s">
        <v>878</v>
      </c>
      <c r="D914" s="17" t="s">
        <v>12</v>
      </c>
      <c r="E914" s="17" t="s">
        <v>13</v>
      </c>
      <c r="F914" s="17" t="s">
        <v>32</v>
      </c>
      <c r="G914" s="19">
        <v>98541</v>
      </c>
      <c r="H914" s="19">
        <v>84100</v>
      </c>
      <c r="I914" s="19">
        <f t="shared" si="28"/>
        <v>-14441</v>
      </c>
      <c r="J914" s="20">
        <f t="shared" si="29"/>
        <v>-0.1465481373235506</v>
      </c>
    </row>
    <row r="915" spans="1:10" x14ac:dyDescent="0.2">
      <c r="A915" s="17" t="s">
        <v>957</v>
      </c>
      <c r="B915" s="18">
        <v>46340</v>
      </c>
      <c r="C915" s="17" t="s">
        <v>878</v>
      </c>
      <c r="D915" s="17" t="s">
        <v>49</v>
      </c>
      <c r="E915" s="17" t="s">
        <v>23</v>
      </c>
      <c r="F915" s="17" t="s">
        <v>27</v>
      </c>
      <c r="G915" s="19">
        <v>163710</v>
      </c>
      <c r="H915" s="19">
        <v>163600</v>
      </c>
      <c r="I915" s="19">
        <f t="shared" si="28"/>
        <v>-110</v>
      </c>
      <c r="J915" s="20">
        <f t="shared" si="29"/>
        <v>-6.7191985828599348E-4</v>
      </c>
    </row>
    <row r="916" spans="1:10" x14ac:dyDescent="0.2">
      <c r="A916" s="17" t="s">
        <v>958</v>
      </c>
      <c r="B916" s="18">
        <v>46350</v>
      </c>
      <c r="C916" s="17" t="s">
        <v>878</v>
      </c>
      <c r="D916" s="17" t="s">
        <v>16</v>
      </c>
      <c r="E916" s="17" t="s">
        <v>23</v>
      </c>
      <c r="F916" s="17" t="s">
        <v>27</v>
      </c>
      <c r="G916" s="19">
        <v>85508</v>
      </c>
      <c r="H916" s="19">
        <v>78300</v>
      </c>
      <c r="I916" s="19">
        <f t="shared" si="28"/>
        <v>-7208</v>
      </c>
      <c r="J916" s="20">
        <f t="shared" si="29"/>
        <v>-8.4296206202928381E-2</v>
      </c>
    </row>
    <row r="917" spans="1:10" x14ac:dyDescent="0.2">
      <c r="A917" s="17" t="s">
        <v>959</v>
      </c>
      <c r="B917" s="18">
        <v>46340</v>
      </c>
      <c r="C917" s="17" t="s">
        <v>878</v>
      </c>
      <c r="D917" s="17" t="s">
        <v>16</v>
      </c>
      <c r="E917" s="17" t="s">
        <v>13</v>
      </c>
      <c r="F917" s="17" t="s">
        <v>21</v>
      </c>
      <c r="G917" s="19">
        <v>77826</v>
      </c>
      <c r="H917" s="19">
        <v>74300</v>
      </c>
      <c r="I917" s="19">
        <f t="shared" si="28"/>
        <v>-3526</v>
      </c>
      <c r="J917" s="20">
        <f t="shared" si="29"/>
        <v>-4.5306195872844554E-2</v>
      </c>
    </row>
    <row r="918" spans="1:10" x14ac:dyDescent="0.2">
      <c r="A918" s="17" t="s">
        <v>960</v>
      </c>
      <c r="B918" s="18">
        <v>46348</v>
      </c>
      <c r="C918" s="17" t="s">
        <v>878</v>
      </c>
      <c r="D918" s="17" t="s">
        <v>12</v>
      </c>
      <c r="E918" s="17" t="s">
        <v>31</v>
      </c>
      <c r="F918" s="17" t="s">
        <v>21</v>
      </c>
      <c r="G918" s="19">
        <v>180750</v>
      </c>
      <c r="H918" s="19">
        <v>212000</v>
      </c>
      <c r="I918" s="19">
        <f t="shared" si="28"/>
        <v>31250</v>
      </c>
      <c r="J918" s="20">
        <f t="shared" si="29"/>
        <v>0.17289073305670816</v>
      </c>
    </row>
    <row r="919" spans="1:10" x14ac:dyDescent="0.2">
      <c r="A919" s="17" t="s">
        <v>961</v>
      </c>
      <c r="B919" s="18">
        <v>46384</v>
      </c>
      <c r="C919" s="17" t="s">
        <v>962</v>
      </c>
      <c r="D919" s="17" t="s">
        <v>25</v>
      </c>
      <c r="E919" s="17" t="s">
        <v>26</v>
      </c>
      <c r="F919" s="17" t="s">
        <v>51</v>
      </c>
      <c r="G919" s="19">
        <v>90470</v>
      </c>
      <c r="H919" s="19">
        <v>91800</v>
      </c>
      <c r="I919" s="19">
        <f t="shared" si="28"/>
        <v>1330</v>
      </c>
      <c r="J919" s="20">
        <f t="shared" si="29"/>
        <v>1.4701005858295568E-2</v>
      </c>
    </row>
    <row r="920" spans="1:10" x14ac:dyDescent="0.2">
      <c r="A920" s="17" t="s">
        <v>963</v>
      </c>
      <c r="B920" s="18">
        <v>46371</v>
      </c>
      <c r="C920" s="17" t="s">
        <v>962</v>
      </c>
      <c r="D920" s="17" t="s">
        <v>49</v>
      </c>
      <c r="E920" s="17" t="s">
        <v>65</v>
      </c>
      <c r="F920" s="17" t="s">
        <v>44</v>
      </c>
      <c r="G920" s="19">
        <v>95915</v>
      </c>
      <c r="H920" s="19">
        <v>85800</v>
      </c>
      <c r="I920" s="19">
        <f t="shared" si="28"/>
        <v>-10115</v>
      </c>
      <c r="J920" s="20">
        <f t="shared" si="29"/>
        <v>-0.10545795756659543</v>
      </c>
    </row>
    <row r="921" spans="1:10" x14ac:dyDescent="0.2">
      <c r="A921" s="17" t="s">
        <v>964</v>
      </c>
      <c r="B921" s="18">
        <v>46367</v>
      </c>
      <c r="C921" s="17" t="s">
        <v>962</v>
      </c>
      <c r="D921" s="17" t="s">
        <v>25</v>
      </c>
      <c r="E921" s="17" t="s">
        <v>26</v>
      </c>
      <c r="F921" s="17" t="s">
        <v>32</v>
      </c>
      <c r="G921" s="19">
        <v>183251</v>
      </c>
      <c r="H921" s="19">
        <v>191800</v>
      </c>
      <c r="I921" s="19">
        <f t="shared" si="28"/>
        <v>8549</v>
      </c>
      <c r="J921" s="20">
        <f t="shared" si="29"/>
        <v>4.665186001713497E-2</v>
      </c>
    </row>
    <row r="922" spans="1:10" x14ac:dyDescent="0.2">
      <c r="A922" s="17" t="s">
        <v>965</v>
      </c>
      <c r="B922" s="18">
        <v>46360</v>
      </c>
      <c r="C922" s="17" t="s">
        <v>962</v>
      </c>
      <c r="D922" s="17" t="s">
        <v>12</v>
      </c>
      <c r="E922" s="17" t="s">
        <v>31</v>
      </c>
      <c r="F922" s="17" t="s">
        <v>51</v>
      </c>
      <c r="G922" s="19">
        <v>160239</v>
      </c>
      <c r="H922" s="19">
        <v>137600</v>
      </c>
      <c r="I922" s="19">
        <f t="shared" si="28"/>
        <v>-22639</v>
      </c>
      <c r="J922" s="20">
        <f t="shared" si="29"/>
        <v>-0.1412827089535007</v>
      </c>
    </row>
    <row r="923" spans="1:10" x14ac:dyDescent="0.2">
      <c r="A923" s="17" t="s">
        <v>966</v>
      </c>
      <c r="B923" s="18">
        <v>46364</v>
      </c>
      <c r="C923" s="17" t="s">
        <v>962</v>
      </c>
      <c r="D923" s="17" t="s">
        <v>25</v>
      </c>
      <c r="E923" s="17" t="s">
        <v>26</v>
      </c>
      <c r="F923" s="17" t="s">
        <v>32</v>
      </c>
      <c r="G923" s="19">
        <v>134928</v>
      </c>
      <c r="H923" s="19">
        <v>153900</v>
      </c>
      <c r="I923" s="19">
        <f t="shared" si="28"/>
        <v>18972</v>
      </c>
      <c r="J923" s="20">
        <f t="shared" si="29"/>
        <v>0.14060832443970117</v>
      </c>
    </row>
    <row r="924" spans="1:10" x14ac:dyDescent="0.2">
      <c r="A924" s="17" t="s">
        <v>967</v>
      </c>
      <c r="B924" s="18">
        <v>46370</v>
      </c>
      <c r="C924" s="17" t="s">
        <v>962</v>
      </c>
      <c r="D924" s="17" t="s">
        <v>12</v>
      </c>
      <c r="E924" s="17" t="s">
        <v>65</v>
      </c>
      <c r="F924" s="17" t="s">
        <v>38</v>
      </c>
      <c r="G924" s="19">
        <v>149388</v>
      </c>
      <c r="H924" s="19">
        <v>140000</v>
      </c>
      <c r="I924" s="19">
        <f t="shared" si="28"/>
        <v>-9388</v>
      </c>
      <c r="J924" s="20">
        <f t="shared" si="29"/>
        <v>-6.2843066377486809E-2</v>
      </c>
    </row>
    <row r="925" spans="1:10" x14ac:dyDescent="0.2">
      <c r="A925" s="17" t="s">
        <v>968</v>
      </c>
      <c r="B925" s="18">
        <v>46358</v>
      </c>
      <c r="C925" s="17" t="s">
        <v>962</v>
      </c>
      <c r="D925" s="17" t="s">
        <v>12</v>
      </c>
      <c r="E925" s="17" t="s">
        <v>17</v>
      </c>
      <c r="F925" s="17" t="s">
        <v>51</v>
      </c>
      <c r="G925" s="19">
        <v>141552</v>
      </c>
      <c r="H925" s="19">
        <v>159800</v>
      </c>
      <c r="I925" s="19">
        <f t="shared" si="28"/>
        <v>18248</v>
      </c>
      <c r="J925" s="20">
        <f t="shared" si="29"/>
        <v>0.12891375607550581</v>
      </c>
    </row>
    <row r="926" spans="1:10" x14ac:dyDescent="0.2">
      <c r="A926" s="17" t="s">
        <v>969</v>
      </c>
      <c r="B926" s="18">
        <v>46369</v>
      </c>
      <c r="C926" s="17" t="s">
        <v>962</v>
      </c>
      <c r="D926" s="17" t="s">
        <v>25</v>
      </c>
      <c r="E926" s="17" t="s">
        <v>65</v>
      </c>
      <c r="F926" s="17" t="s">
        <v>51</v>
      </c>
      <c r="G926" s="19">
        <v>34690</v>
      </c>
      <c r="H926" s="19">
        <v>33200</v>
      </c>
      <c r="I926" s="19">
        <f t="shared" si="28"/>
        <v>-1490</v>
      </c>
      <c r="J926" s="20">
        <f t="shared" si="29"/>
        <v>-4.295185932545402E-2</v>
      </c>
    </row>
    <row r="927" spans="1:10" x14ac:dyDescent="0.2">
      <c r="A927" s="17" t="s">
        <v>970</v>
      </c>
      <c r="B927" s="18">
        <v>46365</v>
      </c>
      <c r="C927" s="17" t="s">
        <v>962</v>
      </c>
      <c r="D927" s="17" t="s">
        <v>13</v>
      </c>
      <c r="E927" s="17" t="s">
        <v>35</v>
      </c>
      <c r="F927" s="17" t="s">
        <v>29</v>
      </c>
      <c r="G927" s="19">
        <v>70382</v>
      </c>
      <c r="H927" s="19">
        <v>85000</v>
      </c>
      <c r="I927" s="19">
        <f t="shared" si="28"/>
        <v>14618</v>
      </c>
      <c r="J927" s="20">
        <f t="shared" si="29"/>
        <v>0.20769514932795316</v>
      </c>
    </row>
    <row r="928" spans="1:10" x14ac:dyDescent="0.2">
      <c r="A928" s="17" t="s">
        <v>971</v>
      </c>
      <c r="B928" s="18">
        <v>46371</v>
      </c>
      <c r="C928" s="17" t="s">
        <v>962</v>
      </c>
      <c r="D928" s="17" t="s">
        <v>20</v>
      </c>
      <c r="E928" s="17" t="s">
        <v>35</v>
      </c>
      <c r="F928" s="17" t="s">
        <v>14</v>
      </c>
      <c r="G928" s="19">
        <v>85263</v>
      </c>
      <c r="H928" s="19">
        <v>85600</v>
      </c>
      <c r="I928" s="19">
        <f t="shared" si="28"/>
        <v>337</v>
      </c>
      <c r="J928" s="20">
        <f t="shared" si="29"/>
        <v>3.9524764552033124E-3</v>
      </c>
    </row>
    <row r="929" spans="1:10" x14ac:dyDescent="0.2">
      <c r="A929" s="17" t="s">
        <v>972</v>
      </c>
      <c r="B929" s="18">
        <v>46360</v>
      </c>
      <c r="C929" s="17" t="s">
        <v>962</v>
      </c>
      <c r="D929" s="17" t="s">
        <v>49</v>
      </c>
      <c r="E929" s="17" t="s">
        <v>13</v>
      </c>
      <c r="F929" s="17" t="s">
        <v>41</v>
      </c>
      <c r="G929" s="19">
        <v>140805</v>
      </c>
      <c r="H929" s="19">
        <v>161100</v>
      </c>
      <c r="I929" s="19">
        <f t="shared" si="28"/>
        <v>20295</v>
      </c>
      <c r="J929" s="20">
        <f t="shared" si="29"/>
        <v>0.14413550655161395</v>
      </c>
    </row>
    <row r="930" spans="1:10" x14ac:dyDescent="0.2">
      <c r="A930" s="17" t="s">
        <v>973</v>
      </c>
      <c r="B930" s="18">
        <v>46366</v>
      </c>
      <c r="C930" s="17" t="s">
        <v>962</v>
      </c>
      <c r="D930" s="17" t="s">
        <v>12</v>
      </c>
      <c r="E930" s="17" t="s">
        <v>26</v>
      </c>
      <c r="F930" s="17" t="s">
        <v>32</v>
      </c>
      <c r="G930" s="19">
        <v>122006</v>
      </c>
      <c r="H930" s="19">
        <v>137000</v>
      </c>
      <c r="I930" s="19">
        <f t="shared" si="28"/>
        <v>14994</v>
      </c>
      <c r="J930" s="20">
        <f t="shared" si="29"/>
        <v>0.12289559529859187</v>
      </c>
    </row>
    <row r="931" spans="1:10" x14ac:dyDescent="0.2">
      <c r="A931" s="17" t="s">
        <v>974</v>
      </c>
      <c r="B931" s="18">
        <v>46365</v>
      </c>
      <c r="C931" s="17" t="s">
        <v>962</v>
      </c>
      <c r="D931" s="17" t="s">
        <v>13</v>
      </c>
      <c r="E931" s="17" t="s">
        <v>31</v>
      </c>
      <c r="F931" s="17" t="s">
        <v>14</v>
      </c>
      <c r="G931" s="19">
        <v>164069</v>
      </c>
      <c r="H931" s="19">
        <v>173600</v>
      </c>
      <c r="I931" s="19">
        <f t="shared" si="28"/>
        <v>9531</v>
      </c>
      <c r="J931" s="20">
        <f t="shared" si="29"/>
        <v>5.8091412759265916E-2</v>
      </c>
    </row>
    <row r="932" spans="1:10" x14ac:dyDescent="0.2">
      <c r="A932" s="17" t="s">
        <v>975</v>
      </c>
      <c r="B932" s="18">
        <v>46384</v>
      </c>
      <c r="C932" s="17" t="s">
        <v>962</v>
      </c>
      <c r="D932" s="17" t="s">
        <v>16</v>
      </c>
      <c r="E932" s="17" t="s">
        <v>13</v>
      </c>
      <c r="F932" s="17" t="s">
        <v>29</v>
      </c>
      <c r="G932" s="19">
        <v>114483</v>
      </c>
      <c r="H932" s="19">
        <v>138000</v>
      </c>
      <c r="I932" s="19">
        <f t="shared" si="28"/>
        <v>23517</v>
      </c>
      <c r="J932" s="20">
        <f t="shared" si="29"/>
        <v>0.20541914520059748</v>
      </c>
    </row>
    <row r="933" spans="1:10" x14ac:dyDescent="0.2">
      <c r="A933" s="17" t="s">
        <v>976</v>
      </c>
      <c r="B933" s="18">
        <v>46367</v>
      </c>
      <c r="C933" s="17" t="s">
        <v>962</v>
      </c>
      <c r="D933" s="17" t="s">
        <v>25</v>
      </c>
      <c r="E933" s="17" t="s">
        <v>26</v>
      </c>
      <c r="F933" s="17" t="s">
        <v>44</v>
      </c>
      <c r="G933" s="19">
        <v>81857</v>
      </c>
      <c r="H933" s="19">
        <v>90300</v>
      </c>
      <c r="I933" s="19">
        <f t="shared" si="28"/>
        <v>8443</v>
      </c>
      <c r="J933" s="20">
        <f t="shared" si="29"/>
        <v>0.10314328646297811</v>
      </c>
    </row>
    <row r="934" spans="1:10" x14ac:dyDescent="0.2">
      <c r="A934" s="17" t="s">
        <v>977</v>
      </c>
      <c r="B934" s="18">
        <v>46382</v>
      </c>
      <c r="C934" s="17" t="s">
        <v>962</v>
      </c>
      <c r="D934" s="17" t="s">
        <v>20</v>
      </c>
      <c r="E934" s="17" t="s">
        <v>35</v>
      </c>
      <c r="F934" s="17" t="s">
        <v>32</v>
      </c>
      <c r="G934" s="19">
        <v>173274</v>
      </c>
      <c r="H934" s="19">
        <v>155600</v>
      </c>
      <c r="I934" s="19">
        <f t="shared" si="28"/>
        <v>-17674</v>
      </c>
      <c r="J934" s="20">
        <f t="shared" si="29"/>
        <v>-0.10200030010272747</v>
      </c>
    </row>
    <row r="935" spans="1:10" x14ac:dyDescent="0.2">
      <c r="A935" s="17" t="s">
        <v>978</v>
      </c>
      <c r="B935" s="18">
        <v>46372</v>
      </c>
      <c r="C935" s="17" t="s">
        <v>962</v>
      </c>
      <c r="D935" s="17" t="s">
        <v>16</v>
      </c>
      <c r="E935" s="17" t="s">
        <v>26</v>
      </c>
      <c r="F935" s="17" t="s">
        <v>38</v>
      </c>
      <c r="G935" s="19">
        <v>172325</v>
      </c>
      <c r="H935" s="19">
        <v>200500</v>
      </c>
      <c r="I935" s="19">
        <f t="shared" si="28"/>
        <v>28175</v>
      </c>
      <c r="J935" s="20">
        <f t="shared" si="29"/>
        <v>0.16349920208907587</v>
      </c>
    </row>
    <row r="936" spans="1:10" x14ac:dyDescent="0.2">
      <c r="A936" s="17" t="s">
        <v>979</v>
      </c>
      <c r="B936" s="18">
        <v>46372</v>
      </c>
      <c r="C936" s="17" t="s">
        <v>962</v>
      </c>
      <c r="D936" s="17" t="s">
        <v>25</v>
      </c>
      <c r="E936" s="17" t="s">
        <v>46</v>
      </c>
      <c r="F936" s="17" t="s">
        <v>32</v>
      </c>
      <c r="G936" s="19">
        <v>43456</v>
      </c>
      <c r="H936" s="19">
        <v>41300</v>
      </c>
      <c r="I936" s="19">
        <f t="shared" si="28"/>
        <v>-2156</v>
      </c>
      <c r="J936" s="20">
        <f t="shared" si="29"/>
        <v>-4.9613402061855667E-2</v>
      </c>
    </row>
    <row r="937" spans="1:10" x14ac:dyDescent="0.2">
      <c r="A937" s="17" t="s">
        <v>980</v>
      </c>
      <c r="B937" s="18">
        <v>46361</v>
      </c>
      <c r="C937" s="17" t="s">
        <v>962</v>
      </c>
      <c r="D937" s="17" t="s">
        <v>16</v>
      </c>
      <c r="E937" s="17" t="s">
        <v>17</v>
      </c>
      <c r="F937" s="17" t="s">
        <v>51</v>
      </c>
      <c r="G937" s="19">
        <v>35669</v>
      </c>
      <c r="H937" s="19">
        <v>35400</v>
      </c>
      <c r="I937" s="19">
        <f t="shared" si="28"/>
        <v>-269</v>
      </c>
      <c r="J937" s="20">
        <f t="shared" si="29"/>
        <v>-7.541562701505509E-3</v>
      </c>
    </row>
    <row r="938" spans="1:10" x14ac:dyDescent="0.2">
      <c r="A938" s="17" t="s">
        <v>981</v>
      </c>
      <c r="B938" s="18">
        <v>46374</v>
      </c>
      <c r="C938" s="17" t="s">
        <v>962</v>
      </c>
      <c r="D938" s="17" t="s">
        <v>16</v>
      </c>
      <c r="E938" s="17" t="s">
        <v>46</v>
      </c>
      <c r="F938" s="17" t="s">
        <v>41</v>
      </c>
      <c r="G938" s="19">
        <v>147885</v>
      </c>
      <c r="H938" s="19">
        <v>139500</v>
      </c>
      <c r="I938" s="19">
        <f t="shared" si="28"/>
        <v>-8385</v>
      </c>
      <c r="J938" s="20">
        <f t="shared" si="29"/>
        <v>-5.6699462420123747E-2</v>
      </c>
    </row>
    <row r="939" spans="1:10" x14ac:dyDescent="0.2">
      <c r="A939" s="17" t="s">
        <v>982</v>
      </c>
      <c r="B939" s="18">
        <v>46369</v>
      </c>
      <c r="C939" s="17" t="s">
        <v>962</v>
      </c>
      <c r="D939" s="17" t="s">
        <v>12</v>
      </c>
      <c r="E939" s="17" t="s">
        <v>26</v>
      </c>
      <c r="F939" s="17" t="s">
        <v>44</v>
      </c>
      <c r="G939" s="19">
        <v>70584</v>
      </c>
      <c r="H939" s="19">
        <v>60600</v>
      </c>
      <c r="I939" s="19">
        <f t="shared" si="28"/>
        <v>-9984</v>
      </c>
      <c r="J939" s="20">
        <f t="shared" si="29"/>
        <v>-0.14144848690921455</v>
      </c>
    </row>
    <row r="940" spans="1:10" x14ac:dyDescent="0.2">
      <c r="A940" s="17" t="s">
        <v>983</v>
      </c>
      <c r="B940" s="18">
        <v>46371</v>
      </c>
      <c r="C940" s="17" t="s">
        <v>962</v>
      </c>
      <c r="D940" s="17" t="s">
        <v>49</v>
      </c>
      <c r="E940" s="17" t="s">
        <v>31</v>
      </c>
      <c r="F940" s="17" t="s">
        <v>21</v>
      </c>
      <c r="G940" s="19">
        <v>30351</v>
      </c>
      <c r="H940" s="19">
        <v>31700</v>
      </c>
      <c r="I940" s="19">
        <f t="shared" si="28"/>
        <v>1349</v>
      </c>
      <c r="J940" s="20">
        <f t="shared" si="29"/>
        <v>4.444664096734869E-2</v>
      </c>
    </row>
    <row r="941" spans="1:10" x14ac:dyDescent="0.2">
      <c r="A941" s="17" t="s">
        <v>984</v>
      </c>
      <c r="B941" s="18">
        <v>46362</v>
      </c>
      <c r="C941" s="17" t="s">
        <v>962</v>
      </c>
      <c r="D941" s="17" t="s">
        <v>49</v>
      </c>
      <c r="E941" s="17" t="s">
        <v>46</v>
      </c>
      <c r="F941" s="17" t="s">
        <v>38</v>
      </c>
      <c r="G941" s="19">
        <v>148474</v>
      </c>
      <c r="H941" s="19">
        <v>137500</v>
      </c>
      <c r="I941" s="19">
        <f t="shared" si="28"/>
        <v>-10974</v>
      </c>
      <c r="J941" s="20">
        <f t="shared" si="29"/>
        <v>-7.3911930708406862E-2</v>
      </c>
    </row>
    <row r="942" spans="1:10" x14ac:dyDescent="0.2">
      <c r="A942" s="17" t="s">
        <v>985</v>
      </c>
      <c r="B942" s="18">
        <v>46383</v>
      </c>
      <c r="C942" s="17" t="s">
        <v>962</v>
      </c>
      <c r="D942" s="17" t="s">
        <v>49</v>
      </c>
      <c r="E942" s="17" t="s">
        <v>26</v>
      </c>
      <c r="F942" s="17" t="s">
        <v>29</v>
      </c>
      <c r="G942" s="19">
        <v>142786</v>
      </c>
      <c r="H942" s="19">
        <v>137100</v>
      </c>
      <c r="I942" s="19">
        <f t="shared" si="28"/>
        <v>-5686</v>
      </c>
      <c r="J942" s="20">
        <f t="shared" si="29"/>
        <v>-3.9821831271973446E-2</v>
      </c>
    </row>
    <row r="943" spans="1:10" x14ac:dyDescent="0.2">
      <c r="A943" s="17" t="s">
        <v>986</v>
      </c>
      <c r="B943" s="18">
        <v>46366</v>
      </c>
      <c r="C943" s="17" t="s">
        <v>962</v>
      </c>
      <c r="D943" s="17" t="s">
        <v>12</v>
      </c>
      <c r="E943" s="17" t="s">
        <v>46</v>
      </c>
      <c r="F943" s="17" t="s">
        <v>41</v>
      </c>
      <c r="G943" s="19">
        <v>159234</v>
      </c>
      <c r="H943" s="19">
        <v>145200</v>
      </c>
      <c r="I943" s="19">
        <f t="shared" si="28"/>
        <v>-14034</v>
      </c>
      <c r="J943" s="20">
        <f t="shared" si="29"/>
        <v>-8.813444364896944E-2</v>
      </c>
    </row>
    <row r="944" spans="1:10" x14ac:dyDescent="0.2">
      <c r="A944" s="17" t="s">
        <v>987</v>
      </c>
      <c r="B944" s="18">
        <v>46373</v>
      </c>
      <c r="C944" s="17" t="s">
        <v>962</v>
      </c>
      <c r="D944" s="17" t="s">
        <v>13</v>
      </c>
      <c r="E944" s="17" t="s">
        <v>26</v>
      </c>
      <c r="F944" s="17" t="s">
        <v>32</v>
      </c>
      <c r="G944" s="19">
        <v>20188</v>
      </c>
      <c r="H944" s="19">
        <v>23400</v>
      </c>
      <c r="I944" s="19">
        <f t="shared" si="28"/>
        <v>3212</v>
      </c>
      <c r="J944" s="20">
        <f t="shared" si="29"/>
        <v>0.15910441846641568</v>
      </c>
    </row>
    <row r="945" spans="1:10" x14ac:dyDescent="0.2">
      <c r="A945" s="17" t="s">
        <v>988</v>
      </c>
      <c r="B945" s="18">
        <v>46381</v>
      </c>
      <c r="C945" s="17" t="s">
        <v>962</v>
      </c>
      <c r="D945" s="17" t="s">
        <v>49</v>
      </c>
      <c r="E945" s="17" t="s">
        <v>13</v>
      </c>
      <c r="F945" s="17" t="s">
        <v>38</v>
      </c>
      <c r="G945" s="19">
        <v>182459</v>
      </c>
      <c r="H945" s="19">
        <v>217600</v>
      </c>
      <c r="I945" s="19">
        <f t="shared" si="28"/>
        <v>35141</v>
      </c>
      <c r="J945" s="20">
        <f t="shared" si="29"/>
        <v>0.19259669295567772</v>
      </c>
    </row>
    <row r="946" spans="1:10" x14ac:dyDescent="0.2">
      <c r="A946" s="17" t="s">
        <v>989</v>
      </c>
      <c r="B946" s="18">
        <v>46374</v>
      </c>
      <c r="C946" s="17" t="s">
        <v>962</v>
      </c>
      <c r="D946" s="17" t="s">
        <v>13</v>
      </c>
      <c r="E946" s="17" t="s">
        <v>13</v>
      </c>
      <c r="F946" s="17" t="s">
        <v>21</v>
      </c>
      <c r="G946" s="19">
        <v>36604</v>
      </c>
      <c r="H946" s="19">
        <v>40800</v>
      </c>
      <c r="I946" s="19">
        <f t="shared" si="28"/>
        <v>4196</v>
      </c>
      <c r="J946" s="20">
        <f t="shared" si="29"/>
        <v>0.11463228062506829</v>
      </c>
    </row>
    <row r="947" spans="1:10" x14ac:dyDescent="0.2">
      <c r="A947" s="17" t="s">
        <v>990</v>
      </c>
      <c r="B947" s="18">
        <v>46374</v>
      </c>
      <c r="C947" s="17" t="s">
        <v>962</v>
      </c>
      <c r="D947" s="17" t="s">
        <v>20</v>
      </c>
      <c r="E947" s="17" t="s">
        <v>31</v>
      </c>
      <c r="F947" s="17" t="s">
        <v>38</v>
      </c>
      <c r="G947" s="19">
        <v>199103</v>
      </c>
      <c r="H947" s="19">
        <v>208900</v>
      </c>
      <c r="I947" s="19">
        <f t="shared" si="28"/>
        <v>9797</v>
      </c>
      <c r="J947" s="20">
        <f t="shared" si="29"/>
        <v>4.920568750847551E-2</v>
      </c>
    </row>
    <row r="948" spans="1:10" x14ac:dyDescent="0.2">
      <c r="A948" s="17" t="s">
        <v>991</v>
      </c>
      <c r="B948" s="18">
        <v>46360</v>
      </c>
      <c r="C948" s="17" t="s">
        <v>962</v>
      </c>
      <c r="D948" s="17" t="s">
        <v>25</v>
      </c>
      <c r="E948" s="17" t="s">
        <v>17</v>
      </c>
      <c r="F948" s="17" t="s">
        <v>32</v>
      </c>
      <c r="G948" s="19">
        <v>127427</v>
      </c>
      <c r="H948" s="19">
        <v>141000</v>
      </c>
      <c r="I948" s="19">
        <f t="shared" si="28"/>
        <v>13573</v>
      </c>
      <c r="J948" s="20">
        <f t="shared" si="29"/>
        <v>0.10651588752776099</v>
      </c>
    </row>
    <row r="949" spans="1:10" x14ac:dyDescent="0.2">
      <c r="A949" s="17" t="s">
        <v>992</v>
      </c>
      <c r="B949" s="18">
        <v>46358</v>
      </c>
      <c r="C949" s="17" t="s">
        <v>962</v>
      </c>
      <c r="D949" s="17" t="s">
        <v>20</v>
      </c>
      <c r="E949" s="17" t="s">
        <v>17</v>
      </c>
      <c r="F949" s="17" t="s">
        <v>41</v>
      </c>
      <c r="G949" s="19">
        <v>54019</v>
      </c>
      <c r="H949" s="19">
        <v>49800</v>
      </c>
      <c r="I949" s="19">
        <f t="shared" si="28"/>
        <v>-4219</v>
      </c>
      <c r="J949" s="20">
        <f t="shared" si="29"/>
        <v>-7.8102149243784599E-2</v>
      </c>
    </row>
    <row r="950" spans="1:10" x14ac:dyDescent="0.2">
      <c r="A950" s="17" t="s">
        <v>993</v>
      </c>
      <c r="B950" s="18">
        <v>46375</v>
      </c>
      <c r="C950" s="17" t="s">
        <v>962</v>
      </c>
      <c r="D950" s="17" t="s">
        <v>16</v>
      </c>
      <c r="E950" s="17" t="s">
        <v>23</v>
      </c>
      <c r="F950" s="17" t="s">
        <v>41</v>
      </c>
      <c r="G950" s="19">
        <v>70231</v>
      </c>
      <c r="H950" s="19">
        <v>62500</v>
      </c>
      <c r="I950" s="19">
        <f t="shared" si="28"/>
        <v>-7731</v>
      </c>
      <c r="J950" s="20">
        <f t="shared" si="29"/>
        <v>-0.11007959448106962</v>
      </c>
    </row>
    <row r="951" spans="1:10" x14ac:dyDescent="0.2">
      <c r="A951" s="17" t="s">
        <v>994</v>
      </c>
      <c r="B951" s="18">
        <v>46375</v>
      </c>
      <c r="C951" s="17" t="s">
        <v>962</v>
      </c>
      <c r="D951" s="17" t="s">
        <v>12</v>
      </c>
      <c r="E951" s="17" t="s">
        <v>35</v>
      </c>
      <c r="F951" s="17" t="s">
        <v>38</v>
      </c>
      <c r="G951" s="19">
        <v>157840</v>
      </c>
      <c r="H951" s="19">
        <v>173600</v>
      </c>
      <c r="I951" s="19">
        <f t="shared" si="28"/>
        <v>15760</v>
      </c>
      <c r="J951" s="20">
        <f t="shared" si="29"/>
        <v>9.9847947288393316E-2</v>
      </c>
    </row>
    <row r="952" spans="1:10" x14ac:dyDescent="0.2">
      <c r="A952" s="17" t="s">
        <v>995</v>
      </c>
      <c r="B952" s="18">
        <v>46359</v>
      </c>
      <c r="C952" s="17" t="s">
        <v>962</v>
      </c>
      <c r="D952" s="17" t="s">
        <v>25</v>
      </c>
      <c r="E952" s="17" t="s">
        <v>13</v>
      </c>
      <c r="F952" s="17" t="s">
        <v>41</v>
      </c>
      <c r="G952" s="19">
        <v>77861</v>
      </c>
      <c r="H952" s="19">
        <v>85100</v>
      </c>
      <c r="I952" s="19">
        <f t="shared" si="28"/>
        <v>7239</v>
      </c>
      <c r="J952" s="20">
        <f t="shared" si="29"/>
        <v>9.297337563093204E-2</v>
      </c>
    </row>
    <row r="953" spans="1:10" x14ac:dyDescent="0.2">
      <c r="A953" s="17" t="s">
        <v>996</v>
      </c>
      <c r="B953" s="18">
        <v>46377</v>
      </c>
      <c r="C953" s="17" t="s">
        <v>962</v>
      </c>
      <c r="D953" s="17" t="s">
        <v>25</v>
      </c>
      <c r="E953" s="17" t="s">
        <v>46</v>
      </c>
      <c r="F953" s="17" t="s">
        <v>21</v>
      </c>
      <c r="G953" s="19">
        <v>40960</v>
      </c>
      <c r="H953" s="19">
        <v>42500</v>
      </c>
      <c r="I953" s="19">
        <f t="shared" si="28"/>
        <v>1540</v>
      </c>
      <c r="J953" s="20">
        <f t="shared" si="29"/>
        <v>3.759765625E-2</v>
      </c>
    </row>
    <row r="954" spans="1:10" x14ac:dyDescent="0.2">
      <c r="A954" s="17" t="s">
        <v>997</v>
      </c>
      <c r="B954" s="18">
        <v>46382</v>
      </c>
      <c r="C954" s="17" t="s">
        <v>962</v>
      </c>
      <c r="D954" s="17" t="s">
        <v>16</v>
      </c>
      <c r="E954" s="17" t="s">
        <v>35</v>
      </c>
      <c r="F954" s="17" t="s">
        <v>18</v>
      </c>
      <c r="G954" s="19">
        <v>129039</v>
      </c>
      <c r="H954" s="19">
        <v>152100</v>
      </c>
      <c r="I954" s="19">
        <f t="shared" si="28"/>
        <v>23061</v>
      </c>
      <c r="J954" s="20">
        <f t="shared" si="29"/>
        <v>0.17871341222421128</v>
      </c>
    </row>
    <row r="955" spans="1:10" x14ac:dyDescent="0.2">
      <c r="A955" s="17" t="s">
        <v>998</v>
      </c>
      <c r="B955" s="18">
        <v>46380</v>
      </c>
      <c r="C955" s="17" t="s">
        <v>962</v>
      </c>
      <c r="D955" s="17" t="s">
        <v>25</v>
      </c>
      <c r="E955" s="17" t="s">
        <v>31</v>
      </c>
      <c r="F955" s="17" t="s">
        <v>29</v>
      </c>
      <c r="G955" s="19">
        <v>89681</v>
      </c>
      <c r="H955" s="19">
        <v>95200</v>
      </c>
      <c r="I955" s="19">
        <f t="shared" si="28"/>
        <v>5519</v>
      </c>
      <c r="J955" s="20">
        <f t="shared" si="29"/>
        <v>6.1540348568816135E-2</v>
      </c>
    </row>
    <row r="956" spans="1:10" x14ac:dyDescent="0.2">
      <c r="A956" s="17" t="s">
        <v>999</v>
      </c>
      <c r="B956" s="18">
        <v>46360</v>
      </c>
      <c r="C956" s="17" t="s">
        <v>962</v>
      </c>
      <c r="D956" s="17" t="s">
        <v>25</v>
      </c>
      <c r="E956" s="17" t="s">
        <v>13</v>
      </c>
      <c r="F956" s="17" t="s">
        <v>21</v>
      </c>
      <c r="G956" s="19">
        <v>76596</v>
      </c>
      <c r="H956" s="19">
        <v>94500</v>
      </c>
      <c r="I956" s="19">
        <f t="shared" si="28"/>
        <v>17904</v>
      </c>
      <c r="J956" s="20">
        <f t="shared" si="29"/>
        <v>0.23374588751370828</v>
      </c>
    </row>
    <row r="957" spans="1:10" x14ac:dyDescent="0.2">
      <c r="A957" s="17" t="s">
        <v>1000</v>
      </c>
      <c r="B957" s="18">
        <v>46373</v>
      </c>
      <c r="C957" s="17" t="s">
        <v>962</v>
      </c>
      <c r="D957" s="17" t="s">
        <v>16</v>
      </c>
      <c r="E957" s="17" t="s">
        <v>13</v>
      </c>
      <c r="F957" s="17" t="s">
        <v>18</v>
      </c>
      <c r="G957" s="19">
        <v>121012</v>
      </c>
      <c r="H957" s="19">
        <v>112000</v>
      </c>
      <c r="I957" s="19">
        <f t="shared" si="28"/>
        <v>-9012</v>
      </c>
      <c r="J957" s="20">
        <f t="shared" si="29"/>
        <v>-7.4471953194724494E-2</v>
      </c>
    </row>
    <row r="958" spans="1:10" x14ac:dyDescent="0.2">
      <c r="A958" s="17" t="s">
        <v>1001</v>
      </c>
      <c r="B958" s="18">
        <v>46374</v>
      </c>
      <c r="C958" s="17" t="s">
        <v>962</v>
      </c>
      <c r="D958" s="17" t="s">
        <v>16</v>
      </c>
      <c r="E958" s="17" t="s">
        <v>23</v>
      </c>
      <c r="F958" s="17" t="s">
        <v>29</v>
      </c>
      <c r="G958" s="19">
        <v>183925</v>
      </c>
      <c r="H958" s="19">
        <v>226000</v>
      </c>
      <c r="I958" s="19">
        <f t="shared" si="28"/>
        <v>42075</v>
      </c>
      <c r="J958" s="20">
        <f t="shared" si="29"/>
        <v>0.22876172352861221</v>
      </c>
    </row>
    <row r="959" spans="1:10" x14ac:dyDescent="0.2">
      <c r="A959" s="17" t="s">
        <v>1002</v>
      </c>
      <c r="B959" s="18">
        <v>46378</v>
      </c>
      <c r="C959" s="17" t="s">
        <v>962</v>
      </c>
      <c r="D959" s="17" t="s">
        <v>13</v>
      </c>
      <c r="E959" s="17" t="s">
        <v>23</v>
      </c>
      <c r="F959" s="17" t="s">
        <v>29</v>
      </c>
      <c r="G959" s="19">
        <v>187411</v>
      </c>
      <c r="H959" s="19">
        <v>202500</v>
      </c>
      <c r="I959" s="19">
        <f t="shared" si="28"/>
        <v>15089</v>
      </c>
      <c r="J959" s="20">
        <f t="shared" si="29"/>
        <v>8.0512883448676978E-2</v>
      </c>
    </row>
    <row r="960" spans="1:10" x14ac:dyDescent="0.2">
      <c r="A960" s="17" t="s">
        <v>1003</v>
      </c>
      <c r="B960" s="18">
        <v>46374</v>
      </c>
      <c r="C960" s="17" t="s">
        <v>962</v>
      </c>
      <c r="D960" s="17" t="s">
        <v>13</v>
      </c>
      <c r="E960" s="17" t="s">
        <v>46</v>
      </c>
      <c r="F960" s="17" t="s">
        <v>51</v>
      </c>
      <c r="G960" s="19">
        <v>63728</v>
      </c>
      <c r="H960" s="19">
        <v>74400</v>
      </c>
      <c r="I960" s="19">
        <f t="shared" si="28"/>
        <v>10672</v>
      </c>
      <c r="J960" s="20">
        <f t="shared" si="29"/>
        <v>0.16746171227717802</v>
      </c>
    </row>
    <row r="961" spans="1:10" x14ac:dyDescent="0.2">
      <c r="A961" s="17" t="s">
        <v>1004</v>
      </c>
      <c r="B961" s="18">
        <v>46371</v>
      </c>
      <c r="C961" s="17" t="s">
        <v>962</v>
      </c>
      <c r="D961" s="17" t="s">
        <v>12</v>
      </c>
      <c r="E961" s="17" t="s">
        <v>46</v>
      </c>
      <c r="F961" s="17" t="s">
        <v>21</v>
      </c>
      <c r="G961" s="19">
        <v>159958</v>
      </c>
      <c r="H961" s="19">
        <v>199800</v>
      </c>
      <c r="I961" s="19">
        <f t="shared" si="28"/>
        <v>39842</v>
      </c>
      <c r="J961" s="20">
        <f t="shared" si="29"/>
        <v>0.24907788294427288</v>
      </c>
    </row>
    <row r="962" spans="1:10" x14ac:dyDescent="0.2">
      <c r="A962" s="17" t="s">
        <v>1005</v>
      </c>
      <c r="B962" s="18">
        <v>46370</v>
      </c>
      <c r="C962" s="17" t="s">
        <v>962</v>
      </c>
      <c r="D962" s="17" t="s">
        <v>16</v>
      </c>
      <c r="E962" s="17" t="s">
        <v>23</v>
      </c>
      <c r="F962" s="17" t="s">
        <v>38</v>
      </c>
      <c r="G962" s="19">
        <v>105106</v>
      </c>
      <c r="H962" s="19">
        <v>124900</v>
      </c>
      <c r="I962" s="19">
        <f t="shared" ref="I962:I1025" si="30">H962-G962</f>
        <v>19794</v>
      </c>
      <c r="J962" s="20">
        <f t="shared" ref="J962:J1025" si="31">IFERROR(I962/G962,0)</f>
        <v>0.18832416798279833</v>
      </c>
    </row>
    <row r="963" spans="1:10" x14ac:dyDescent="0.2">
      <c r="A963" s="17" t="s">
        <v>1006</v>
      </c>
      <c r="B963" s="18">
        <v>46374</v>
      </c>
      <c r="C963" s="17" t="s">
        <v>962</v>
      </c>
      <c r="D963" s="17" t="s">
        <v>20</v>
      </c>
      <c r="E963" s="17" t="s">
        <v>23</v>
      </c>
      <c r="F963" s="17" t="s">
        <v>21</v>
      </c>
      <c r="G963" s="19">
        <v>179491</v>
      </c>
      <c r="H963" s="19">
        <v>169900</v>
      </c>
      <c r="I963" s="19">
        <f t="shared" si="30"/>
        <v>-9591</v>
      </c>
      <c r="J963" s="20">
        <f t="shared" si="31"/>
        <v>-5.3434434038475469E-2</v>
      </c>
    </row>
    <row r="964" spans="1:10" x14ac:dyDescent="0.2">
      <c r="A964" s="17" t="s">
        <v>1007</v>
      </c>
      <c r="B964" s="18">
        <v>46371</v>
      </c>
      <c r="C964" s="17" t="s">
        <v>962</v>
      </c>
      <c r="D964" s="17" t="s">
        <v>13</v>
      </c>
      <c r="E964" s="17" t="s">
        <v>23</v>
      </c>
      <c r="F964" s="17" t="s">
        <v>32</v>
      </c>
      <c r="G964" s="19">
        <v>86607</v>
      </c>
      <c r="H964" s="19">
        <v>86100</v>
      </c>
      <c r="I964" s="19">
        <f t="shared" si="30"/>
        <v>-507</v>
      </c>
      <c r="J964" s="20">
        <f t="shared" si="31"/>
        <v>-5.8540302746891131E-3</v>
      </c>
    </row>
    <row r="965" spans="1:10" x14ac:dyDescent="0.2">
      <c r="A965" s="17" t="s">
        <v>1008</v>
      </c>
      <c r="B965" s="18">
        <v>46376</v>
      </c>
      <c r="C965" s="17" t="s">
        <v>962</v>
      </c>
      <c r="D965" s="17" t="s">
        <v>25</v>
      </c>
      <c r="E965" s="17" t="s">
        <v>26</v>
      </c>
      <c r="F965" s="17" t="s">
        <v>44</v>
      </c>
      <c r="G965" s="19">
        <v>29086</v>
      </c>
      <c r="H965" s="19">
        <v>36200</v>
      </c>
      <c r="I965" s="19">
        <f t="shared" si="30"/>
        <v>7114</v>
      </c>
      <c r="J965" s="20">
        <f t="shared" si="31"/>
        <v>0.2445850237227532</v>
      </c>
    </row>
    <row r="966" spans="1:10" x14ac:dyDescent="0.2">
      <c r="A966" s="17" t="s">
        <v>1009</v>
      </c>
      <c r="B966" s="18">
        <v>46364</v>
      </c>
      <c r="C966" s="17" t="s">
        <v>962</v>
      </c>
      <c r="D966" s="17" t="s">
        <v>20</v>
      </c>
      <c r="E966" s="17" t="s">
        <v>46</v>
      </c>
      <c r="F966" s="17" t="s">
        <v>32</v>
      </c>
      <c r="G966" s="19">
        <v>21721</v>
      </c>
      <c r="H966" s="19">
        <v>21100</v>
      </c>
      <c r="I966" s="19">
        <f t="shared" si="30"/>
        <v>-621</v>
      </c>
      <c r="J966" s="20">
        <f t="shared" si="31"/>
        <v>-2.8589843929837485E-2</v>
      </c>
    </row>
    <row r="967" spans="1:10" x14ac:dyDescent="0.2">
      <c r="A967" s="17" t="s">
        <v>1010</v>
      </c>
      <c r="B967" s="18">
        <v>46373</v>
      </c>
      <c r="C967" s="17" t="s">
        <v>962</v>
      </c>
      <c r="D967" s="17" t="s">
        <v>49</v>
      </c>
      <c r="E967" s="17" t="s">
        <v>26</v>
      </c>
      <c r="F967" s="17" t="s">
        <v>29</v>
      </c>
      <c r="G967" s="19">
        <v>92340</v>
      </c>
      <c r="H967" s="19">
        <v>112400</v>
      </c>
      <c r="I967" s="19">
        <f t="shared" si="30"/>
        <v>20060</v>
      </c>
      <c r="J967" s="20">
        <f t="shared" si="31"/>
        <v>0.21724063244531081</v>
      </c>
    </row>
    <row r="968" spans="1:10" x14ac:dyDescent="0.2">
      <c r="A968" s="17" t="s">
        <v>1011</v>
      </c>
      <c r="B968" s="18">
        <v>46361</v>
      </c>
      <c r="C968" s="17" t="s">
        <v>962</v>
      </c>
      <c r="D968" s="17" t="s">
        <v>20</v>
      </c>
      <c r="E968" s="17" t="s">
        <v>31</v>
      </c>
      <c r="F968" s="17" t="s">
        <v>38</v>
      </c>
      <c r="G968" s="19">
        <v>29892</v>
      </c>
      <c r="H968" s="19">
        <v>30900</v>
      </c>
      <c r="I968" s="19">
        <f t="shared" si="30"/>
        <v>1008</v>
      </c>
      <c r="J968" s="20">
        <f t="shared" si="31"/>
        <v>3.3721397029305503E-2</v>
      </c>
    </row>
    <row r="969" spans="1:10" x14ac:dyDescent="0.2">
      <c r="A969" s="17" t="s">
        <v>1012</v>
      </c>
      <c r="B969" s="18">
        <v>46365</v>
      </c>
      <c r="C969" s="17" t="s">
        <v>962</v>
      </c>
      <c r="D969" s="17" t="s">
        <v>12</v>
      </c>
      <c r="E969" s="17" t="s">
        <v>17</v>
      </c>
      <c r="F969" s="17" t="s">
        <v>18</v>
      </c>
      <c r="G969" s="19">
        <v>172608</v>
      </c>
      <c r="H969" s="19">
        <v>164000</v>
      </c>
      <c r="I969" s="19">
        <f t="shared" si="30"/>
        <v>-8608</v>
      </c>
      <c r="J969" s="20">
        <f t="shared" si="31"/>
        <v>-4.987022617723396E-2</v>
      </c>
    </row>
    <row r="970" spans="1:10" x14ac:dyDescent="0.2">
      <c r="A970" s="17" t="s">
        <v>1013</v>
      </c>
      <c r="B970" s="18">
        <v>46363</v>
      </c>
      <c r="C970" s="17" t="s">
        <v>962</v>
      </c>
      <c r="D970" s="17" t="s">
        <v>16</v>
      </c>
      <c r="E970" s="17" t="s">
        <v>17</v>
      </c>
      <c r="F970" s="17" t="s">
        <v>38</v>
      </c>
      <c r="G970" s="19">
        <v>124804</v>
      </c>
      <c r="H970" s="19">
        <v>134500</v>
      </c>
      <c r="I970" s="19">
        <f t="shared" si="30"/>
        <v>9696</v>
      </c>
      <c r="J970" s="20">
        <f t="shared" si="31"/>
        <v>7.7689817634050196E-2</v>
      </c>
    </row>
    <row r="971" spans="1:10" x14ac:dyDescent="0.2">
      <c r="A971" s="17" t="s">
        <v>1014</v>
      </c>
      <c r="B971" s="18">
        <v>46383</v>
      </c>
      <c r="C971" s="17" t="s">
        <v>962</v>
      </c>
      <c r="D971" s="17" t="s">
        <v>16</v>
      </c>
      <c r="E971" s="17" t="s">
        <v>17</v>
      </c>
      <c r="F971" s="17" t="s">
        <v>18</v>
      </c>
      <c r="G971" s="19">
        <v>146493</v>
      </c>
      <c r="H971" s="19">
        <v>134700</v>
      </c>
      <c r="I971" s="19">
        <f t="shared" si="30"/>
        <v>-11793</v>
      </c>
      <c r="J971" s="20">
        <f t="shared" si="31"/>
        <v>-8.0502140033994793E-2</v>
      </c>
    </row>
    <row r="972" spans="1:10" x14ac:dyDescent="0.2">
      <c r="A972" s="17" t="s">
        <v>1015</v>
      </c>
      <c r="B972" s="18">
        <v>46380</v>
      </c>
      <c r="C972" s="17" t="s">
        <v>962</v>
      </c>
      <c r="D972" s="17" t="s">
        <v>49</v>
      </c>
      <c r="E972" s="17" t="s">
        <v>23</v>
      </c>
      <c r="F972" s="17" t="s">
        <v>29</v>
      </c>
      <c r="G972" s="19">
        <v>188363</v>
      </c>
      <c r="H972" s="19">
        <v>182700</v>
      </c>
      <c r="I972" s="19">
        <f t="shared" si="30"/>
        <v>-5663</v>
      </c>
      <c r="J972" s="20">
        <f t="shared" si="31"/>
        <v>-3.0064290757739046E-2</v>
      </c>
    </row>
    <row r="973" spans="1:10" x14ac:dyDescent="0.2">
      <c r="A973" s="17" t="s">
        <v>1016</v>
      </c>
      <c r="B973" s="18">
        <v>46367</v>
      </c>
      <c r="C973" s="17" t="s">
        <v>962</v>
      </c>
      <c r="D973" s="17" t="s">
        <v>12</v>
      </c>
      <c r="E973" s="17" t="s">
        <v>23</v>
      </c>
      <c r="F973" s="17" t="s">
        <v>27</v>
      </c>
      <c r="G973" s="19">
        <v>34659</v>
      </c>
      <c r="H973" s="19">
        <v>42200</v>
      </c>
      <c r="I973" s="19">
        <f t="shared" si="30"/>
        <v>7541</v>
      </c>
      <c r="J973" s="20">
        <f t="shared" si="31"/>
        <v>0.21757696413629937</v>
      </c>
    </row>
    <row r="974" spans="1:10" x14ac:dyDescent="0.2">
      <c r="A974" s="17" t="s">
        <v>1017</v>
      </c>
      <c r="B974" s="18">
        <v>46364</v>
      </c>
      <c r="C974" s="17" t="s">
        <v>962</v>
      </c>
      <c r="D974" s="17" t="s">
        <v>16</v>
      </c>
      <c r="E974" s="17" t="s">
        <v>35</v>
      </c>
      <c r="F974" s="17" t="s">
        <v>27</v>
      </c>
      <c r="G974" s="19">
        <v>51598</v>
      </c>
      <c r="H974" s="19">
        <v>61800</v>
      </c>
      <c r="I974" s="19">
        <f t="shared" si="30"/>
        <v>10202</v>
      </c>
      <c r="J974" s="20">
        <f t="shared" si="31"/>
        <v>0.19772084189309663</v>
      </c>
    </row>
    <row r="975" spans="1:10" x14ac:dyDescent="0.2">
      <c r="A975" s="17" t="s">
        <v>1018</v>
      </c>
      <c r="B975" s="18">
        <v>46358</v>
      </c>
      <c r="C975" s="17" t="s">
        <v>962</v>
      </c>
      <c r="D975" s="17" t="s">
        <v>12</v>
      </c>
      <c r="E975" s="17" t="s">
        <v>26</v>
      </c>
      <c r="F975" s="17" t="s">
        <v>38</v>
      </c>
      <c r="G975" s="19">
        <v>34189</v>
      </c>
      <c r="H975" s="19">
        <v>33200</v>
      </c>
      <c r="I975" s="19">
        <f t="shared" si="30"/>
        <v>-989</v>
      </c>
      <c r="J975" s="20">
        <f t="shared" si="31"/>
        <v>-2.8927432800023398E-2</v>
      </c>
    </row>
    <row r="976" spans="1:10" x14ac:dyDescent="0.2">
      <c r="A976" s="17" t="s">
        <v>1019</v>
      </c>
      <c r="B976" s="18">
        <v>46361</v>
      </c>
      <c r="C976" s="17" t="s">
        <v>962</v>
      </c>
      <c r="D976" s="17" t="s">
        <v>25</v>
      </c>
      <c r="E976" s="17" t="s">
        <v>23</v>
      </c>
      <c r="F976" s="17" t="s">
        <v>41</v>
      </c>
      <c r="G976" s="19">
        <v>151701</v>
      </c>
      <c r="H976" s="19">
        <v>171300</v>
      </c>
      <c r="I976" s="19">
        <f t="shared" si="30"/>
        <v>19599</v>
      </c>
      <c r="J976" s="20">
        <f t="shared" si="31"/>
        <v>0.12919492949947595</v>
      </c>
    </row>
    <row r="977" spans="1:10" x14ac:dyDescent="0.2">
      <c r="A977" s="17" t="s">
        <v>1020</v>
      </c>
      <c r="B977" s="18">
        <v>46359</v>
      </c>
      <c r="C977" s="17" t="s">
        <v>962</v>
      </c>
      <c r="D977" s="17" t="s">
        <v>20</v>
      </c>
      <c r="E977" s="17" t="s">
        <v>23</v>
      </c>
      <c r="F977" s="17" t="s">
        <v>44</v>
      </c>
      <c r="G977" s="19">
        <v>176010</v>
      </c>
      <c r="H977" s="19">
        <v>190100</v>
      </c>
      <c r="I977" s="19">
        <f t="shared" si="30"/>
        <v>14090</v>
      </c>
      <c r="J977" s="20">
        <f t="shared" si="31"/>
        <v>8.0052269757400152E-2</v>
      </c>
    </row>
    <row r="978" spans="1:10" x14ac:dyDescent="0.2">
      <c r="A978" s="17" t="s">
        <v>1021</v>
      </c>
      <c r="B978" s="18">
        <v>46367</v>
      </c>
      <c r="C978" s="17" t="s">
        <v>962</v>
      </c>
      <c r="D978" s="17" t="s">
        <v>25</v>
      </c>
      <c r="E978" s="17" t="s">
        <v>65</v>
      </c>
      <c r="F978" s="17" t="s">
        <v>18</v>
      </c>
      <c r="G978" s="19">
        <v>123369</v>
      </c>
      <c r="H978" s="19">
        <v>112200</v>
      </c>
      <c r="I978" s="19">
        <f t="shared" si="30"/>
        <v>-11169</v>
      </c>
      <c r="J978" s="20">
        <f t="shared" si="31"/>
        <v>-9.0533278214138077E-2</v>
      </c>
    </row>
    <row r="979" spans="1:10" x14ac:dyDescent="0.2">
      <c r="A979" s="17" t="s">
        <v>1022</v>
      </c>
      <c r="B979" s="18">
        <v>46365</v>
      </c>
      <c r="C979" s="17" t="s">
        <v>962</v>
      </c>
      <c r="D979" s="17" t="s">
        <v>25</v>
      </c>
      <c r="E979" s="17" t="s">
        <v>23</v>
      </c>
      <c r="F979" s="17" t="s">
        <v>21</v>
      </c>
      <c r="G979" s="19">
        <v>32926</v>
      </c>
      <c r="H979" s="19">
        <v>35200</v>
      </c>
      <c r="I979" s="19">
        <f t="shared" si="30"/>
        <v>2274</v>
      </c>
      <c r="J979" s="20">
        <f t="shared" si="31"/>
        <v>6.9063961610885016E-2</v>
      </c>
    </row>
    <row r="980" spans="1:10" x14ac:dyDescent="0.2">
      <c r="A980" s="17" t="s">
        <v>1023</v>
      </c>
      <c r="B980" s="18">
        <v>46361</v>
      </c>
      <c r="C980" s="17" t="s">
        <v>962</v>
      </c>
      <c r="D980" s="17" t="s">
        <v>20</v>
      </c>
      <c r="E980" s="17" t="s">
        <v>65</v>
      </c>
      <c r="F980" s="17" t="s">
        <v>21</v>
      </c>
      <c r="G980" s="19">
        <v>133899</v>
      </c>
      <c r="H980" s="19">
        <v>155300</v>
      </c>
      <c r="I980" s="19">
        <f t="shared" si="30"/>
        <v>21401</v>
      </c>
      <c r="J980" s="20">
        <f t="shared" si="31"/>
        <v>0.15982942367007968</v>
      </c>
    </row>
    <row r="981" spans="1:10" x14ac:dyDescent="0.2">
      <c r="A981" s="17" t="s">
        <v>1024</v>
      </c>
      <c r="B981" s="18">
        <v>46377</v>
      </c>
      <c r="C981" s="17" t="s">
        <v>962</v>
      </c>
      <c r="D981" s="17" t="s">
        <v>49</v>
      </c>
      <c r="E981" s="17" t="s">
        <v>13</v>
      </c>
      <c r="F981" s="17" t="s">
        <v>21</v>
      </c>
      <c r="G981" s="19">
        <v>71932</v>
      </c>
      <c r="H981" s="19">
        <v>75200</v>
      </c>
      <c r="I981" s="19">
        <f t="shared" si="30"/>
        <v>3268</v>
      </c>
      <c r="J981" s="20">
        <f t="shared" si="31"/>
        <v>4.543179669688039E-2</v>
      </c>
    </row>
    <row r="982" spans="1:10" x14ac:dyDescent="0.2">
      <c r="A982" s="17" t="s">
        <v>1025</v>
      </c>
      <c r="B982" s="18">
        <v>46373</v>
      </c>
      <c r="C982" s="17" t="s">
        <v>962</v>
      </c>
      <c r="D982" s="17" t="s">
        <v>20</v>
      </c>
      <c r="E982" s="17" t="s">
        <v>13</v>
      </c>
      <c r="F982" s="17" t="s">
        <v>29</v>
      </c>
      <c r="G982" s="19">
        <v>181479</v>
      </c>
      <c r="H982" s="19">
        <v>226600</v>
      </c>
      <c r="I982" s="19">
        <f t="shared" si="30"/>
        <v>45121</v>
      </c>
      <c r="J982" s="20">
        <f t="shared" si="31"/>
        <v>0.2486293179927154</v>
      </c>
    </row>
    <row r="983" spans="1:10" x14ac:dyDescent="0.2">
      <c r="A983" s="17" t="s">
        <v>1026</v>
      </c>
      <c r="B983" s="18">
        <v>46367</v>
      </c>
      <c r="C983" s="17" t="s">
        <v>962</v>
      </c>
      <c r="D983" s="17" t="s">
        <v>16</v>
      </c>
      <c r="E983" s="17" t="s">
        <v>17</v>
      </c>
      <c r="F983" s="17" t="s">
        <v>29</v>
      </c>
      <c r="G983" s="19">
        <v>89797</v>
      </c>
      <c r="H983" s="19">
        <v>104200</v>
      </c>
      <c r="I983" s="19">
        <f t="shared" si="30"/>
        <v>14403</v>
      </c>
      <c r="J983" s="20">
        <f t="shared" si="31"/>
        <v>0.1603951134224974</v>
      </c>
    </row>
    <row r="984" spans="1:10" x14ac:dyDescent="0.2">
      <c r="A984" s="17" t="s">
        <v>1027</v>
      </c>
      <c r="B984" s="18">
        <v>46368</v>
      </c>
      <c r="C984" s="17" t="s">
        <v>962</v>
      </c>
      <c r="D984" s="17" t="s">
        <v>12</v>
      </c>
      <c r="E984" s="17" t="s">
        <v>13</v>
      </c>
      <c r="F984" s="17" t="s">
        <v>38</v>
      </c>
      <c r="G984" s="19">
        <v>196094</v>
      </c>
      <c r="H984" s="19">
        <v>199100</v>
      </c>
      <c r="I984" s="19">
        <f t="shared" si="30"/>
        <v>3006</v>
      </c>
      <c r="J984" s="20">
        <f t="shared" si="31"/>
        <v>1.5329382847001949E-2</v>
      </c>
    </row>
    <row r="985" spans="1:10" x14ac:dyDescent="0.2">
      <c r="A985" s="17" t="s">
        <v>1028</v>
      </c>
      <c r="B985" s="18">
        <v>46357</v>
      </c>
      <c r="C985" s="17" t="s">
        <v>962</v>
      </c>
      <c r="D985" s="17" t="s">
        <v>12</v>
      </c>
      <c r="E985" s="17" t="s">
        <v>26</v>
      </c>
      <c r="F985" s="17" t="s">
        <v>38</v>
      </c>
      <c r="G985" s="19">
        <v>110315</v>
      </c>
      <c r="H985" s="19">
        <v>120000</v>
      </c>
      <c r="I985" s="19">
        <f t="shared" si="30"/>
        <v>9685</v>
      </c>
      <c r="J985" s="20">
        <f t="shared" si="31"/>
        <v>8.7794044327607304E-2</v>
      </c>
    </row>
    <row r="986" spans="1:10" x14ac:dyDescent="0.2">
      <c r="A986" s="17" t="s">
        <v>1029</v>
      </c>
      <c r="B986" s="18">
        <v>46382</v>
      </c>
      <c r="C986" s="17" t="s">
        <v>962</v>
      </c>
      <c r="D986" s="17" t="s">
        <v>13</v>
      </c>
      <c r="E986" s="17" t="s">
        <v>26</v>
      </c>
      <c r="F986" s="17" t="s">
        <v>41</v>
      </c>
      <c r="G986" s="19">
        <v>181538</v>
      </c>
      <c r="H986" s="19">
        <v>214000</v>
      </c>
      <c r="I986" s="19">
        <f t="shared" si="30"/>
        <v>32462</v>
      </c>
      <c r="J986" s="20">
        <f t="shared" si="31"/>
        <v>0.17881655631327875</v>
      </c>
    </row>
    <row r="987" spans="1:10" x14ac:dyDescent="0.2">
      <c r="A987" s="17" t="s">
        <v>1030</v>
      </c>
      <c r="B987" s="18">
        <v>46364</v>
      </c>
      <c r="C987" s="17" t="s">
        <v>962</v>
      </c>
      <c r="D987" s="17" t="s">
        <v>20</v>
      </c>
      <c r="E987" s="17" t="s">
        <v>46</v>
      </c>
      <c r="F987" s="17" t="s">
        <v>51</v>
      </c>
      <c r="G987" s="19">
        <v>31764</v>
      </c>
      <c r="H987" s="19">
        <v>38700</v>
      </c>
      <c r="I987" s="19">
        <f t="shared" si="30"/>
        <v>6936</v>
      </c>
      <c r="J987" s="20">
        <f t="shared" si="31"/>
        <v>0.21836040800906686</v>
      </c>
    </row>
    <row r="988" spans="1:10" x14ac:dyDescent="0.2">
      <c r="A988" s="17" t="s">
        <v>1031</v>
      </c>
      <c r="B988" s="18">
        <v>46358</v>
      </c>
      <c r="C988" s="17" t="s">
        <v>962</v>
      </c>
      <c r="D988" s="17" t="s">
        <v>20</v>
      </c>
      <c r="E988" s="17" t="s">
        <v>26</v>
      </c>
      <c r="F988" s="17" t="s">
        <v>44</v>
      </c>
      <c r="G988" s="19">
        <v>42495</v>
      </c>
      <c r="H988" s="19">
        <v>38000</v>
      </c>
      <c r="I988" s="19">
        <f t="shared" si="30"/>
        <v>-4495</v>
      </c>
      <c r="J988" s="20">
        <f t="shared" si="31"/>
        <v>-0.10577715025297094</v>
      </c>
    </row>
    <row r="989" spans="1:10" x14ac:dyDescent="0.2">
      <c r="A989" s="17" t="s">
        <v>1032</v>
      </c>
      <c r="B989" s="18">
        <v>46382</v>
      </c>
      <c r="C989" s="17" t="s">
        <v>962</v>
      </c>
      <c r="D989" s="17" t="s">
        <v>25</v>
      </c>
      <c r="E989" s="17" t="s">
        <v>31</v>
      </c>
      <c r="F989" s="17" t="s">
        <v>41</v>
      </c>
      <c r="G989" s="19">
        <v>23600</v>
      </c>
      <c r="H989" s="19">
        <v>23300</v>
      </c>
      <c r="I989" s="19">
        <f t="shared" si="30"/>
        <v>-300</v>
      </c>
      <c r="J989" s="20">
        <f t="shared" si="31"/>
        <v>-1.2711864406779662E-2</v>
      </c>
    </row>
    <row r="990" spans="1:10" x14ac:dyDescent="0.2">
      <c r="A990" s="17" t="s">
        <v>1033</v>
      </c>
      <c r="B990" s="18">
        <v>46363</v>
      </c>
      <c r="C990" s="17" t="s">
        <v>962</v>
      </c>
      <c r="D990" s="17" t="s">
        <v>16</v>
      </c>
      <c r="E990" s="17" t="s">
        <v>13</v>
      </c>
      <c r="F990" s="17" t="s">
        <v>14</v>
      </c>
      <c r="G990" s="19">
        <v>143519</v>
      </c>
      <c r="H990" s="19">
        <v>123300</v>
      </c>
      <c r="I990" s="19">
        <f t="shared" si="30"/>
        <v>-20219</v>
      </c>
      <c r="J990" s="20">
        <f t="shared" si="31"/>
        <v>-0.14088030156285927</v>
      </c>
    </row>
    <row r="991" spans="1:10" x14ac:dyDescent="0.2">
      <c r="A991" s="17" t="s">
        <v>1034</v>
      </c>
      <c r="B991" s="18">
        <v>46365</v>
      </c>
      <c r="C991" s="17" t="s">
        <v>962</v>
      </c>
      <c r="D991" s="17" t="s">
        <v>49</v>
      </c>
      <c r="E991" s="17" t="s">
        <v>65</v>
      </c>
      <c r="F991" s="17" t="s">
        <v>18</v>
      </c>
      <c r="G991" s="19">
        <v>163241</v>
      </c>
      <c r="H991" s="19">
        <v>172900</v>
      </c>
      <c r="I991" s="19">
        <f t="shared" si="30"/>
        <v>9659</v>
      </c>
      <c r="J991" s="20">
        <f t="shared" si="31"/>
        <v>5.9170183961137213E-2</v>
      </c>
    </row>
    <row r="992" spans="1:10" x14ac:dyDescent="0.2">
      <c r="A992" s="17" t="s">
        <v>1035</v>
      </c>
      <c r="B992" s="18">
        <v>46378</v>
      </c>
      <c r="C992" s="17" t="s">
        <v>962</v>
      </c>
      <c r="D992" s="17" t="s">
        <v>25</v>
      </c>
      <c r="E992" s="17" t="s">
        <v>23</v>
      </c>
      <c r="F992" s="17" t="s">
        <v>18</v>
      </c>
      <c r="G992" s="19">
        <v>57053</v>
      </c>
      <c r="H992" s="19">
        <v>64400</v>
      </c>
      <c r="I992" s="19">
        <f t="shared" si="30"/>
        <v>7347</v>
      </c>
      <c r="J992" s="20">
        <f t="shared" si="31"/>
        <v>0.12877499868543285</v>
      </c>
    </row>
    <row r="993" spans="1:10" x14ac:dyDescent="0.2">
      <c r="A993" s="17" t="s">
        <v>1036</v>
      </c>
      <c r="B993" s="18">
        <v>46365</v>
      </c>
      <c r="C993" s="17" t="s">
        <v>962</v>
      </c>
      <c r="D993" s="17" t="s">
        <v>20</v>
      </c>
      <c r="E993" s="17" t="s">
        <v>35</v>
      </c>
      <c r="F993" s="17" t="s">
        <v>44</v>
      </c>
      <c r="G993" s="19">
        <v>193939</v>
      </c>
      <c r="H993" s="19">
        <v>205700</v>
      </c>
      <c r="I993" s="19">
        <f t="shared" si="30"/>
        <v>11761</v>
      </c>
      <c r="J993" s="20">
        <f t="shared" si="31"/>
        <v>6.0642779430645721E-2</v>
      </c>
    </row>
    <row r="994" spans="1:10" x14ac:dyDescent="0.2">
      <c r="A994" s="17" t="s">
        <v>1037</v>
      </c>
      <c r="B994" s="18">
        <v>46376</v>
      </c>
      <c r="C994" s="17" t="s">
        <v>962</v>
      </c>
      <c r="D994" s="17" t="s">
        <v>12</v>
      </c>
      <c r="E994" s="17" t="s">
        <v>35</v>
      </c>
      <c r="F994" s="17" t="s">
        <v>41</v>
      </c>
      <c r="G994" s="19">
        <v>72611</v>
      </c>
      <c r="H994" s="19">
        <v>84600</v>
      </c>
      <c r="I994" s="19">
        <f t="shared" si="30"/>
        <v>11989</v>
      </c>
      <c r="J994" s="20">
        <f t="shared" si="31"/>
        <v>0.16511272396744295</v>
      </c>
    </row>
    <row r="995" spans="1:10" x14ac:dyDescent="0.2">
      <c r="A995" s="17" t="s">
        <v>1038</v>
      </c>
      <c r="B995" s="18">
        <v>46359</v>
      </c>
      <c r="C995" s="17" t="s">
        <v>962</v>
      </c>
      <c r="D995" s="17" t="s">
        <v>13</v>
      </c>
      <c r="E995" s="17" t="s">
        <v>31</v>
      </c>
      <c r="F995" s="17" t="s">
        <v>38</v>
      </c>
      <c r="G995" s="19">
        <v>191640</v>
      </c>
      <c r="H995" s="19">
        <v>235300</v>
      </c>
      <c r="I995" s="19">
        <f t="shared" si="30"/>
        <v>43660</v>
      </c>
      <c r="J995" s="20">
        <f t="shared" si="31"/>
        <v>0.22782300146107284</v>
      </c>
    </row>
    <row r="996" spans="1:10" x14ac:dyDescent="0.2">
      <c r="A996" s="17" t="s">
        <v>1039</v>
      </c>
      <c r="B996" s="18">
        <v>46384</v>
      </c>
      <c r="C996" s="17" t="s">
        <v>962</v>
      </c>
      <c r="D996" s="17" t="s">
        <v>16</v>
      </c>
      <c r="E996" s="17" t="s">
        <v>23</v>
      </c>
      <c r="F996" s="17" t="s">
        <v>14</v>
      </c>
      <c r="G996" s="19">
        <v>48283</v>
      </c>
      <c r="H996" s="19">
        <v>41400</v>
      </c>
      <c r="I996" s="19">
        <f t="shared" si="30"/>
        <v>-6883</v>
      </c>
      <c r="J996" s="20">
        <f t="shared" si="31"/>
        <v>-0.14255535074456849</v>
      </c>
    </row>
    <row r="997" spans="1:10" x14ac:dyDescent="0.2">
      <c r="A997" s="17" t="s">
        <v>1040</v>
      </c>
      <c r="B997" s="18">
        <v>46379</v>
      </c>
      <c r="C997" s="17" t="s">
        <v>962</v>
      </c>
      <c r="D997" s="17" t="s">
        <v>25</v>
      </c>
      <c r="E997" s="17" t="s">
        <v>46</v>
      </c>
      <c r="F997" s="17" t="s">
        <v>41</v>
      </c>
      <c r="G997" s="19">
        <v>119798</v>
      </c>
      <c r="H997" s="19">
        <v>126200</v>
      </c>
      <c r="I997" s="19">
        <f t="shared" si="30"/>
        <v>6402</v>
      </c>
      <c r="J997" s="20">
        <f t="shared" si="31"/>
        <v>5.3439957261390003E-2</v>
      </c>
    </row>
    <row r="998" spans="1:10" x14ac:dyDescent="0.2">
      <c r="A998" s="17" t="s">
        <v>1041</v>
      </c>
      <c r="B998" s="18">
        <v>46362</v>
      </c>
      <c r="C998" s="17" t="s">
        <v>962</v>
      </c>
      <c r="D998" s="17" t="s">
        <v>20</v>
      </c>
      <c r="E998" s="17" t="s">
        <v>65</v>
      </c>
      <c r="F998" s="17" t="s">
        <v>21</v>
      </c>
      <c r="G998" s="19">
        <v>176527</v>
      </c>
      <c r="H998" s="19">
        <v>187600</v>
      </c>
      <c r="I998" s="19">
        <f t="shared" si="30"/>
        <v>11073</v>
      </c>
      <c r="J998" s="20">
        <f t="shared" si="31"/>
        <v>6.2726948285531395E-2</v>
      </c>
    </row>
    <row r="999" spans="1:10" x14ac:dyDescent="0.2">
      <c r="A999" s="17" t="s">
        <v>1042</v>
      </c>
      <c r="B999" s="18">
        <v>46373</v>
      </c>
      <c r="C999" s="17" t="s">
        <v>962</v>
      </c>
      <c r="D999" s="17" t="s">
        <v>12</v>
      </c>
      <c r="E999" s="17" t="s">
        <v>46</v>
      </c>
      <c r="F999" s="17" t="s">
        <v>41</v>
      </c>
      <c r="G999" s="19">
        <v>25633</v>
      </c>
      <c r="H999" s="19">
        <v>22200</v>
      </c>
      <c r="I999" s="19">
        <f t="shared" si="30"/>
        <v>-3433</v>
      </c>
      <c r="J999" s="20">
        <f t="shared" si="31"/>
        <v>-0.13392891975188234</v>
      </c>
    </row>
    <row r="1000" spans="1:10" x14ac:dyDescent="0.2">
      <c r="A1000" s="17" t="s">
        <v>1043</v>
      </c>
      <c r="B1000" s="18">
        <v>46357</v>
      </c>
      <c r="C1000" s="17" t="s">
        <v>962</v>
      </c>
      <c r="D1000" s="17" t="s">
        <v>12</v>
      </c>
      <c r="E1000" s="17" t="s">
        <v>46</v>
      </c>
      <c r="F1000" s="17" t="s">
        <v>38</v>
      </c>
      <c r="G1000" s="19">
        <v>123127</v>
      </c>
      <c r="H1000" s="19">
        <v>141300</v>
      </c>
      <c r="I1000" s="19">
        <f t="shared" si="30"/>
        <v>18173</v>
      </c>
      <c r="J1000" s="20">
        <f t="shared" si="31"/>
        <v>0.14759557205162149</v>
      </c>
    </row>
    <row r="1001" spans="1:10" x14ac:dyDescent="0.2">
      <c r="A1001" s="17" t="s">
        <v>1044</v>
      </c>
      <c r="B1001" s="18">
        <v>46373</v>
      </c>
      <c r="C1001" s="17" t="s">
        <v>962</v>
      </c>
      <c r="D1001" s="17" t="s">
        <v>12</v>
      </c>
      <c r="E1001" s="17" t="s">
        <v>35</v>
      </c>
      <c r="F1001" s="17" t="s">
        <v>44</v>
      </c>
      <c r="G1001" s="19">
        <v>183900</v>
      </c>
      <c r="H1001" s="19">
        <v>178600</v>
      </c>
      <c r="I1001" s="19">
        <f t="shared" si="30"/>
        <v>-5300</v>
      </c>
      <c r="J1001" s="20">
        <f t="shared" si="31"/>
        <v>-2.8820010875475803E-2</v>
      </c>
    </row>
  </sheetData>
  <autoFilter ref="A1:J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pane ySplit="12" topLeftCell="A17" activePane="bottomLeft" state="frozen"/>
      <selection pane="bottomLeft" activeCell="A12" sqref="A12:E12"/>
    </sheetView>
  </sheetViews>
  <sheetFormatPr baseColWidth="10" defaultColWidth="8.83203125" defaultRowHeight="15" x14ac:dyDescent="0.2"/>
  <cols>
    <col min="1" max="1" width="24" customWidth="1"/>
    <col min="2" max="4" width="18" customWidth="1"/>
    <col min="5" max="5" width="14" customWidth="1"/>
  </cols>
  <sheetData>
    <row r="1" spans="1:5" ht="21" x14ac:dyDescent="0.25">
      <c r="A1" s="9" t="s">
        <v>1045</v>
      </c>
      <c r="B1" s="8"/>
      <c r="C1" s="8"/>
      <c r="D1" s="8"/>
      <c r="E1" s="8"/>
    </row>
    <row r="3" spans="1:5" x14ac:dyDescent="0.2">
      <c r="A3" s="7" t="s">
        <v>1046</v>
      </c>
      <c r="B3" s="8"/>
    </row>
    <row r="5" spans="1:5" x14ac:dyDescent="0.2">
      <c r="A5" s="4" t="s">
        <v>1047</v>
      </c>
      <c r="B5" s="1">
        <f>SUM(Raw_Data!G2:G1001)</f>
        <v>113174880</v>
      </c>
    </row>
    <row r="6" spans="1:5" x14ac:dyDescent="0.2">
      <c r="A6" s="4" t="s">
        <v>1048</v>
      </c>
      <c r="B6" s="1">
        <f>SUM(Raw_Data!H2:H1001)</f>
        <v>119473700</v>
      </c>
    </row>
    <row r="7" spans="1:5" x14ac:dyDescent="0.2">
      <c r="A7" s="4" t="s">
        <v>1049</v>
      </c>
      <c r="B7" s="1">
        <f>B6-B5</f>
        <v>6298820</v>
      </c>
    </row>
    <row r="8" spans="1:5" x14ac:dyDescent="0.2">
      <c r="A8" s="4" t="s">
        <v>1050</v>
      </c>
      <c r="B8" s="2">
        <f>IFERROR(B7/B5,0)</f>
        <v>5.5655636657180464E-2</v>
      </c>
    </row>
    <row r="9" spans="1:5" x14ac:dyDescent="0.2">
      <c r="A9" s="4" t="s">
        <v>1051</v>
      </c>
      <c r="B9">
        <f>COUNTIF(Raw_Data!I2:I1001,"&lt;0")</f>
        <v>348</v>
      </c>
    </row>
    <row r="10" spans="1:5" x14ac:dyDescent="0.2">
      <c r="A10" s="4" t="s">
        <v>1052</v>
      </c>
      <c r="B10">
        <f>COUNTIF(Raw_Data!I2:I1001,"&gt;0")</f>
        <v>652</v>
      </c>
    </row>
    <row r="12" spans="1:5" s="17" customFormat="1" x14ac:dyDescent="0.2">
      <c r="A12" s="21" t="s">
        <v>1053</v>
      </c>
      <c r="B12" s="22"/>
      <c r="C12" s="22"/>
      <c r="D12" s="22"/>
      <c r="E12" s="22"/>
    </row>
    <row r="13" spans="1:5" x14ac:dyDescent="0.2">
      <c r="A13" s="3" t="s">
        <v>1054</v>
      </c>
      <c r="B13" s="3" t="s">
        <v>6</v>
      </c>
      <c r="C13" s="3" t="s">
        <v>7</v>
      </c>
      <c r="D13" s="3" t="s">
        <v>8</v>
      </c>
      <c r="E13" s="3" t="s">
        <v>1055</v>
      </c>
    </row>
    <row r="14" spans="1:5" x14ac:dyDescent="0.2">
      <c r="A14" t="s">
        <v>25</v>
      </c>
      <c r="B14" s="1">
        <f>SUMIF(Raw_Data!D:D,A14,Raw_Data!G:G)</f>
        <v>18868433</v>
      </c>
      <c r="C14" s="1">
        <f>SUMIF(Raw_Data!D:D,A14,Raw_Data!H:H)</f>
        <v>20183700</v>
      </c>
      <c r="D14" s="1">
        <f t="shared" ref="D14:D19" si="0">C14-B14</f>
        <v>1315267</v>
      </c>
      <c r="E14" s="2">
        <f t="shared" ref="E14:E19" si="1">IFERROR(D14/B14,0)</f>
        <v>6.9707272458714511E-2</v>
      </c>
    </row>
    <row r="15" spans="1:5" x14ac:dyDescent="0.2">
      <c r="A15" t="s">
        <v>20</v>
      </c>
      <c r="B15" s="1">
        <f>SUMIF(Raw_Data!D:D,A15,Raw_Data!G:G)</f>
        <v>20254704</v>
      </c>
      <c r="C15" s="1">
        <f>SUMIF(Raw_Data!D:D,A15,Raw_Data!H:H)</f>
        <v>21281700</v>
      </c>
      <c r="D15" s="1">
        <f t="shared" si="0"/>
        <v>1026996</v>
      </c>
      <c r="E15" s="2">
        <f t="shared" si="1"/>
        <v>5.070407348337453E-2</v>
      </c>
    </row>
    <row r="16" spans="1:5" x14ac:dyDescent="0.2">
      <c r="A16" t="s">
        <v>12</v>
      </c>
      <c r="B16" s="1">
        <f>SUMIF(Raw_Data!D:D,A16,Raw_Data!G:G)</f>
        <v>19424756</v>
      </c>
      <c r="C16" s="1">
        <f>SUMIF(Raw_Data!D:D,A16,Raw_Data!H:H)</f>
        <v>20610700</v>
      </c>
      <c r="D16" s="1">
        <f t="shared" si="0"/>
        <v>1185944</v>
      </c>
      <c r="E16" s="2">
        <f t="shared" si="1"/>
        <v>6.1053225070111565E-2</v>
      </c>
    </row>
    <row r="17" spans="1:5" x14ac:dyDescent="0.2">
      <c r="A17" t="s">
        <v>13</v>
      </c>
      <c r="B17" s="1">
        <f>SUMIF(Raw_Data!D:D,A17,Raw_Data!G:G)</f>
        <v>18129987</v>
      </c>
      <c r="C17" s="1">
        <f>SUMIF(Raw_Data!D:D,A17,Raw_Data!H:H)</f>
        <v>19245100</v>
      </c>
      <c r="D17" s="1">
        <f t="shared" si="0"/>
        <v>1115113</v>
      </c>
      <c r="E17" s="2">
        <f t="shared" si="1"/>
        <v>6.1506552652244043E-2</v>
      </c>
    </row>
    <row r="18" spans="1:5" x14ac:dyDescent="0.2">
      <c r="A18" t="s">
        <v>49</v>
      </c>
      <c r="B18" s="1">
        <f>SUMIF(Raw_Data!D:D,A18,Raw_Data!G:G)</f>
        <v>17668634</v>
      </c>
      <c r="C18" s="1">
        <f>SUMIF(Raw_Data!D:D,A18,Raw_Data!H:H)</f>
        <v>18419500</v>
      </c>
      <c r="D18" s="1">
        <f t="shared" si="0"/>
        <v>750866</v>
      </c>
      <c r="E18" s="2">
        <f t="shared" si="1"/>
        <v>4.249711664184113E-2</v>
      </c>
    </row>
    <row r="19" spans="1:5" x14ac:dyDescent="0.2">
      <c r="A19" t="s">
        <v>16</v>
      </c>
      <c r="B19" s="1">
        <f>SUMIF(Raw_Data!D:D,A19,Raw_Data!G:G)</f>
        <v>18828366</v>
      </c>
      <c r="C19" s="1">
        <f>SUMIF(Raw_Data!D:D,A19,Raw_Data!H:H)</f>
        <v>19733000</v>
      </c>
      <c r="D19" s="1">
        <f t="shared" si="0"/>
        <v>904634</v>
      </c>
      <c r="E19" s="2">
        <f t="shared" si="1"/>
        <v>4.8046336044243035E-2</v>
      </c>
    </row>
    <row r="23" spans="1:5" x14ac:dyDescent="0.2">
      <c r="A23" s="7" t="s">
        <v>1056</v>
      </c>
      <c r="B23" s="8"/>
      <c r="C23" s="8"/>
      <c r="D23" s="8"/>
      <c r="E23" s="8"/>
    </row>
    <row r="24" spans="1:5" x14ac:dyDescent="0.2">
      <c r="A24" s="3" t="s">
        <v>1054</v>
      </c>
      <c r="B24" s="3" t="s">
        <v>6</v>
      </c>
      <c r="C24" s="3" t="s">
        <v>7</v>
      </c>
      <c r="D24" s="3" t="s">
        <v>8</v>
      </c>
      <c r="E24" s="3" t="s">
        <v>1055</v>
      </c>
    </row>
    <row r="25" spans="1:5" x14ac:dyDescent="0.2">
      <c r="A25" t="s">
        <v>35</v>
      </c>
      <c r="B25" s="1">
        <f>SUMIF(Raw_Data!E:E,A25,Raw_Data!G:G)</f>
        <v>12978525</v>
      </c>
      <c r="C25" s="1">
        <f>SUMIF(Raw_Data!E:E,A25,Raw_Data!H:H)</f>
        <v>13887000</v>
      </c>
      <c r="D25" s="1">
        <f t="shared" ref="D25:D32" si="2">C25-B25</f>
        <v>908475</v>
      </c>
      <c r="E25" s="2">
        <f t="shared" ref="E25:E32" si="3">IFERROR(D25/B25,0)</f>
        <v>6.9998324154709413E-2</v>
      </c>
    </row>
    <row r="26" spans="1:5" x14ac:dyDescent="0.2">
      <c r="A26" t="s">
        <v>17</v>
      </c>
      <c r="B26" s="1">
        <f>SUMIF(Raw_Data!E:E,A26,Raw_Data!G:G)</f>
        <v>13490570</v>
      </c>
      <c r="C26" s="1">
        <f>SUMIF(Raw_Data!E:E,A26,Raw_Data!H:H)</f>
        <v>13946100</v>
      </c>
      <c r="D26" s="1">
        <f t="shared" si="2"/>
        <v>455530</v>
      </c>
      <c r="E26" s="2">
        <f t="shared" si="3"/>
        <v>3.3766549523111332E-2</v>
      </c>
    </row>
    <row r="27" spans="1:5" x14ac:dyDescent="0.2">
      <c r="A27" t="s">
        <v>26</v>
      </c>
      <c r="B27" s="1">
        <f>SUMIF(Raw_Data!E:E,A27,Raw_Data!G:G)</f>
        <v>14277603</v>
      </c>
      <c r="C27" s="1">
        <f>SUMIF(Raw_Data!E:E,A27,Raw_Data!H:H)</f>
        <v>14969900</v>
      </c>
      <c r="D27" s="1">
        <f t="shared" si="2"/>
        <v>692297</v>
      </c>
      <c r="E27" s="2">
        <f t="shared" si="3"/>
        <v>4.8488321183884998E-2</v>
      </c>
    </row>
    <row r="28" spans="1:5" x14ac:dyDescent="0.2">
      <c r="A28" t="s">
        <v>13</v>
      </c>
      <c r="B28" s="1">
        <f>SUMIF(Raw_Data!E:E,A28,Raw_Data!G:G)</f>
        <v>14994471</v>
      </c>
      <c r="C28" s="1">
        <f>SUMIF(Raw_Data!E:E,A28,Raw_Data!H:H)</f>
        <v>15921000</v>
      </c>
      <c r="D28" s="1">
        <f t="shared" si="2"/>
        <v>926529</v>
      </c>
      <c r="E28" s="2">
        <f t="shared" si="3"/>
        <v>6.1791376301304664E-2</v>
      </c>
    </row>
    <row r="29" spans="1:5" x14ac:dyDescent="0.2">
      <c r="A29" t="s">
        <v>31</v>
      </c>
      <c r="B29" s="1">
        <f>SUMIF(Raw_Data!E:E,A29,Raw_Data!G:G)</f>
        <v>15009243</v>
      </c>
      <c r="C29" s="1">
        <f>SUMIF(Raw_Data!E:E,A29,Raw_Data!H:H)</f>
        <v>15651500</v>
      </c>
      <c r="D29" s="1">
        <f t="shared" si="2"/>
        <v>642257</v>
      </c>
      <c r="E29" s="2">
        <f t="shared" si="3"/>
        <v>4.2790765663531467E-2</v>
      </c>
    </row>
    <row r="30" spans="1:5" x14ac:dyDescent="0.2">
      <c r="A30" t="s">
        <v>46</v>
      </c>
      <c r="B30" s="1">
        <f>SUMIF(Raw_Data!E:E,A30,Raw_Data!G:G)</f>
        <v>13778240</v>
      </c>
      <c r="C30" s="1">
        <f>SUMIF(Raw_Data!E:E,A30,Raw_Data!H:H)</f>
        <v>14662400</v>
      </c>
      <c r="D30" s="1">
        <f t="shared" si="2"/>
        <v>884160</v>
      </c>
      <c r="E30" s="2">
        <f t="shared" si="3"/>
        <v>6.4170750400631721E-2</v>
      </c>
    </row>
    <row r="31" spans="1:5" x14ac:dyDescent="0.2">
      <c r="A31" t="s">
        <v>23</v>
      </c>
      <c r="B31" s="1">
        <f>SUMIF(Raw_Data!E:E,A31,Raw_Data!G:G)</f>
        <v>15439582</v>
      </c>
      <c r="C31" s="1">
        <f>SUMIF(Raw_Data!E:E,A31,Raw_Data!H:H)</f>
        <v>16486300</v>
      </c>
      <c r="D31" s="1">
        <f t="shared" si="2"/>
        <v>1046718</v>
      </c>
      <c r="E31" s="2">
        <f t="shared" si="3"/>
        <v>6.7794451948245751E-2</v>
      </c>
    </row>
    <row r="32" spans="1:5" x14ac:dyDescent="0.2">
      <c r="A32" t="s">
        <v>65</v>
      </c>
      <c r="B32" s="1">
        <f>SUMIF(Raw_Data!E:E,A32,Raw_Data!G:G)</f>
        <v>13206646</v>
      </c>
      <c r="C32" s="1">
        <f>SUMIF(Raw_Data!E:E,A32,Raw_Data!H:H)</f>
        <v>13949500</v>
      </c>
      <c r="D32" s="1">
        <f t="shared" si="2"/>
        <v>742854</v>
      </c>
      <c r="E32" s="2">
        <f t="shared" si="3"/>
        <v>5.6248497915367762E-2</v>
      </c>
    </row>
    <row r="36" spans="1:5" x14ac:dyDescent="0.2">
      <c r="A36" s="7" t="s">
        <v>1057</v>
      </c>
      <c r="B36" s="8"/>
      <c r="C36" s="8"/>
      <c r="D36" s="8"/>
      <c r="E36" s="8"/>
    </row>
    <row r="37" spans="1:5" x14ac:dyDescent="0.2">
      <c r="A37" s="3" t="s">
        <v>1054</v>
      </c>
      <c r="B37" s="3" t="s">
        <v>6</v>
      </c>
      <c r="C37" s="3" t="s">
        <v>7</v>
      </c>
      <c r="D37" s="3" t="s">
        <v>8</v>
      </c>
      <c r="E37" s="3" t="s">
        <v>1055</v>
      </c>
    </row>
    <row r="38" spans="1:5" x14ac:dyDescent="0.2">
      <c r="A38" t="s">
        <v>11</v>
      </c>
      <c r="B38" s="1">
        <f>SUMIF(Raw_Data!C:C,A38,Raw_Data!G:G)</f>
        <v>9078540</v>
      </c>
      <c r="C38" s="1">
        <f>SUMIF(Raw_Data!C:C,A38,Raw_Data!H:H)</f>
        <v>9298600</v>
      </c>
      <c r="D38" s="1">
        <f t="shared" ref="D38:D49" si="4">C38-B38</f>
        <v>220060</v>
      </c>
      <c r="E38" s="2">
        <f t="shared" ref="E38:E49" si="5">IFERROR(D38/B38,0)</f>
        <v>2.423958037305558E-2</v>
      </c>
    </row>
    <row r="39" spans="1:5" x14ac:dyDescent="0.2">
      <c r="A39" t="s">
        <v>119</v>
      </c>
      <c r="B39" s="1">
        <f>SUMIF(Raw_Data!C:C,A39,Raw_Data!G:G)</f>
        <v>9233322</v>
      </c>
      <c r="C39" s="1">
        <f>SUMIF(Raw_Data!C:C,A39,Raw_Data!H:H)</f>
        <v>9817500</v>
      </c>
      <c r="D39" s="1">
        <f t="shared" si="4"/>
        <v>584178</v>
      </c>
      <c r="E39" s="2">
        <f t="shared" si="5"/>
        <v>6.3268453109292619E-2</v>
      </c>
    </row>
    <row r="40" spans="1:5" x14ac:dyDescent="0.2">
      <c r="A40" t="s">
        <v>204</v>
      </c>
      <c r="B40" s="1">
        <f>SUMIF(Raw_Data!C:C,A40,Raw_Data!G:G)</f>
        <v>9338942</v>
      </c>
      <c r="C40" s="1">
        <f>SUMIF(Raw_Data!C:C,A40,Raw_Data!H:H)</f>
        <v>10035000</v>
      </c>
      <c r="D40" s="1">
        <f t="shared" si="4"/>
        <v>696058</v>
      </c>
      <c r="E40" s="2">
        <f t="shared" si="5"/>
        <v>7.4532853935702775E-2</v>
      </c>
    </row>
    <row r="41" spans="1:5" x14ac:dyDescent="0.2">
      <c r="A41" t="s">
        <v>289</v>
      </c>
      <c r="B41" s="1">
        <f>SUMIF(Raw_Data!C:C,A41,Raw_Data!G:G)</f>
        <v>9554799</v>
      </c>
      <c r="C41" s="1">
        <f>SUMIF(Raw_Data!C:C,A41,Raw_Data!H:H)</f>
        <v>10116900</v>
      </c>
      <c r="D41" s="1">
        <f t="shared" si="4"/>
        <v>562101</v>
      </c>
      <c r="E41" s="2">
        <f t="shared" si="5"/>
        <v>5.8829181022018361E-2</v>
      </c>
    </row>
    <row r="42" spans="1:5" x14ac:dyDescent="0.2">
      <c r="A42" t="s">
        <v>374</v>
      </c>
      <c r="B42" s="1">
        <f>SUMIF(Raw_Data!C:C,A42,Raw_Data!G:G)</f>
        <v>9631806</v>
      </c>
      <c r="C42" s="1">
        <f>SUMIF(Raw_Data!C:C,A42,Raw_Data!H:H)</f>
        <v>10075700</v>
      </c>
      <c r="D42" s="1">
        <f t="shared" si="4"/>
        <v>443894</v>
      </c>
      <c r="E42" s="2">
        <f t="shared" si="5"/>
        <v>4.6086268764134158E-2</v>
      </c>
    </row>
    <row r="43" spans="1:5" x14ac:dyDescent="0.2">
      <c r="A43" t="s">
        <v>458</v>
      </c>
      <c r="B43" s="1">
        <f>SUMIF(Raw_Data!C:C,A43,Raw_Data!G:G)</f>
        <v>8910827</v>
      </c>
      <c r="C43" s="1">
        <f>SUMIF(Raw_Data!C:C,A43,Raw_Data!H:H)</f>
        <v>9444200</v>
      </c>
      <c r="D43" s="1">
        <f t="shared" si="4"/>
        <v>533373</v>
      </c>
      <c r="E43" s="2">
        <f t="shared" si="5"/>
        <v>5.9856733836264581E-2</v>
      </c>
    </row>
    <row r="44" spans="1:5" x14ac:dyDescent="0.2">
      <c r="A44" t="s">
        <v>542</v>
      </c>
      <c r="B44" s="1">
        <f>SUMIF(Raw_Data!C:C,A44,Raw_Data!G:G)</f>
        <v>9149487</v>
      </c>
      <c r="C44" s="1">
        <f>SUMIF(Raw_Data!C:C,A44,Raw_Data!H:H)</f>
        <v>9724600</v>
      </c>
      <c r="D44" s="1">
        <f t="shared" si="4"/>
        <v>575113</v>
      </c>
      <c r="E44" s="2">
        <f t="shared" si="5"/>
        <v>6.2857403917837146E-2</v>
      </c>
    </row>
    <row r="45" spans="1:5" x14ac:dyDescent="0.2">
      <c r="A45" t="s">
        <v>626</v>
      </c>
      <c r="B45" s="1">
        <f>SUMIF(Raw_Data!C:C,A45,Raw_Data!G:G)</f>
        <v>9498907</v>
      </c>
      <c r="C45" s="1">
        <f>SUMIF(Raw_Data!C:C,A45,Raw_Data!H:H)</f>
        <v>9900900</v>
      </c>
      <c r="D45" s="1">
        <f t="shared" si="4"/>
        <v>401993</v>
      </c>
      <c r="E45" s="2">
        <f t="shared" si="5"/>
        <v>4.2319921649932986E-2</v>
      </c>
    </row>
    <row r="46" spans="1:5" x14ac:dyDescent="0.2">
      <c r="A46" t="s">
        <v>710</v>
      </c>
      <c r="B46" s="1">
        <f>SUMIF(Raw_Data!C:C,A46,Raw_Data!G:G)</f>
        <v>9910492</v>
      </c>
      <c r="C46" s="1">
        <f>SUMIF(Raw_Data!C:C,A46,Raw_Data!H:H)</f>
        <v>10586500</v>
      </c>
      <c r="D46" s="1">
        <f t="shared" si="4"/>
        <v>676008</v>
      </c>
      <c r="E46" s="2">
        <f t="shared" si="5"/>
        <v>6.8211346116822461E-2</v>
      </c>
    </row>
    <row r="47" spans="1:5" x14ac:dyDescent="0.2">
      <c r="A47" t="s">
        <v>794</v>
      </c>
      <c r="B47" s="1">
        <f>SUMIF(Raw_Data!C:C,A47,Raw_Data!G:G)</f>
        <v>9711348</v>
      </c>
      <c r="C47" s="1">
        <f>SUMIF(Raw_Data!C:C,A47,Raw_Data!H:H)</f>
        <v>10119400</v>
      </c>
      <c r="D47" s="1">
        <f t="shared" si="4"/>
        <v>408052</v>
      </c>
      <c r="E47" s="2">
        <f t="shared" si="5"/>
        <v>4.2018059696758883E-2</v>
      </c>
    </row>
    <row r="48" spans="1:5" x14ac:dyDescent="0.2">
      <c r="A48" t="s">
        <v>878</v>
      </c>
      <c r="B48" s="1">
        <f>SUMIF(Raw_Data!C:C,A48,Raw_Data!G:G)</f>
        <v>9941885</v>
      </c>
      <c r="C48" s="1">
        <f>SUMIF(Raw_Data!C:C,A48,Raw_Data!H:H)</f>
        <v>10582500</v>
      </c>
      <c r="D48" s="1">
        <f t="shared" si="4"/>
        <v>640615</v>
      </c>
      <c r="E48" s="2">
        <f t="shared" si="5"/>
        <v>6.4435969637548607E-2</v>
      </c>
    </row>
    <row r="49" spans="1:5" x14ac:dyDescent="0.2">
      <c r="A49" t="s">
        <v>962</v>
      </c>
      <c r="B49" s="1">
        <f>SUMIF(Raw_Data!C:C,A49,Raw_Data!G:G)</f>
        <v>9214525</v>
      </c>
      <c r="C49" s="1">
        <f>SUMIF(Raw_Data!C:C,A49,Raw_Data!H:H)</f>
        <v>9771900</v>
      </c>
      <c r="D49" s="1">
        <f t="shared" si="4"/>
        <v>557375</v>
      </c>
      <c r="E49" s="2">
        <f t="shared" si="5"/>
        <v>6.0488739245918806E-2</v>
      </c>
    </row>
  </sheetData>
  <mergeCells count="5">
    <mergeCell ref="A12:E12"/>
    <mergeCell ref="A1:E1"/>
    <mergeCell ref="A23:E23"/>
    <mergeCell ref="A36:E36"/>
    <mergeCell ref="A3:B3"/>
  </mergeCells>
  <conditionalFormatting sqref="D14:D21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D25:D3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D38:D51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showGridLines="0" tabSelected="1" workbookViewId="0">
      <selection activeCell="G28" sqref="G28:L28"/>
    </sheetView>
  </sheetViews>
  <sheetFormatPr baseColWidth="10" defaultColWidth="8.83203125" defaultRowHeight="15" x14ac:dyDescent="0.2"/>
  <cols>
    <col min="1" max="12" width="13" customWidth="1"/>
  </cols>
  <sheetData>
    <row r="1" spans="1:12" ht="24" x14ac:dyDescent="0.3">
      <c r="A1" s="13" t="s">
        <v>1058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">
      <c r="A2" s="10" t="s">
        <v>1059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x14ac:dyDescent="0.2">
      <c r="A4" s="14" t="s">
        <v>1047</v>
      </c>
      <c r="B4" s="8"/>
      <c r="C4" s="8"/>
      <c r="D4" s="14" t="s">
        <v>1048</v>
      </c>
      <c r="E4" s="8"/>
      <c r="F4" s="8"/>
      <c r="G4" s="14" t="s">
        <v>1049</v>
      </c>
      <c r="H4" s="8"/>
      <c r="I4" s="8"/>
      <c r="J4" s="14" t="s">
        <v>1055</v>
      </c>
      <c r="K4" s="8"/>
      <c r="L4" s="8"/>
    </row>
    <row r="5" spans="1:12" x14ac:dyDescent="0.2">
      <c r="A5" s="12">
        <f>Analysis!B5</f>
        <v>113174880</v>
      </c>
      <c r="B5" s="8"/>
      <c r="C5" s="8"/>
      <c r="D5" s="12">
        <f>Analysis!B6</f>
        <v>119473700</v>
      </c>
      <c r="E5" s="8"/>
      <c r="F5" s="8"/>
      <c r="G5" s="12">
        <f>Analysis!B7</f>
        <v>6298820</v>
      </c>
      <c r="H5" s="8"/>
      <c r="I5" s="8"/>
      <c r="J5" s="15">
        <f>Analysis!B8</f>
        <v>5.5655636657180464E-2</v>
      </c>
      <c r="K5" s="8"/>
      <c r="L5" s="8"/>
    </row>
    <row r="6" spans="1:12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24" spans="7:12" x14ac:dyDescent="0.2">
      <c r="G24" s="7" t="s">
        <v>1060</v>
      </c>
      <c r="H24" s="8"/>
      <c r="I24" s="8"/>
      <c r="J24" s="8"/>
      <c r="K24" s="8"/>
      <c r="L24" s="8"/>
    </row>
    <row r="25" spans="7:12" x14ac:dyDescent="0.2">
      <c r="G25" s="11" t="s">
        <v>1061</v>
      </c>
      <c r="H25" s="8"/>
      <c r="I25" s="8"/>
      <c r="J25" s="8"/>
      <c r="K25" s="8"/>
      <c r="L25" s="8"/>
    </row>
    <row r="26" spans="7:12" x14ac:dyDescent="0.2">
      <c r="G26" s="11" t="s">
        <v>1062</v>
      </c>
      <c r="H26" s="8"/>
      <c r="I26" s="8"/>
      <c r="J26" s="8"/>
      <c r="K26" s="8"/>
      <c r="L26" s="8"/>
    </row>
    <row r="27" spans="7:12" x14ac:dyDescent="0.2">
      <c r="G27" s="11" t="s">
        <v>1063</v>
      </c>
      <c r="H27" s="8"/>
      <c r="I27" s="8"/>
      <c r="J27" s="8"/>
      <c r="K27" s="8"/>
      <c r="L27" s="8"/>
    </row>
    <row r="28" spans="7:12" x14ac:dyDescent="0.2">
      <c r="G28" s="11" t="s">
        <v>1064</v>
      </c>
      <c r="H28" s="8"/>
      <c r="I28" s="8"/>
      <c r="J28" s="8"/>
      <c r="K28" s="8"/>
      <c r="L28" s="8"/>
    </row>
  </sheetData>
  <mergeCells count="15">
    <mergeCell ref="A1:L1"/>
    <mergeCell ref="D4:F4"/>
    <mergeCell ref="G26:L26"/>
    <mergeCell ref="G28:L28"/>
    <mergeCell ref="J5:L6"/>
    <mergeCell ref="G4:I4"/>
    <mergeCell ref="J4:L4"/>
    <mergeCell ref="A4:C4"/>
    <mergeCell ref="A2:L2"/>
    <mergeCell ref="G25:L25"/>
    <mergeCell ref="G24:L24"/>
    <mergeCell ref="G27:L27"/>
    <mergeCell ref="D5:F6"/>
    <mergeCell ref="A5:C6"/>
    <mergeCell ref="G5:I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baseColWidth="10" defaultColWidth="8.83203125" defaultRowHeight="15" x14ac:dyDescent="0.2"/>
  <cols>
    <col min="1" max="1" width="22" customWidth="1"/>
    <col min="2" max="3" width="38" customWidth="1"/>
    <col min="4" max="4" width="60" customWidth="1"/>
  </cols>
  <sheetData>
    <row r="1" spans="1:4" ht="16" x14ac:dyDescent="0.2">
      <c r="A1" s="5" t="s">
        <v>1065</v>
      </c>
      <c r="B1" s="5" t="s">
        <v>1066</v>
      </c>
      <c r="C1" s="5" t="s">
        <v>1067</v>
      </c>
      <c r="D1" s="5" t="s">
        <v>1068</v>
      </c>
    </row>
    <row r="2" spans="1:4" ht="16" x14ac:dyDescent="0.2">
      <c r="A2" s="6" t="s">
        <v>1047</v>
      </c>
      <c r="B2" s="6">
        <f>SUM(Raw_Data!G2:G1001)</f>
        <v>113174880</v>
      </c>
      <c r="C2" s="6" t="s">
        <v>1069</v>
      </c>
      <c r="D2" s="6" t="s">
        <v>1070</v>
      </c>
    </row>
    <row r="3" spans="1:4" ht="16" x14ac:dyDescent="0.2">
      <c r="A3" s="6" t="s">
        <v>1048</v>
      </c>
      <c r="B3" s="6">
        <f>SUM(Raw_Data!H2:H1001)</f>
        <v>119473700</v>
      </c>
      <c r="C3" s="6" t="s">
        <v>1071</v>
      </c>
      <c r="D3" s="6" t="s">
        <v>1072</v>
      </c>
    </row>
    <row r="4" spans="1:4" ht="32" x14ac:dyDescent="0.2">
      <c r="A4" s="6" t="s">
        <v>8</v>
      </c>
      <c r="B4" s="6" t="e">
        <f>Actual-Budget</f>
        <v>#NAME?</v>
      </c>
      <c r="C4" s="6" t="s">
        <v>1073</v>
      </c>
      <c r="D4" s="6" t="s">
        <v>1074</v>
      </c>
    </row>
    <row r="5" spans="1:4" ht="16" x14ac:dyDescent="0.2">
      <c r="A5" s="6" t="s">
        <v>1055</v>
      </c>
      <c r="B5" s="6">
        <f>IFERROR(Variance/Budget,0)</f>
        <v>0</v>
      </c>
      <c r="C5" s="6" t="s">
        <v>1075</v>
      </c>
      <c r="D5" s="6" t="s">
        <v>1076</v>
      </c>
    </row>
    <row r="6" spans="1:4" ht="32" x14ac:dyDescent="0.2">
      <c r="A6" s="6" t="s">
        <v>1077</v>
      </c>
      <c r="B6" s="6" t="e">
        <f>SUMIF(Range,_xlnm.Criteria,Sum_Range)</f>
        <v>#NAME?</v>
      </c>
      <c r="C6" s="6" t="s">
        <v>1078</v>
      </c>
      <c r="D6" s="6" t="s">
        <v>1079</v>
      </c>
    </row>
    <row r="7" spans="1:4" ht="16" x14ac:dyDescent="0.2">
      <c r="A7" s="6" t="s">
        <v>1080</v>
      </c>
      <c r="B7" s="6" t="e">
        <f>COUNTIF(Range,_xlnm.Criteria)</f>
        <v>#NAME?</v>
      </c>
      <c r="C7" s="6" t="s">
        <v>1081</v>
      </c>
      <c r="D7" s="6" t="s">
        <v>1082</v>
      </c>
    </row>
    <row r="8" spans="1:4" ht="16" x14ac:dyDescent="0.2">
      <c r="A8" s="6" t="s">
        <v>1083</v>
      </c>
      <c r="B8" s="6">
        <f>IFERROR(I2/G2,0)</f>
        <v>0</v>
      </c>
      <c r="C8" s="6" t="s">
        <v>1084</v>
      </c>
      <c r="D8" s="6" t="s">
        <v>1085</v>
      </c>
    </row>
    <row r="9" spans="1:4" ht="32" x14ac:dyDescent="0.2">
      <c r="A9" s="6" t="s">
        <v>1086</v>
      </c>
      <c r="B9" s="6"/>
      <c r="C9" s="6" t="s">
        <v>1087</v>
      </c>
      <c r="D9" s="6" t="s">
        <v>1088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22" customWidth="1"/>
    <col min="2" max="4" width="28" customWidth="1"/>
  </cols>
  <sheetData>
    <row r="1" spans="1:4" ht="21" x14ac:dyDescent="0.25">
      <c r="A1" s="9" t="s">
        <v>1089</v>
      </c>
      <c r="B1" s="8"/>
      <c r="C1" s="8"/>
      <c r="D1" s="8"/>
    </row>
    <row r="3" spans="1:4" ht="40" customHeight="1" x14ac:dyDescent="0.2">
      <c r="A3" s="4" t="s">
        <v>1090</v>
      </c>
      <c r="B3" s="11" t="s">
        <v>1091</v>
      </c>
      <c r="C3" s="8"/>
      <c r="D3" s="8"/>
    </row>
    <row r="4" spans="1:4" ht="40" customHeight="1" x14ac:dyDescent="0.2">
      <c r="A4" s="4" t="s">
        <v>1092</v>
      </c>
      <c r="B4" s="11" t="s">
        <v>1093</v>
      </c>
      <c r="C4" s="8"/>
      <c r="D4" s="8"/>
    </row>
    <row r="5" spans="1:4" ht="40" customHeight="1" x14ac:dyDescent="0.2">
      <c r="A5" s="4" t="s">
        <v>1094</v>
      </c>
      <c r="B5" s="11" t="s">
        <v>1095</v>
      </c>
      <c r="C5" s="8"/>
      <c r="D5" s="8"/>
    </row>
    <row r="6" spans="1:4" ht="40" customHeight="1" x14ac:dyDescent="0.2">
      <c r="A6" s="4" t="s">
        <v>1096</v>
      </c>
      <c r="B6" s="11" t="s">
        <v>1097</v>
      </c>
      <c r="C6" s="8"/>
      <c r="D6" s="8"/>
    </row>
    <row r="7" spans="1:4" ht="40" customHeight="1" x14ac:dyDescent="0.2">
      <c r="A7" s="4" t="s">
        <v>1098</v>
      </c>
      <c r="B7" s="11" t="s">
        <v>1099</v>
      </c>
      <c r="C7" s="8"/>
      <c r="D7" s="8"/>
    </row>
    <row r="8" spans="1:4" ht="40" customHeight="1" x14ac:dyDescent="0.2">
      <c r="A8" s="4" t="s">
        <v>1100</v>
      </c>
      <c r="B8" s="11" t="s">
        <v>1101</v>
      </c>
      <c r="C8" s="8"/>
      <c r="D8" s="8"/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Analysis</vt:lpstr>
      <vt:lpstr>Dashboard</vt:lpstr>
      <vt:lpstr>Formula_Guide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Adithiya R</cp:lastModifiedBy>
  <dcterms:created xsi:type="dcterms:W3CDTF">2026-09-30T08:52:59Z</dcterms:created>
  <dcterms:modified xsi:type="dcterms:W3CDTF">2026-09-30T09:41:51Z</dcterms:modified>
</cp:coreProperties>
</file>